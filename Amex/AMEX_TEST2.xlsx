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onthly Summary" sheetId="2" state="visible" r:id="rId2"/>
    <sheet name="Category Summary" sheetId="3" state="visible" r:id="rId3"/>
    <sheet name="Merchant Summary" sheetId="4" state="visible" r:id="rId4"/>
    <sheet name="Review Items" sheetId="5" state="visible" r:id="rId5"/>
    <sheet name="Amex Transactions" sheetId="6" state="visible" r:id="rId6"/>
    <sheet name="Rule Updates" sheetId="7" state="visible" r:id="rId7"/>
    <sheet name="Lists" sheetId="8" state="hidden" r:id="rId8"/>
    <sheet name="Category" sheetId="9" state="visible" r:id="rId9"/>
  </sheets>
  <definedNames>
    <definedName name="_xlnm._FilterDatabase" localSheetId="0" hidden="1">'Dashboard'!$A$13:$B$25</definedName>
    <definedName name="_xlnm._FilterDatabase" localSheetId="1" hidden="1">'Monthly Summary'!$A$4:$F$24</definedName>
    <definedName name="_xlnm._FilterDatabase" localSheetId="2" hidden="1">'Category Summary'!$A$4:$G$110</definedName>
    <definedName name="_xlnm._FilterDatabase" localSheetId="3" hidden="1">'Merchant Summary'!$A$4:$G$692</definedName>
    <definedName name="_xlnm._FilterDatabase" localSheetId="4" hidden="1">'Review Items'!$A$4:$G$386</definedName>
    <definedName name="_xlnm._FilterDatabase" localSheetId="5" hidden="1">'Amex Transactions'!$A$4:$I$1318</definedName>
    <definedName name="_xlnm._FilterDatabase" localSheetId="6" hidden="1">'Rule Updates'!$A$4:$F$692</definedName>
    <definedName name="_xlnm._FilterDatabase" localSheetId="8" hidden="1">'Category'!$A$1:$C$258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yyyy-mm-dd"/>
    <numFmt numFmtId="166" formatCode="d mmm yyyy"/>
    <numFmt numFmtId="167" formatCode="yyyy-mm-dd h:mm:ss"/>
  </numFmts>
  <fonts count="7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b val="1"/>
      <color rgb="00FFFFFF"/>
      <sz val="14"/>
    </font>
    <font>
      <name val="Times New Roman"/>
      <i val="1"/>
      <color rgb="00666666"/>
      <sz val="10"/>
    </font>
    <font>
      <name val="Times New Roman"/>
      <b val="1"/>
      <sz val="11"/>
    </font>
    <font>
      <name val="Times New Roman"/>
      <b val="1"/>
      <sz val="14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5" fillId="4" borderId="0" pivotButton="0" quotePrefix="0" xfId="0"/>
    <xf numFmtId="0" fontId="5" fillId="5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166" fontId="6" fillId="0" borderId="0" pivotButton="0" quotePrefix="0" xfId="0"/>
    <xf numFmtId="164" fontId="6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4" customWidth="1" min="3" max="3"/>
    <col width="4" customWidth="1" min="4" max="4"/>
    <col width="14" customWidth="1" min="5" max="5"/>
    <col width="28" customWidth="1" min="6" max="6"/>
    <col width="10" customWidth="1" min="7" max="7"/>
    <col width="10" customWidth="1" min="8" max="8"/>
  </cols>
  <sheetData>
    <row r="1" ht="24" customHeight="1">
      <c r="A1" s="1" t="inlineStr">
        <is>
          <t>American Express Spend Report</t>
        </is>
      </c>
    </row>
    <row r="2">
      <c r="A2" s="2" t="inlineStr">
        <is>
          <t>Clean summary of imported card statements.</t>
        </is>
      </c>
    </row>
    <row r="4">
      <c r="A4" s="3" t="inlineStr">
        <is>
          <t>Statements</t>
        </is>
      </c>
      <c r="D4" s="3" t="inlineStr">
        <is>
          <t>Transactions</t>
        </is>
      </c>
      <c r="G4" s="3" t="inlineStr">
        <is>
          <t>Spend HKD</t>
        </is>
      </c>
    </row>
    <row r="5">
      <c r="A5" s="4" t="n">
        <v>19</v>
      </c>
      <c r="D5" s="4">
        <f>COUNTA('Amex Transactions'!$C:$C)-1</f>
        <v/>
      </c>
      <c r="G5" s="5">
        <f>SUMIF('Amex Transactions'!$G:$G,"&gt;0",'Amex Transactions'!$G:$G)</f>
        <v/>
      </c>
    </row>
    <row r="7">
      <c r="A7" s="3" t="inlineStr">
        <is>
          <t>Payments/Credits HKD</t>
        </is>
      </c>
      <c r="D7" s="3" t="inlineStr">
        <is>
          <t>Net HKD</t>
        </is>
      </c>
      <c r="G7" s="3" t="inlineStr">
        <is>
          <t>Review Items</t>
        </is>
      </c>
    </row>
    <row r="8">
      <c r="A8" s="5">
        <f>SUMIF('Amex Transactions'!$G:$G,"&lt;0",'Amex Transactions'!$G:$G)</f>
        <v/>
      </c>
      <c r="D8" s="5">
        <f>SUM('Amex Transactions'!$G:$G)</f>
        <v/>
      </c>
      <c r="G8" s="6">
        <f>COUNTIF('Amex Transactions'!$I:$I,"Check")</f>
        <v/>
      </c>
    </row>
    <row r="10">
      <c r="A10" s="3" t="inlineStr">
        <is>
          <t>Date Range</t>
        </is>
      </c>
      <c r="B10" t="inlineStr">
        <is>
          <t>25 Aug 2024 to 25 Mar 2026</t>
        </is>
      </c>
    </row>
    <row r="12">
      <c r="A12" s="3" t="inlineStr">
        <is>
          <t>Top Categories</t>
        </is>
      </c>
      <c r="E12" s="3" t="inlineStr">
        <is>
          <t>Recent Statements</t>
        </is>
      </c>
    </row>
    <row r="13">
      <c r="A13" s="7" t="inlineStr">
        <is>
          <t>Category</t>
        </is>
      </c>
      <c r="B13" s="7" t="inlineStr">
        <is>
          <t>Spend HKD</t>
        </is>
      </c>
      <c r="C13" s="7" t="n"/>
      <c r="D13" s="7" t="n"/>
      <c r="E13" s="7" t="inlineStr">
        <is>
          <t>Date</t>
        </is>
      </c>
      <c r="F13" s="7" t="inlineStr">
        <is>
          <t>Statement</t>
        </is>
      </c>
      <c r="G13" s="7" t="inlineStr">
        <is>
          <t>Rows</t>
        </is>
      </c>
      <c r="H13" s="7" t="inlineStr">
        <is>
          <t>Review</t>
        </is>
      </c>
    </row>
    <row r="14">
      <c r="A14" t="inlineStr">
        <is>
          <t>Uncategorised</t>
        </is>
      </c>
      <c r="B14" s="8">
        <f>SUMIFS('Amex Transactions'!$G:$G,'Amex Transactions'!$D:$D,"Uncategorised",'Amex Transactions'!$G:$G,"&gt;0")</f>
        <v/>
      </c>
      <c r="E14" s="9" t="n">
        <v>46107</v>
      </c>
      <c r="F14" t="inlineStr">
        <is>
          <t>20260326 statement.pdf</t>
        </is>
      </c>
      <c r="G14" t="n">
        <v>84</v>
      </c>
      <c r="H14" t="n">
        <v>21</v>
      </c>
    </row>
    <row r="15">
      <c r="A15" t="inlineStr">
        <is>
          <t>Clothes &amp; Shoes</t>
        </is>
      </c>
      <c r="B15" s="8">
        <f>SUMIFS('Amex Transactions'!$G:$G,'Amex Transactions'!$D:$D,"Clothes &amp; Shoes",'Amex Transactions'!$G:$G,"&gt;0")</f>
        <v/>
      </c>
      <c r="E15" s="9" t="n">
        <v>46079</v>
      </c>
      <c r="F15" t="inlineStr">
        <is>
          <t>20260226 statement.pdf</t>
        </is>
      </c>
      <c r="G15" t="n">
        <v>83</v>
      </c>
      <c r="H15" t="n">
        <v>31</v>
      </c>
    </row>
    <row r="16">
      <c r="A16" t="inlineStr">
        <is>
          <t>Travel</t>
        </is>
      </c>
      <c r="B16" s="8">
        <f>SUMIFS('Amex Transactions'!$G:$G,'Amex Transactions'!$D:$D,"Travel",'Amex Transactions'!$G:$G,"&gt;0")</f>
        <v/>
      </c>
      <c r="E16" s="9" t="n">
        <v>46048</v>
      </c>
      <c r="F16" t="inlineStr">
        <is>
          <t>20260126 statement.pdf</t>
        </is>
      </c>
      <c r="G16" t="n">
        <v>40</v>
      </c>
      <c r="H16" t="n">
        <v>17</v>
      </c>
    </row>
    <row r="17">
      <c r="A17" t="inlineStr">
        <is>
          <t>Hotel</t>
        </is>
      </c>
      <c r="B17" s="8">
        <f>SUMIFS('Amex Transactions'!$G:$G,'Amex Transactions'!$D:$D,"Hotel",'Amex Transactions'!$G:$G,"&gt;0")</f>
        <v/>
      </c>
      <c r="E17" s="9" t="n">
        <v>46017</v>
      </c>
      <c r="F17" t="inlineStr">
        <is>
          <t>20251226 statement.pdf</t>
        </is>
      </c>
      <c r="G17" t="n">
        <v>101</v>
      </c>
      <c r="H17" t="n">
        <v>45</v>
      </c>
    </row>
    <row r="18">
      <c r="A18" t="inlineStr">
        <is>
          <t>Dining out</t>
        </is>
      </c>
      <c r="B18" s="8">
        <f>SUMIFS('Amex Transactions'!$G:$G,'Amex Transactions'!$D:$D,"Dining out",'Amex Transactions'!$G:$G,"&gt;0")</f>
        <v/>
      </c>
      <c r="E18" s="9" t="n">
        <v>45987</v>
      </c>
      <c r="F18" t="inlineStr">
        <is>
          <t>20251126 statement.pdf</t>
        </is>
      </c>
      <c r="G18" t="n">
        <v>125</v>
      </c>
      <c r="H18" t="n">
        <v>31</v>
      </c>
    </row>
    <row r="19">
      <c r="A19" t="inlineStr">
        <is>
          <t>Wine</t>
        </is>
      </c>
      <c r="B19" s="8">
        <f>SUMIFS('Amex Transactions'!$G:$G,'Amex Transactions'!$D:$D,"Wine",'Amex Transactions'!$G:$G,"&gt;0")</f>
        <v/>
      </c>
      <c r="E19" s="9" t="n">
        <v>45956</v>
      </c>
      <c r="F19" t="inlineStr">
        <is>
          <t>20251026 statement.pdf</t>
        </is>
      </c>
      <c r="G19" t="n">
        <v>69</v>
      </c>
      <c r="H19" t="n">
        <v>24</v>
      </c>
    </row>
    <row r="20">
      <c r="A20" t="inlineStr">
        <is>
          <t>Housewares</t>
        </is>
      </c>
      <c r="B20" s="8">
        <f>SUMIFS('Amex Transactions'!$G:$G,'Amex Transactions'!$D:$D,"Housewares",'Amex Transactions'!$G:$G,"&gt;0")</f>
        <v/>
      </c>
      <c r="E20" s="9" t="n">
        <v>45926</v>
      </c>
      <c r="F20" t="inlineStr">
        <is>
          <t>20250926 statement.pdf</t>
        </is>
      </c>
      <c r="G20" t="n">
        <v>55</v>
      </c>
      <c r="H20" t="n">
        <v>20</v>
      </c>
    </row>
    <row r="21">
      <c r="A21" t="inlineStr">
        <is>
          <t>Salon</t>
        </is>
      </c>
      <c r="B21" s="8">
        <f>SUMIFS('Amex Transactions'!$G:$G,'Amex Transactions'!$D:$D,"Salon",'Amex Transactions'!$G:$G,"&gt;0")</f>
        <v/>
      </c>
      <c r="E21" s="9" t="n">
        <v>45895</v>
      </c>
      <c r="F21" t="inlineStr">
        <is>
          <t>20250826 statement.pdf</t>
        </is>
      </c>
      <c r="G21" t="n">
        <v>81</v>
      </c>
      <c r="H21" t="n">
        <v>19</v>
      </c>
    </row>
    <row r="22">
      <c r="A22" t="inlineStr">
        <is>
          <t>Groceries</t>
        </is>
      </c>
      <c r="B22" s="8">
        <f>SUMIFS('Amex Transactions'!$G:$G,'Amex Transactions'!$D:$D,"Groceries",'Amex Transactions'!$G:$G,"&gt;0")</f>
        <v/>
      </c>
      <c r="E22" s="9" t="n">
        <v>45864</v>
      </c>
      <c r="F22" t="inlineStr">
        <is>
          <t>20250726 statement.pdf</t>
        </is>
      </c>
      <c r="G22" t="n">
        <v>43</v>
      </c>
      <c r="H22" t="n">
        <v>1</v>
      </c>
    </row>
    <row r="23">
      <c r="A23" t="inlineStr">
        <is>
          <t>Beauty</t>
        </is>
      </c>
      <c r="B23" s="8">
        <f>SUMIFS('Amex Transactions'!$G:$G,'Amex Transactions'!$D:$D,"Beauty",'Amex Transactions'!$G:$G,"&gt;0")</f>
        <v/>
      </c>
      <c r="E23" s="9" t="n">
        <v>45834</v>
      </c>
      <c r="F23" t="inlineStr">
        <is>
          <t>20250626 statement.pdf</t>
        </is>
      </c>
      <c r="G23" t="n">
        <v>83</v>
      </c>
      <c r="H23" t="n">
        <v>32</v>
      </c>
    </row>
    <row r="24">
      <c r="A24" t="inlineStr">
        <is>
          <t>Airfare</t>
        </is>
      </c>
      <c r="B24" s="8">
        <f>SUMIFS('Amex Transactions'!$G:$G,'Amex Transactions'!$D:$D,"Airfare",'Amex Transactions'!$G:$G,"&gt;0")</f>
        <v/>
      </c>
    </row>
    <row r="25">
      <c r="A25" t="inlineStr">
        <is>
          <t>Fees</t>
        </is>
      </c>
      <c r="B25" s="8">
        <f>SUMIFS('Amex Transactions'!$G:$G,'Amex Transactions'!$D:$D,"Fees",'Amex Transactions'!$G:$G,"&gt;0")</f>
        <v/>
      </c>
    </row>
  </sheetData>
  <autoFilter ref="A13:B25"/>
  <mergeCells count="14">
    <mergeCell ref="A4:B4"/>
    <mergeCell ref="G4:H4"/>
    <mergeCell ref="D8:E8"/>
    <mergeCell ref="D7:E7"/>
    <mergeCell ref="A7:B7"/>
    <mergeCell ref="G7:H7"/>
    <mergeCell ref="A2:H2"/>
    <mergeCell ref="D5:E5"/>
    <mergeCell ref="A5:B5"/>
    <mergeCell ref="G5:H5"/>
    <mergeCell ref="D4:E4"/>
    <mergeCell ref="A1:H1"/>
    <mergeCell ref="G8:H8"/>
    <mergeCell ref="A8:B8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6" customWidth="1" min="5" max="5"/>
    <col width="14" customWidth="1" min="6" max="6"/>
  </cols>
  <sheetData>
    <row r="1" ht="24" customHeight="1">
      <c r="A1" s="1" t="inlineStr">
        <is>
          <t>Monthly Summary</t>
        </is>
      </c>
    </row>
    <row r="2">
      <c r="A2" s="2" t="inlineStr">
        <is>
          <t>Spend and payments by month.</t>
        </is>
      </c>
    </row>
    <row r="4">
      <c r="A4" s="7" t="inlineStr">
        <is>
          <t>Month</t>
        </is>
      </c>
      <c r="B4" s="7" t="inlineStr">
        <is>
          <t>Transactions</t>
        </is>
      </c>
      <c r="C4" s="7" t="inlineStr">
        <is>
          <t>Spend HKD</t>
        </is>
      </c>
      <c r="D4" s="7" t="inlineStr">
        <is>
          <t>Payments/Credits HKD</t>
        </is>
      </c>
      <c r="E4" s="7" t="inlineStr">
        <is>
          <t>Net HKD</t>
        </is>
      </c>
      <c r="F4" s="7" t="inlineStr">
        <is>
          <t>Review Items</t>
        </is>
      </c>
    </row>
    <row r="5">
      <c r="A5" s="10" t="inlineStr">
        <is>
          <t>2024-08</t>
        </is>
      </c>
      <c r="B5" s="10">
        <f>COUNTIFS('Amex Transactions'!$B:$B,"&gt;="&amp;DATEVALUE(A5&amp;"-01"),'Amex Transactions'!$B:$B,"&lt;"&amp;EDATE(DATEVALUE(A5&amp;"-01"),1))</f>
        <v/>
      </c>
      <c r="C5" s="10">
        <f>SUMIFS('Amex Transactions'!$G:$G,'Amex Transactions'!$B:$B,"&gt;="&amp;DATEVALUE(A5&amp;"-01"),'Amex Transactions'!$B:$B,"&lt;"&amp;EDATE(DATEVALUE(A5&amp;"-01"),1),'Amex Transactions'!$G:$G,"&gt;0")</f>
        <v/>
      </c>
      <c r="D5" s="10">
        <f>SUMIFS('Amex Transactions'!$G:$G,'Amex Transactions'!$B:$B,"&gt;="&amp;DATEVALUE(A5&amp;"-01"),'Amex Transactions'!$B:$B,"&lt;"&amp;EDATE(DATEVALUE(A5&amp;"-01"),1),'Amex Transactions'!$G:$G,"&lt;0")</f>
        <v/>
      </c>
      <c r="E5" s="10">
        <f>C5+D5</f>
        <v/>
      </c>
      <c r="F5" s="10">
        <f>COUNTIFS('Amex Transactions'!$B:$B,"&gt;="&amp;DATEVALUE(A5&amp;"-01"),'Amex Transactions'!$B:$B,"&lt;"&amp;EDATE(DATEVALUE(A5&amp;"-01"),1),'Amex Transactions'!$I:$I,"Check")</f>
        <v/>
      </c>
    </row>
    <row r="6">
      <c r="A6" s="10" t="inlineStr">
        <is>
          <t>2024-09</t>
        </is>
      </c>
      <c r="B6" s="10">
        <f>COUNTIFS('Amex Transactions'!$B:$B,"&gt;="&amp;DATEVALUE(A6&amp;"-01"),'Amex Transactions'!$B:$B,"&lt;"&amp;EDATE(DATEVALUE(A6&amp;"-01"),1))</f>
        <v/>
      </c>
      <c r="C6" s="10">
        <f>SUMIFS('Amex Transactions'!$G:$G,'Amex Transactions'!$B:$B,"&gt;="&amp;DATEVALUE(A6&amp;"-01"),'Amex Transactions'!$B:$B,"&lt;"&amp;EDATE(DATEVALUE(A6&amp;"-01"),1),'Amex Transactions'!$G:$G,"&gt;0")</f>
        <v/>
      </c>
      <c r="D6" s="10">
        <f>SUMIFS('Amex Transactions'!$G:$G,'Amex Transactions'!$B:$B,"&gt;="&amp;DATEVALUE(A6&amp;"-01"),'Amex Transactions'!$B:$B,"&lt;"&amp;EDATE(DATEVALUE(A6&amp;"-01"),1),'Amex Transactions'!$G:$G,"&lt;0")</f>
        <v/>
      </c>
      <c r="E6" s="10">
        <f>C6+D6</f>
        <v/>
      </c>
      <c r="F6" s="10">
        <f>COUNTIFS('Amex Transactions'!$B:$B,"&gt;="&amp;DATEVALUE(A6&amp;"-01"),'Amex Transactions'!$B:$B,"&lt;"&amp;EDATE(DATEVALUE(A6&amp;"-01"),1),'Amex Transactions'!$I:$I,"Check")</f>
        <v/>
      </c>
    </row>
    <row r="7">
      <c r="A7" s="10" t="inlineStr">
        <is>
          <t>2024-10</t>
        </is>
      </c>
      <c r="B7" s="10">
        <f>COUNTIFS('Amex Transactions'!$B:$B,"&gt;="&amp;DATEVALUE(A7&amp;"-01"),'Amex Transactions'!$B:$B,"&lt;"&amp;EDATE(DATEVALUE(A7&amp;"-01"),1))</f>
        <v/>
      </c>
      <c r="C7" s="10">
        <f>SUMIFS('Amex Transactions'!$G:$G,'Amex Transactions'!$B:$B,"&gt;="&amp;DATEVALUE(A7&amp;"-01"),'Amex Transactions'!$B:$B,"&lt;"&amp;EDATE(DATEVALUE(A7&amp;"-01"),1),'Amex Transactions'!$G:$G,"&gt;0")</f>
        <v/>
      </c>
      <c r="D7" s="10">
        <f>SUMIFS('Amex Transactions'!$G:$G,'Amex Transactions'!$B:$B,"&gt;="&amp;DATEVALUE(A7&amp;"-01"),'Amex Transactions'!$B:$B,"&lt;"&amp;EDATE(DATEVALUE(A7&amp;"-01"),1),'Amex Transactions'!$G:$G,"&lt;0")</f>
        <v/>
      </c>
      <c r="E7" s="10">
        <f>C7+D7</f>
        <v/>
      </c>
      <c r="F7" s="10">
        <f>COUNTIFS('Amex Transactions'!$B:$B,"&gt;="&amp;DATEVALUE(A7&amp;"-01"),'Amex Transactions'!$B:$B,"&lt;"&amp;EDATE(DATEVALUE(A7&amp;"-01"),1),'Amex Transactions'!$I:$I,"Check")</f>
        <v/>
      </c>
    </row>
    <row r="8">
      <c r="A8" s="10" t="inlineStr">
        <is>
          <t>2024-11</t>
        </is>
      </c>
      <c r="B8" s="10">
        <f>COUNTIFS('Amex Transactions'!$B:$B,"&gt;="&amp;DATEVALUE(A8&amp;"-01"),'Amex Transactions'!$B:$B,"&lt;"&amp;EDATE(DATEVALUE(A8&amp;"-01"),1))</f>
        <v/>
      </c>
      <c r="C8" s="10">
        <f>SUMIFS('Amex Transactions'!$G:$G,'Amex Transactions'!$B:$B,"&gt;="&amp;DATEVALUE(A8&amp;"-01"),'Amex Transactions'!$B:$B,"&lt;"&amp;EDATE(DATEVALUE(A8&amp;"-01"),1),'Amex Transactions'!$G:$G,"&gt;0")</f>
        <v/>
      </c>
      <c r="D8" s="10">
        <f>SUMIFS('Amex Transactions'!$G:$G,'Amex Transactions'!$B:$B,"&gt;="&amp;DATEVALUE(A8&amp;"-01"),'Amex Transactions'!$B:$B,"&lt;"&amp;EDATE(DATEVALUE(A8&amp;"-01"),1),'Amex Transactions'!$G:$G,"&lt;0")</f>
        <v/>
      </c>
      <c r="E8" s="10">
        <f>C8+D8</f>
        <v/>
      </c>
      <c r="F8" s="10">
        <f>COUNTIFS('Amex Transactions'!$B:$B,"&gt;="&amp;DATEVALUE(A8&amp;"-01"),'Amex Transactions'!$B:$B,"&lt;"&amp;EDATE(DATEVALUE(A8&amp;"-01"),1),'Amex Transactions'!$I:$I,"Check")</f>
        <v/>
      </c>
    </row>
    <row r="9">
      <c r="A9" s="10" t="inlineStr">
        <is>
          <t>2024-12</t>
        </is>
      </c>
      <c r="B9" s="10">
        <f>COUNTIFS('Amex Transactions'!$B:$B,"&gt;="&amp;DATEVALUE(A9&amp;"-01"),'Amex Transactions'!$B:$B,"&lt;"&amp;EDATE(DATEVALUE(A9&amp;"-01"),1))</f>
        <v/>
      </c>
      <c r="C9" s="10">
        <f>SUMIFS('Amex Transactions'!$G:$G,'Amex Transactions'!$B:$B,"&gt;="&amp;DATEVALUE(A9&amp;"-01"),'Amex Transactions'!$B:$B,"&lt;"&amp;EDATE(DATEVALUE(A9&amp;"-01"),1),'Amex Transactions'!$G:$G,"&gt;0")</f>
        <v/>
      </c>
      <c r="D9" s="10">
        <f>SUMIFS('Amex Transactions'!$G:$G,'Amex Transactions'!$B:$B,"&gt;="&amp;DATEVALUE(A9&amp;"-01"),'Amex Transactions'!$B:$B,"&lt;"&amp;EDATE(DATEVALUE(A9&amp;"-01"),1),'Amex Transactions'!$G:$G,"&lt;0")</f>
        <v/>
      </c>
      <c r="E9" s="10">
        <f>C9+D9</f>
        <v/>
      </c>
      <c r="F9" s="10">
        <f>COUNTIFS('Amex Transactions'!$B:$B,"&gt;="&amp;DATEVALUE(A9&amp;"-01"),'Amex Transactions'!$B:$B,"&lt;"&amp;EDATE(DATEVALUE(A9&amp;"-01"),1),'Amex Transactions'!$I:$I,"Check")</f>
        <v/>
      </c>
    </row>
    <row r="10">
      <c r="A10" s="10" t="inlineStr">
        <is>
          <t>2025-01</t>
        </is>
      </c>
      <c r="B10" s="10">
        <f>COUNTIFS('Amex Transactions'!$B:$B,"&gt;="&amp;DATEVALUE(A10&amp;"-01"),'Amex Transactions'!$B:$B,"&lt;"&amp;EDATE(DATEVALUE(A10&amp;"-01"),1))</f>
        <v/>
      </c>
      <c r="C10" s="10">
        <f>SUMIFS('Amex Transactions'!$G:$G,'Amex Transactions'!$B:$B,"&gt;="&amp;DATEVALUE(A10&amp;"-01"),'Amex Transactions'!$B:$B,"&lt;"&amp;EDATE(DATEVALUE(A10&amp;"-01"),1),'Amex Transactions'!$G:$G,"&gt;0")</f>
        <v/>
      </c>
      <c r="D10" s="10">
        <f>SUMIFS('Amex Transactions'!$G:$G,'Amex Transactions'!$B:$B,"&gt;="&amp;DATEVALUE(A10&amp;"-01"),'Amex Transactions'!$B:$B,"&lt;"&amp;EDATE(DATEVALUE(A10&amp;"-01"),1),'Amex Transactions'!$G:$G,"&lt;0")</f>
        <v/>
      </c>
      <c r="E10" s="10">
        <f>C10+D10</f>
        <v/>
      </c>
      <c r="F10" s="10">
        <f>COUNTIFS('Amex Transactions'!$B:$B,"&gt;="&amp;DATEVALUE(A10&amp;"-01"),'Amex Transactions'!$B:$B,"&lt;"&amp;EDATE(DATEVALUE(A10&amp;"-01"),1),'Amex Transactions'!$I:$I,"Check")</f>
        <v/>
      </c>
    </row>
    <row r="11">
      <c r="A11" s="10" t="inlineStr">
        <is>
          <t>2025-02</t>
        </is>
      </c>
      <c r="B11" s="10">
        <f>COUNTIFS('Amex Transactions'!$B:$B,"&gt;="&amp;DATEVALUE(A11&amp;"-01"),'Amex Transactions'!$B:$B,"&lt;"&amp;EDATE(DATEVALUE(A11&amp;"-01"),1))</f>
        <v/>
      </c>
      <c r="C11" s="10">
        <f>SUMIFS('Amex Transactions'!$G:$G,'Amex Transactions'!$B:$B,"&gt;="&amp;DATEVALUE(A11&amp;"-01"),'Amex Transactions'!$B:$B,"&lt;"&amp;EDATE(DATEVALUE(A11&amp;"-01"),1),'Amex Transactions'!$G:$G,"&gt;0")</f>
        <v/>
      </c>
      <c r="D11" s="10">
        <f>SUMIFS('Amex Transactions'!$G:$G,'Amex Transactions'!$B:$B,"&gt;="&amp;DATEVALUE(A11&amp;"-01"),'Amex Transactions'!$B:$B,"&lt;"&amp;EDATE(DATEVALUE(A11&amp;"-01"),1),'Amex Transactions'!$G:$G,"&lt;0")</f>
        <v/>
      </c>
      <c r="E11" s="10">
        <f>C11+D11</f>
        <v/>
      </c>
      <c r="F11" s="10">
        <f>COUNTIFS('Amex Transactions'!$B:$B,"&gt;="&amp;DATEVALUE(A11&amp;"-01"),'Amex Transactions'!$B:$B,"&lt;"&amp;EDATE(DATEVALUE(A11&amp;"-01"),1),'Amex Transactions'!$I:$I,"Check")</f>
        <v/>
      </c>
    </row>
    <row r="12">
      <c r="A12" s="10" t="inlineStr">
        <is>
          <t>2025-03</t>
        </is>
      </c>
      <c r="B12" s="10">
        <f>COUNTIFS('Amex Transactions'!$B:$B,"&gt;="&amp;DATEVALUE(A12&amp;"-01"),'Amex Transactions'!$B:$B,"&lt;"&amp;EDATE(DATEVALUE(A12&amp;"-01"),1))</f>
        <v/>
      </c>
      <c r="C12" s="10">
        <f>SUMIFS('Amex Transactions'!$G:$G,'Amex Transactions'!$B:$B,"&gt;="&amp;DATEVALUE(A12&amp;"-01"),'Amex Transactions'!$B:$B,"&lt;"&amp;EDATE(DATEVALUE(A12&amp;"-01"),1),'Amex Transactions'!$G:$G,"&gt;0")</f>
        <v/>
      </c>
      <c r="D12" s="10">
        <f>SUMIFS('Amex Transactions'!$G:$G,'Amex Transactions'!$B:$B,"&gt;="&amp;DATEVALUE(A12&amp;"-01"),'Amex Transactions'!$B:$B,"&lt;"&amp;EDATE(DATEVALUE(A12&amp;"-01"),1),'Amex Transactions'!$G:$G,"&lt;0")</f>
        <v/>
      </c>
      <c r="E12" s="10">
        <f>C12+D12</f>
        <v/>
      </c>
      <c r="F12" s="10">
        <f>COUNTIFS('Amex Transactions'!$B:$B,"&gt;="&amp;DATEVALUE(A12&amp;"-01"),'Amex Transactions'!$B:$B,"&lt;"&amp;EDATE(DATEVALUE(A12&amp;"-01"),1),'Amex Transactions'!$I:$I,"Check")</f>
        <v/>
      </c>
    </row>
    <row r="13">
      <c r="A13" s="10" t="inlineStr">
        <is>
          <t>2025-04</t>
        </is>
      </c>
      <c r="B13" s="10">
        <f>COUNTIFS('Amex Transactions'!$B:$B,"&gt;="&amp;DATEVALUE(A13&amp;"-01"),'Amex Transactions'!$B:$B,"&lt;"&amp;EDATE(DATEVALUE(A13&amp;"-01"),1))</f>
        <v/>
      </c>
      <c r="C13" s="10">
        <f>SUMIFS('Amex Transactions'!$G:$G,'Amex Transactions'!$B:$B,"&gt;="&amp;DATEVALUE(A13&amp;"-01"),'Amex Transactions'!$B:$B,"&lt;"&amp;EDATE(DATEVALUE(A13&amp;"-01"),1),'Amex Transactions'!$G:$G,"&gt;0")</f>
        <v/>
      </c>
      <c r="D13" s="10">
        <f>SUMIFS('Amex Transactions'!$G:$G,'Amex Transactions'!$B:$B,"&gt;="&amp;DATEVALUE(A13&amp;"-01"),'Amex Transactions'!$B:$B,"&lt;"&amp;EDATE(DATEVALUE(A13&amp;"-01"),1),'Amex Transactions'!$G:$G,"&lt;0")</f>
        <v/>
      </c>
      <c r="E13" s="10">
        <f>C13+D13</f>
        <v/>
      </c>
      <c r="F13" s="10">
        <f>COUNTIFS('Amex Transactions'!$B:$B,"&gt;="&amp;DATEVALUE(A13&amp;"-01"),'Amex Transactions'!$B:$B,"&lt;"&amp;EDATE(DATEVALUE(A13&amp;"-01"),1),'Amex Transactions'!$I:$I,"Check")</f>
        <v/>
      </c>
    </row>
    <row r="14">
      <c r="A14" s="10" t="inlineStr">
        <is>
          <t>2025-05</t>
        </is>
      </c>
      <c r="B14" s="10">
        <f>COUNTIFS('Amex Transactions'!$B:$B,"&gt;="&amp;DATEVALUE(A14&amp;"-01"),'Amex Transactions'!$B:$B,"&lt;"&amp;EDATE(DATEVALUE(A14&amp;"-01"),1))</f>
        <v/>
      </c>
      <c r="C14" s="10">
        <f>SUMIFS('Amex Transactions'!$G:$G,'Amex Transactions'!$B:$B,"&gt;="&amp;DATEVALUE(A14&amp;"-01"),'Amex Transactions'!$B:$B,"&lt;"&amp;EDATE(DATEVALUE(A14&amp;"-01"),1),'Amex Transactions'!$G:$G,"&gt;0")</f>
        <v/>
      </c>
      <c r="D14" s="10">
        <f>SUMIFS('Amex Transactions'!$G:$G,'Amex Transactions'!$B:$B,"&gt;="&amp;DATEVALUE(A14&amp;"-01"),'Amex Transactions'!$B:$B,"&lt;"&amp;EDATE(DATEVALUE(A14&amp;"-01"),1),'Amex Transactions'!$G:$G,"&lt;0")</f>
        <v/>
      </c>
      <c r="E14" s="10">
        <f>C14+D14</f>
        <v/>
      </c>
      <c r="F14" s="10">
        <f>COUNTIFS('Amex Transactions'!$B:$B,"&gt;="&amp;DATEVALUE(A14&amp;"-01"),'Amex Transactions'!$B:$B,"&lt;"&amp;EDATE(DATEVALUE(A14&amp;"-01"),1),'Amex Transactions'!$I:$I,"Check")</f>
        <v/>
      </c>
    </row>
    <row r="15">
      <c r="A15" s="10" t="inlineStr">
        <is>
          <t>2025-06</t>
        </is>
      </c>
      <c r="B15" s="10">
        <f>COUNTIFS('Amex Transactions'!$B:$B,"&gt;="&amp;DATEVALUE(A15&amp;"-01"),'Amex Transactions'!$B:$B,"&lt;"&amp;EDATE(DATEVALUE(A15&amp;"-01"),1))</f>
        <v/>
      </c>
      <c r="C15" s="10">
        <f>SUMIFS('Amex Transactions'!$G:$G,'Amex Transactions'!$B:$B,"&gt;="&amp;DATEVALUE(A15&amp;"-01"),'Amex Transactions'!$B:$B,"&lt;"&amp;EDATE(DATEVALUE(A15&amp;"-01"),1),'Amex Transactions'!$G:$G,"&gt;0")</f>
        <v/>
      </c>
      <c r="D15" s="10">
        <f>SUMIFS('Amex Transactions'!$G:$G,'Amex Transactions'!$B:$B,"&gt;="&amp;DATEVALUE(A15&amp;"-01"),'Amex Transactions'!$B:$B,"&lt;"&amp;EDATE(DATEVALUE(A15&amp;"-01"),1),'Amex Transactions'!$G:$G,"&lt;0")</f>
        <v/>
      </c>
      <c r="E15" s="10">
        <f>C15+D15</f>
        <v/>
      </c>
      <c r="F15" s="10">
        <f>COUNTIFS('Amex Transactions'!$B:$B,"&gt;="&amp;DATEVALUE(A15&amp;"-01"),'Amex Transactions'!$B:$B,"&lt;"&amp;EDATE(DATEVALUE(A15&amp;"-01"),1),'Amex Transactions'!$I:$I,"Check")</f>
        <v/>
      </c>
    </row>
    <row r="16">
      <c r="A16" s="10" t="inlineStr">
        <is>
          <t>2025-07</t>
        </is>
      </c>
      <c r="B16" s="10">
        <f>COUNTIFS('Amex Transactions'!$B:$B,"&gt;="&amp;DATEVALUE(A16&amp;"-01"),'Amex Transactions'!$B:$B,"&lt;"&amp;EDATE(DATEVALUE(A16&amp;"-01"),1))</f>
        <v/>
      </c>
      <c r="C16" s="10">
        <f>SUMIFS('Amex Transactions'!$G:$G,'Amex Transactions'!$B:$B,"&gt;="&amp;DATEVALUE(A16&amp;"-01"),'Amex Transactions'!$B:$B,"&lt;"&amp;EDATE(DATEVALUE(A16&amp;"-01"),1),'Amex Transactions'!$G:$G,"&gt;0")</f>
        <v/>
      </c>
      <c r="D16" s="10">
        <f>SUMIFS('Amex Transactions'!$G:$G,'Amex Transactions'!$B:$B,"&gt;="&amp;DATEVALUE(A16&amp;"-01"),'Amex Transactions'!$B:$B,"&lt;"&amp;EDATE(DATEVALUE(A16&amp;"-01"),1),'Amex Transactions'!$G:$G,"&lt;0")</f>
        <v/>
      </c>
      <c r="E16" s="10">
        <f>C16+D16</f>
        <v/>
      </c>
      <c r="F16" s="10">
        <f>COUNTIFS('Amex Transactions'!$B:$B,"&gt;="&amp;DATEVALUE(A16&amp;"-01"),'Amex Transactions'!$B:$B,"&lt;"&amp;EDATE(DATEVALUE(A16&amp;"-01"),1),'Amex Transactions'!$I:$I,"Check")</f>
        <v/>
      </c>
    </row>
    <row r="17">
      <c r="A17" s="10" t="inlineStr">
        <is>
          <t>2025-08</t>
        </is>
      </c>
      <c r="B17" s="10">
        <f>COUNTIFS('Amex Transactions'!$B:$B,"&gt;="&amp;DATEVALUE(A17&amp;"-01"),'Amex Transactions'!$B:$B,"&lt;"&amp;EDATE(DATEVALUE(A17&amp;"-01"),1))</f>
        <v/>
      </c>
      <c r="C17" s="10">
        <f>SUMIFS('Amex Transactions'!$G:$G,'Amex Transactions'!$B:$B,"&gt;="&amp;DATEVALUE(A17&amp;"-01"),'Amex Transactions'!$B:$B,"&lt;"&amp;EDATE(DATEVALUE(A17&amp;"-01"),1),'Amex Transactions'!$G:$G,"&gt;0")</f>
        <v/>
      </c>
      <c r="D17" s="10">
        <f>SUMIFS('Amex Transactions'!$G:$G,'Amex Transactions'!$B:$B,"&gt;="&amp;DATEVALUE(A17&amp;"-01"),'Amex Transactions'!$B:$B,"&lt;"&amp;EDATE(DATEVALUE(A17&amp;"-01"),1),'Amex Transactions'!$G:$G,"&lt;0")</f>
        <v/>
      </c>
      <c r="E17" s="10">
        <f>C17+D17</f>
        <v/>
      </c>
      <c r="F17" s="10">
        <f>COUNTIFS('Amex Transactions'!$B:$B,"&gt;="&amp;DATEVALUE(A17&amp;"-01"),'Amex Transactions'!$B:$B,"&lt;"&amp;EDATE(DATEVALUE(A17&amp;"-01"),1),'Amex Transactions'!$I:$I,"Check")</f>
        <v/>
      </c>
    </row>
    <row r="18">
      <c r="A18" s="10" t="inlineStr">
        <is>
          <t>2025-09</t>
        </is>
      </c>
      <c r="B18" s="10">
        <f>COUNTIFS('Amex Transactions'!$B:$B,"&gt;="&amp;DATEVALUE(A18&amp;"-01"),'Amex Transactions'!$B:$B,"&lt;"&amp;EDATE(DATEVALUE(A18&amp;"-01"),1))</f>
        <v/>
      </c>
      <c r="C18" s="10">
        <f>SUMIFS('Amex Transactions'!$G:$G,'Amex Transactions'!$B:$B,"&gt;="&amp;DATEVALUE(A18&amp;"-01"),'Amex Transactions'!$B:$B,"&lt;"&amp;EDATE(DATEVALUE(A18&amp;"-01"),1),'Amex Transactions'!$G:$G,"&gt;0")</f>
        <v/>
      </c>
      <c r="D18" s="10">
        <f>SUMIFS('Amex Transactions'!$G:$G,'Amex Transactions'!$B:$B,"&gt;="&amp;DATEVALUE(A18&amp;"-01"),'Amex Transactions'!$B:$B,"&lt;"&amp;EDATE(DATEVALUE(A18&amp;"-01"),1),'Amex Transactions'!$G:$G,"&lt;0")</f>
        <v/>
      </c>
      <c r="E18" s="10">
        <f>C18+D18</f>
        <v/>
      </c>
      <c r="F18" s="10">
        <f>COUNTIFS('Amex Transactions'!$B:$B,"&gt;="&amp;DATEVALUE(A18&amp;"-01"),'Amex Transactions'!$B:$B,"&lt;"&amp;EDATE(DATEVALUE(A18&amp;"-01"),1),'Amex Transactions'!$I:$I,"Check")</f>
        <v/>
      </c>
    </row>
    <row r="19">
      <c r="A19" s="10" t="inlineStr">
        <is>
          <t>2025-10</t>
        </is>
      </c>
      <c r="B19" s="10">
        <f>COUNTIFS('Amex Transactions'!$B:$B,"&gt;="&amp;DATEVALUE(A19&amp;"-01"),'Amex Transactions'!$B:$B,"&lt;"&amp;EDATE(DATEVALUE(A19&amp;"-01"),1))</f>
        <v/>
      </c>
      <c r="C19" s="10">
        <f>SUMIFS('Amex Transactions'!$G:$G,'Amex Transactions'!$B:$B,"&gt;="&amp;DATEVALUE(A19&amp;"-01"),'Amex Transactions'!$B:$B,"&lt;"&amp;EDATE(DATEVALUE(A19&amp;"-01"),1),'Amex Transactions'!$G:$G,"&gt;0")</f>
        <v/>
      </c>
      <c r="D19" s="10">
        <f>SUMIFS('Amex Transactions'!$G:$G,'Amex Transactions'!$B:$B,"&gt;="&amp;DATEVALUE(A19&amp;"-01"),'Amex Transactions'!$B:$B,"&lt;"&amp;EDATE(DATEVALUE(A19&amp;"-01"),1),'Amex Transactions'!$G:$G,"&lt;0")</f>
        <v/>
      </c>
      <c r="E19" s="10">
        <f>C19+D19</f>
        <v/>
      </c>
      <c r="F19" s="10">
        <f>COUNTIFS('Amex Transactions'!$B:$B,"&gt;="&amp;DATEVALUE(A19&amp;"-01"),'Amex Transactions'!$B:$B,"&lt;"&amp;EDATE(DATEVALUE(A19&amp;"-01"),1),'Amex Transactions'!$I:$I,"Check")</f>
        <v/>
      </c>
    </row>
    <row r="20">
      <c r="A20" s="10" t="inlineStr">
        <is>
          <t>2025-11</t>
        </is>
      </c>
      <c r="B20" s="10">
        <f>COUNTIFS('Amex Transactions'!$B:$B,"&gt;="&amp;DATEVALUE(A20&amp;"-01"),'Amex Transactions'!$B:$B,"&lt;"&amp;EDATE(DATEVALUE(A20&amp;"-01"),1))</f>
        <v/>
      </c>
      <c r="C20" s="10">
        <f>SUMIFS('Amex Transactions'!$G:$G,'Amex Transactions'!$B:$B,"&gt;="&amp;DATEVALUE(A20&amp;"-01"),'Amex Transactions'!$B:$B,"&lt;"&amp;EDATE(DATEVALUE(A20&amp;"-01"),1),'Amex Transactions'!$G:$G,"&gt;0")</f>
        <v/>
      </c>
      <c r="D20" s="10">
        <f>SUMIFS('Amex Transactions'!$G:$G,'Amex Transactions'!$B:$B,"&gt;="&amp;DATEVALUE(A20&amp;"-01"),'Amex Transactions'!$B:$B,"&lt;"&amp;EDATE(DATEVALUE(A20&amp;"-01"),1),'Amex Transactions'!$G:$G,"&lt;0")</f>
        <v/>
      </c>
      <c r="E20" s="10">
        <f>C20+D20</f>
        <v/>
      </c>
      <c r="F20" s="10">
        <f>COUNTIFS('Amex Transactions'!$B:$B,"&gt;="&amp;DATEVALUE(A20&amp;"-01"),'Amex Transactions'!$B:$B,"&lt;"&amp;EDATE(DATEVALUE(A20&amp;"-01"),1),'Amex Transactions'!$I:$I,"Check")</f>
        <v/>
      </c>
    </row>
    <row r="21">
      <c r="A21" s="10" t="inlineStr">
        <is>
          <t>2025-12</t>
        </is>
      </c>
      <c r="B21" s="10">
        <f>COUNTIFS('Amex Transactions'!$B:$B,"&gt;="&amp;DATEVALUE(A21&amp;"-01"),'Amex Transactions'!$B:$B,"&lt;"&amp;EDATE(DATEVALUE(A21&amp;"-01"),1))</f>
        <v/>
      </c>
      <c r="C21" s="10">
        <f>SUMIFS('Amex Transactions'!$G:$G,'Amex Transactions'!$B:$B,"&gt;="&amp;DATEVALUE(A21&amp;"-01"),'Amex Transactions'!$B:$B,"&lt;"&amp;EDATE(DATEVALUE(A21&amp;"-01"),1),'Amex Transactions'!$G:$G,"&gt;0")</f>
        <v/>
      </c>
      <c r="D21" s="10">
        <f>SUMIFS('Amex Transactions'!$G:$G,'Amex Transactions'!$B:$B,"&gt;="&amp;DATEVALUE(A21&amp;"-01"),'Amex Transactions'!$B:$B,"&lt;"&amp;EDATE(DATEVALUE(A21&amp;"-01"),1),'Amex Transactions'!$G:$G,"&lt;0")</f>
        <v/>
      </c>
      <c r="E21" s="10">
        <f>C21+D21</f>
        <v/>
      </c>
      <c r="F21" s="10">
        <f>COUNTIFS('Amex Transactions'!$B:$B,"&gt;="&amp;DATEVALUE(A21&amp;"-01"),'Amex Transactions'!$B:$B,"&lt;"&amp;EDATE(DATEVALUE(A21&amp;"-01"),1),'Amex Transactions'!$I:$I,"Check")</f>
        <v/>
      </c>
    </row>
    <row r="22">
      <c r="A22" s="10" t="inlineStr">
        <is>
          <t>2026-01</t>
        </is>
      </c>
      <c r="B22" s="10">
        <f>COUNTIFS('Amex Transactions'!$B:$B,"&gt;="&amp;DATEVALUE(A22&amp;"-01"),'Amex Transactions'!$B:$B,"&lt;"&amp;EDATE(DATEVALUE(A22&amp;"-01"),1))</f>
        <v/>
      </c>
      <c r="C22" s="10">
        <f>SUMIFS('Amex Transactions'!$G:$G,'Amex Transactions'!$B:$B,"&gt;="&amp;DATEVALUE(A22&amp;"-01"),'Amex Transactions'!$B:$B,"&lt;"&amp;EDATE(DATEVALUE(A22&amp;"-01"),1),'Amex Transactions'!$G:$G,"&gt;0")</f>
        <v/>
      </c>
      <c r="D22" s="10">
        <f>SUMIFS('Amex Transactions'!$G:$G,'Amex Transactions'!$B:$B,"&gt;="&amp;DATEVALUE(A22&amp;"-01"),'Amex Transactions'!$B:$B,"&lt;"&amp;EDATE(DATEVALUE(A22&amp;"-01"),1),'Amex Transactions'!$G:$G,"&lt;0")</f>
        <v/>
      </c>
      <c r="E22" s="10">
        <f>C22+D22</f>
        <v/>
      </c>
      <c r="F22" s="10">
        <f>COUNTIFS('Amex Transactions'!$B:$B,"&gt;="&amp;DATEVALUE(A22&amp;"-01"),'Amex Transactions'!$B:$B,"&lt;"&amp;EDATE(DATEVALUE(A22&amp;"-01"),1),'Amex Transactions'!$I:$I,"Check")</f>
        <v/>
      </c>
    </row>
    <row r="23">
      <c r="A23" s="10" t="inlineStr">
        <is>
          <t>2026-02</t>
        </is>
      </c>
      <c r="B23" s="10">
        <f>COUNTIFS('Amex Transactions'!$B:$B,"&gt;="&amp;DATEVALUE(A23&amp;"-01"),'Amex Transactions'!$B:$B,"&lt;"&amp;EDATE(DATEVALUE(A23&amp;"-01"),1))</f>
        <v/>
      </c>
      <c r="C23" s="10">
        <f>SUMIFS('Amex Transactions'!$G:$G,'Amex Transactions'!$B:$B,"&gt;="&amp;DATEVALUE(A23&amp;"-01"),'Amex Transactions'!$B:$B,"&lt;"&amp;EDATE(DATEVALUE(A23&amp;"-01"),1),'Amex Transactions'!$G:$G,"&gt;0")</f>
        <v/>
      </c>
      <c r="D23" s="10">
        <f>SUMIFS('Amex Transactions'!$G:$G,'Amex Transactions'!$B:$B,"&gt;="&amp;DATEVALUE(A23&amp;"-01"),'Amex Transactions'!$B:$B,"&lt;"&amp;EDATE(DATEVALUE(A23&amp;"-01"),1),'Amex Transactions'!$G:$G,"&lt;0")</f>
        <v/>
      </c>
      <c r="E23" s="10">
        <f>C23+D23</f>
        <v/>
      </c>
      <c r="F23" s="10">
        <f>COUNTIFS('Amex Transactions'!$B:$B,"&gt;="&amp;DATEVALUE(A23&amp;"-01"),'Amex Transactions'!$B:$B,"&lt;"&amp;EDATE(DATEVALUE(A23&amp;"-01"),1),'Amex Transactions'!$I:$I,"Check")</f>
        <v/>
      </c>
    </row>
    <row r="24">
      <c r="A24" s="10" t="inlineStr">
        <is>
          <t>2026-03</t>
        </is>
      </c>
      <c r="B24" s="10">
        <f>COUNTIFS('Amex Transactions'!$B:$B,"&gt;="&amp;DATEVALUE(A24&amp;"-01"),'Amex Transactions'!$B:$B,"&lt;"&amp;EDATE(DATEVALUE(A24&amp;"-01"),1))</f>
        <v/>
      </c>
      <c r="C24" s="10">
        <f>SUMIFS('Amex Transactions'!$G:$G,'Amex Transactions'!$B:$B,"&gt;="&amp;DATEVALUE(A24&amp;"-01"),'Amex Transactions'!$B:$B,"&lt;"&amp;EDATE(DATEVALUE(A24&amp;"-01"),1),'Amex Transactions'!$G:$G,"&gt;0")</f>
        <v/>
      </c>
      <c r="D24" s="10">
        <f>SUMIFS('Amex Transactions'!$G:$G,'Amex Transactions'!$B:$B,"&gt;="&amp;DATEVALUE(A24&amp;"-01"),'Amex Transactions'!$B:$B,"&lt;"&amp;EDATE(DATEVALUE(A24&amp;"-01"),1),'Amex Transactions'!$G:$G,"&lt;0")</f>
        <v/>
      </c>
      <c r="E24" s="10">
        <f>C24+D24</f>
        <v/>
      </c>
      <c r="F24" s="10">
        <f>COUNTIFS('Amex Transactions'!$B:$B,"&gt;="&amp;DATEVALUE(A24&amp;"-01"),'Amex Transactions'!$B:$B,"&lt;"&amp;EDATE(DATEVALUE(A24&amp;"-01"),1),'Amex Transactions'!$I:$I,"Check")</f>
        <v/>
      </c>
    </row>
  </sheetData>
  <autoFilter ref="A4:F24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6" customWidth="1" min="4" max="4"/>
    <col width="20" customWidth="1" min="5" max="5"/>
    <col width="16" customWidth="1" min="6" max="6"/>
    <col width="14" customWidth="1" min="7" max="7"/>
  </cols>
  <sheetData>
    <row r="1" ht="24" customHeight="1">
      <c r="A1" s="1" t="inlineStr">
        <is>
          <t>Category Summary</t>
        </is>
      </c>
    </row>
    <row r="2">
      <c r="A2" s="2" t="inlineStr">
        <is>
          <t>Spend by owner and category.</t>
        </is>
      </c>
    </row>
    <row r="4">
      <c r="A4" s="7" t="inlineStr">
        <is>
          <t>Belongs To</t>
        </is>
      </c>
      <c r="B4" s="7" t="inlineStr">
        <is>
          <t>Category</t>
        </is>
      </c>
      <c r="C4" s="7" t="inlineStr">
        <is>
          <t>Transactions</t>
        </is>
      </c>
      <c r="D4" s="7" t="inlineStr">
        <is>
          <t>Spend HKD</t>
        </is>
      </c>
      <c r="E4" s="7" t="inlineStr">
        <is>
          <t>Payments/Credits HKD</t>
        </is>
      </c>
      <c r="F4" s="7" t="inlineStr">
        <is>
          <t>Net HKD</t>
        </is>
      </c>
      <c r="G4" s="7" t="inlineStr">
        <is>
          <t>Review Items</t>
        </is>
      </c>
    </row>
    <row r="5">
      <c r="A5" s="10" t="inlineStr">
        <is>
          <t>Family</t>
        </is>
      </c>
      <c r="B5" s="10" t="inlineStr">
        <is>
          <t>Airfare</t>
        </is>
      </c>
      <c r="C5" s="10">
        <f>COUNTIFS('Amex Transactions'!$E:$E,A5,'Amex Transactions'!$D:$D,B5)</f>
        <v/>
      </c>
      <c r="D5" s="10">
        <f>SUMIFS('Amex Transactions'!$G:$G,'Amex Transactions'!$E:$E,A5,'Amex Transactions'!$D:$D,B5,'Amex Transactions'!$G:$G,"&gt;0")</f>
        <v/>
      </c>
      <c r="E5" s="10">
        <f>SUMIFS('Amex Transactions'!$G:$G,'Amex Transactions'!$E:$E,A5,'Amex Transactions'!$D:$D,B5,'Amex Transactions'!$G:$G,"&lt;0")</f>
        <v/>
      </c>
      <c r="F5" s="10">
        <f>D5+E5</f>
        <v/>
      </c>
      <c r="G5" s="10">
        <f>COUNTIFS('Amex Transactions'!$E:$E,A5,'Amex Transactions'!$D:$D,B5,'Amex Transactions'!$I:$I,"Check")</f>
        <v/>
      </c>
    </row>
    <row r="6">
      <c r="A6" s="10" t="inlineStr">
        <is>
          <t>Family</t>
        </is>
      </c>
      <c r="B6" s="10" t="inlineStr">
        <is>
          <t>Art</t>
        </is>
      </c>
      <c r="C6" s="10">
        <f>COUNTIFS('Amex Transactions'!$E:$E,A6,'Amex Transactions'!$D:$D,B6)</f>
        <v/>
      </c>
      <c r="D6" s="10">
        <f>SUMIFS('Amex Transactions'!$G:$G,'Amex Transactions'!$E:$E,A6,'Amex Transactions'!$D:$D,B6,'Amex Transactions'!$G:$G,"&gt;0")</f>
        <v/>
      </c>
      <c r="E6" s="10">
        <f>SUMIFS('Amex Transactions'!$G:$G,'Amex Transactions'!$E:$E,A6,'Amex Transactions'!$D:$D,B6,'Amex Transactions'!$G:$G,"&lt;0")</f>
        <v/>
      </c>
      <c r="F6" s="10">
        <f>D6+E6</f>
        <v/>
      </c>
      <c r="G6" s="10">
        <f>COUNTIFS('Amex Transactions'!$E:$E,A6,'Amex Transactions'!$D:$D,B6,'Amex Transactions'!$I:$I,"Check")</f>
        <v/>
      </c>
    </row>
    <row r="7">
      <c r="A7" s="10" t="inlineStr">
        <is>
          <t>Family</t>
        </is>
      </c>
      <c r="B7" s="10" t="inlineStr">
        <is>
          <t>Beauty</t>
        </is>
      </c>
      <c r="C7" s="10">
        <f>COUNTIFS('Amex Transactions'!$E:$E,A7,'Amex Transactions'!$D:$D,B7)</f>
        <v/>
      </c>
      <c r="D7" s="10">
        <f>SUMIFS('Amex Transactions'!$G:$G,'Amex Transactions'!$E:$E,A7,'Amex Transactions'!$D:$D,B7,'Amex Transactions'!$G:$G,"&gt;0")</f>
        <v/>
      </c>
      <c r="E7" s="10">
        <f>SUMIFS('Amex Transactions'!$G:$G,'Amex Transactions'!$E:$E,A7,'Amex Transactions'!$D:$D,B7,'Amex Transactions'!$G:$G,"&lt;0")</f>
        <v/>
      </c>
      <c r="F7" s="10">
        <f>D7+E7</f>
        <v/>
      </c>
      <c r="G7" s="10">
        <f>COUNTIFS('Amex Transactions'!$E:$E,A7,'Amex Transactions'!$D:$D,B7,'Amex Transactions'!$I:$I,"Check")</f>
        <v/>
      </c>
    </row>
    <row r="8">
      <c r="A8" s="10" t="inlineStr">
        <is>
          <t>Family</t>
        </is>
      </c>
      <c r="B8" s="10" t="inlineStr">
        <is>
          <t>Book &amp; Kindle</t>
        </is>
      </c>
      <c r="C8" s="10">
        <f>COUNTIFS('Amex Transactions'!$E:$E,A8,'Amex Transactions'!$D:$D,B8)</f>
        <v/>
      </c>
      <c r="D8" s="10">
        <f>SUMIFS('Amex Transactions'!$G:$G,'Amex Transactions'!$E:$E,A8,'Amex Transactions'!$D:$D,B8,'Amex Transactions'!$G:$G,"&gt;0")</f>
        <v/>
      </c>
      <c r="E8" s="10">
        <f>SUMIFS('Amex Transactions'!$G:$G,'Amex Transactions'!$E:$E,A8,'Amex Transactions'!$D:$D,B8,'Amex Transactions'!$G:$G,"&lt;0")</f>
        <v/>
      </c>
      <c r="F8" s="10">
        <f>D8+E8</f>
        <v/>
      </c>
      <c r="G8" s="10">
        <f>COUNTIFS('Amex Transactions'!$E:$E,A8,'Amex Transactions'!$D:$D,B8,'Amex Transactions'!$I:$I,"Check")</f>
        <v/>
      </c>
    </row>
    <row r="9">
      <c r="A9" s="10" t="inlineStr">
        <is>
          <t>Family</t>
        </is>
      </c>
      <c r="B9" s="10" t="inlineStr">
        <is>
          <t>Charity</t>
        </is>
      </c>
      <c r="C9" s="10">
        <f>COUNTIFS('Amex Transactions'!$E:$E,A9,'Amex Transactions'!$D:$D,B9)</f>
        <v/>
      </c>
      <c r="D9" s="10">
        <f>SUMIFS('Amex Transactions'!$G:$G,'Amex Transactions'!$E:$E,A9,'Amex Transactions'!$D:$D,B9,'Amex Transactions'!$G:$G,"&gt;0")</f>
        <v/>
      </c>
      <c r="E9" s="10">
        <f>SUMIFS('Amex Transactions'!$G:$G,'Amex Transactions'!$E:$E,A9,'Amex Transactions'!$D:$D,B9,'Amex Transactions'!$G:$G,"&lt;0")</f>
        <v/>
      </c>
      <c r="F9" s="10">
        <f>D9+E9</f>
        <v/>
      </c>
      <c r="G9" s="10">
        <f>COUNTIFS('Amex Transactions'!$E:$E,A9,'Amex Transactions'!$D:$D,B9,'Amex Transactions'!$I:$I,"Check")</f>
        <v/>
      </c>
    </row>
    <row r="10">
      <c r="A10" s="10" t="inlineStr">
        <is>
          <t>Family</t>
        </is>
      </c>
      <c r="B10" s="10" t="inlineStr">
        <is>
          <t>Clinic</t>
        </is>
      </c>
      <c r="C10" s="10">
        <f>COUNTIFS('Amex Transactions'!$E:$E,A10,'Amex Transactions'!$D:$D,B10)</f>
        <v/>
      </c>
      <c r="D10" s="10">
        <f>SUMIFS('Amex Transactions'!$G:$G,'Amex Transactions'!$E:$E,A10,'Amex Transactions'!$D:$D,B10,'Amex Transactions'!$G:$G,"&gt;0")</f>
        <v/>
      </c>
      <c r="E10" s="10">
        <f>SUMIFS('Amex Transactions'!$G:$G,'Amex Transactions'!$E:$E,A10,'Amex Transactions'!$D:$D,B10,'Amex Transactions'!$G:$G,"&lt;0")</f>
        <v/>
      </c>
      <c r="F10" s="10">
        <f>D10+E10</f>
        <v/>
      </c>
      <c r="G10" s="10">
        <f>COUNTIFS('Amex Transactions'!$E:$E,A10,'Amex Transactions'!$D:$D,B10,'Amex Transactions'!$I:$I,"Check")</f>
        <v/>
      </c>
    </row>
    <row r="11">
      <c r="A11" s="10" t="inlineStr">
        <is>
          <t>Family</t>
        </is>
      </c>
      <c r="B11" s="10" t="inlineStr">
        <is>
          <t>Clothes &amp; Shoes</t>
        </is>
      </c>
      <c r="C11" s="10">
        <f>COUNTIFS('Amex Transactions'!$E:$E,A11,'Amex Transactions'!$D:$D,B11)</f>
        <v/>
      </c>
      <c r="D11" s="10">
        <f>SUMIFS('Amex Transactions'!$G:$G,'Amex Transactions'!$E:$E,A11,'Amex Transactions'!$D:$D,B11,'Amex Transactions'!$G:$G,"&gt;0")</f>
        <v/>
      </c>
      <c r="E11" s="10">
        <f>SUMIFS('Amex Transactions'!$G:$G,'Amex Transactions'!$E:$E,A11,'Amex Transactions'!$D:$D,B11,'Amex Transactions'!$G:$G,"&lt;0")</f>
        <v/>
      </c>
      <c r="F11" s="10">
        <f>D11+E11</f>
        <v/>
      </c>
      <c r="G11" s="10">
        <f>COUNTIFS('Amex Transactions'!$E:$E,A11,'Amex Transactions'!$D:$D,B11,'Amex Transactions'!$I:$I,"Check")</f>
        <v/>
      </c>
    </row>
    <row r="12">
      <c r="A12" s="10" t="inlineStr">
        <is>
          <t>Family</t>
        </is>
      </c>
      <c r="B12" s="10" t="inlineStr">
        <is>
          <t>Dining out</t>
        </is>
      </c>
      <c r="C12" s="10">
        <f>COUNTIFS('Amex Transactions'!$E:$E,A12,'Amex Transactions'!$D:$D,B12)</f>
        <v/>
      </c>
      <c r="D12" s="10">
        <f>SUMIFS('Amex Transactions'!$G:$G,'Amex Transactions'!$E:$E,A12,'Amex Transactions'!$D:$D,B12,'Amex Transactions'!$G:$G,"&gt;0")</f>
        <v/>
      </c>
      <c r="E12" s="10">
        <f>SUMIFS('Amex Transactions'!$G:$G,'Amex Transactions'!$E:$E,A12,'Amex Transactions'!$D:$D,B12,'Amex Transactions'!$G:$G,"&lt;0")</f>
        <v/>
      </c>
      <c r="F12" s="10">
        <f>D12+E12</f>
        <v/>
      </c>
      <c r="G12" s="10">
        <f>COUNTIFS('Amex Transactions'!$E:$E,A12,'Amex Transactions'!$D:$D,B12,'Amex Transactions'!$I:$I,"Check")</f>
        <v/>
      </c>
    </row>
    <row r="13">
      <c r="A13" s="10" t="inlineStr">
        <is>
          <t>Family</t>
        </is>
      </c>
      <c r="B13" s="10" t="inlineStr">
        <is>
          <t>Electronics</t>
        </is>
      </c>
      <c r="C13" s="10">
        <f>COUNTIFS('Amex Transactions'!$E:$E,A13,'Amex Transactions'!$D:$D,B13)</f>
        <v/>
      </c>
      <c r="D13" s="10">
        <f>SUMIFS('Amex Transactions'!$G:$G,'Amex Transactions'!$E:$E,A13,'Amex Transactions'!$D:$D,B13,'Amex Transactions'!$G:$G,"&gt;0")</f>
        <v/>
      </c>
      <c r="E13" s="10">
        <f>SUMIFS('Amex Transactions'!$G:$G,'Amex Transactions'!$E:$E,A13,'Amex Transactions'!$D:$D,B13,'Amex Transactions'!$G:$G,"&lt;0")</f>
        <v/>
      </c>
      <c r="F13" s="10">
        <f>D13+E13</f>
        <v/>
      </c>
      <c r="G13" s="10">
        <f>COUNTIFS('Amex Transactions'!$E:$E,A13,'Amex Transactions'!$D:$D,B13,'Amex Transactions'!$I:$I,"Check")</f>
        <v/>
      </c>
    </row>
    <row r="14">
      <c r="A14" s="10" t="inlineStr">
        <is>
          <t>Family</t>
        </is>
      </c>
      <c r="B14" s="10" t="inlineStr">
        <is>
          <t>Entertainment</t>
        </is>
      </c>
      <c r="C14" s="10">
        <f>COUNTIFS('Amex Transactions'!$E:$E,A14,'Amex Transactions'!$D:$D,B14)</f>
        <v/>
      </c>
      <c r="D14" s="10">
        <f>SUMIFS('Amex Transactions'!$G:$G,'Amex Transactions'!$E:$E,A14,'Amex Transactions'!$D:$D,B14,'Amex Transactions'!$G:$G,"&gt;0")</f>
        <v/>
      </c>
      <c r="E14" s="10">
        <f>SUMIFS('Amex Transactions'!$G:$G,'Amex Transactions'!$E:$E,A14,'Amex Transactions'!$D:$D,B14,'Amex Transactions'!$G:$G,"&lt;0")</f>
        <v/>
      </c>
      <c r="F14" s="10">
        <f>D14+E14</f>
        <v/>
      </c>
      <c r="G14" s="10">
        <f>COUNTIFS('Amex Transactions'!$E:$E,A14,'Amex Transactions'!$D:$D,B14,'Amex Transactions'!$I:$I,"Check")</f>
        <v/>
      </c>
    </row>
    <row r="15">
      <c r="A15" s="10" t="inlineStr">
        <is>
          <t>Family</t>
        </is>
      </c>
      <c r="B15" s="10" t="inlineStr">
        <is>
          <t>Fees</t>
        </is>
      </c>
      <c r="C15" s="10">
        <f>COUNTIFS('Amex Transactions'!$E:$E,A15,'Amex Transactions'!$D:$D,B15)</f>
        <v/>
      </c>
      <c r="D15" s="10">
        <f>SUMIFS('Amex Transactions'!$G:$G,'Amex Transactions'!$E:$E,A15,'Amex Transactions'!$D:$D,B15,'Amex Transactions'!$G:$G,"&gt;0")</f>
        <v/>
      </c>
      <c r="E15" s="10">
        <f>SUMIFS('Amex Transactions'!$G:$G,'Amex Transactions'!$E:$E,A15,'Amex Transactions'!$D:$D,B15,'Amex Transactions'!$G:$G,"&lt;0")</f>
        <v/>
      </c>
      <c r="F15" s="10">
        <f>D15+E15</f>
        <v/>
      </c>
      <c r="G15" s="10">
        <f>COUNTIFS('Amex Transactions'!$E:$E,A15,'Amex Transactions'!$D:$D,B15,'Amex Transactions'!$I:$I,"Check")</f>
        <v/>
      </c>
    </row>
    <row r="16">
      <c r="A16" s="10" t="inlineStr">
        <is>
          <t>Family</t>
        </is>
      </c>
      <c r="B16" s="10" t="inlineStr">
        <is>
          <t>Fitness Equipment</t>
        </is>
      </c>
      <c r="C16" s="10">
        <f>COUNTIFS('Amex Transactions'!$E:$E,A16,'Amex Transactions'!$D:$D,B16)</f>
        <v/>
      </c>
      <c r="D16" s="10">
        <f>SUMIFS('Amex Transactions'!$G:$G,'Amex Transactions'!$E:$E,A16,'Amex Transactions'!$D:$D,B16,'Amex Transactions'!$G:$G,"&gt;0")</f>
        <v/>
      </c>
      <c r="E16" s="10">
        <f>SUMIFS('Amex Transactions'!$G:$G,'Amex Transactions'!$E:$E,A16,'Amex Transactions'!$D:$D,B16,'Amex Transactions'!$G:$G,"&lt;0")</f>
        <v/>
      </c>
      <c r="F16" s="10">
        <f>D16+E16</f>
        <v/>
      </c>
      <c r="G16" s="10">
        <f>COUNTIFS('Amex Transactions'!$E:$E,A16,'Amex Transactions'!$D:$D,B16,'Amex Transactions'!$I:$I,"Check")</f>
        <v/>
      </c>
    </row>
    <row r="17">
      <c r="A17" s="10" t="inlineStr">
        <is>
          <t>Family</t>
        </is>
      </c>
      <c r="B17" s="10" t="inlineStr">
        <is>
          <t>Flowers</t>
        </is>
      </c>
      <c r="C17" s="10">
        <f>COUNTIFS('Amex Transactions'!$E:$E,A17,'Amex Transactions'!$D:$D,B17)</f>
        <v/>
      </c>
      <c r="D17" s="10">
        <f>SUMIFS('Amex Transactions'!$G:$G,'Amex Transactions'!$E:$E,A17,'Amex Transactions'!$D:$D,B17,'Amex Transactions'!$G:$G,"&gt;0")</f>
        <v/>
      </c>
      <c r="E17" s="10">
        <f>SUMIFS('Amex Transactions'!$G:$G,'Amex Transactions'!$E:$E,A17,'Amex Transactions'!$D:$D,B17,'Amex Transactions'!$G:$G,"&lt;0")</f>
        <v/>
      </c>
      <c r="F17" s="10">
        <f>D17+E17</f>
        <v/>
      </c>
      <c r="G17" s="10">
        <f>COUNTIFS('Amex Transactions'!$E:$E,A17,'Amex Transactions'!$D:$D,B17,'Amex Transactions'!$I:$I,"Check")</f>
        <v/>
      </c>
    </row>
    <row r="18">
      <c r="A18" s="10" t="inlineStr">
        <is>
          <t>Family</t>
        </is>
      </c>
      <c r="B18" s="10" t="inlineStr">
        <is>
          <t>Food</t>
        </is>
      </c>
      <c r="C18" s="10">
        <f>COUNTIFS('Amex Transactions'!$E:$E,A18,'Amex Transactions'!$D:$D,B18)</f>
        <v/>
      </c>
      <c r="D18" s="10">
        <f>SUMIFS('Amex Transactions'!$G:$G,'Amex Transactions'!$E:$E,A18,'Amex Transactions'!$D:$D,B18,'Amex Transactions'!$G:$G,"&gt;0")</f>
        <v/>
      </c>
      <c r="E18" s="10">
        <f>SUMIFS('Amex Transactions'!$G:$G,'Amex Transactions'!$E:$E,A18,'Amex Transactions'!$D:$D,B18,'Amex Transactions'!$G:$G,"&lt;0")</f>
        <v/>
      </c>
      <c r="F18" s="10">
        <f>D18+E18</f>
        <v/>
      </c>
      <c r="G18" s="10">
        <f>COUNTIFS('Amex Transactions'!$E:$E,A18,'Amex Transactions'!$D:$D,B18,'Amex Transactions'!$I:$I,"Check")</f>
        <v/>
      </c>
    </row>
    <row r="19">
      <c r="A19" s="10" t="inlineStr">
        <is>
          <t>Family</t>
        </is>
      </c>
      <c r="B19" s="10" t="inlineStr">
        <is>
          <t>Glasses</t>
        </is>
      </c>
      <c r="C19" s="10">
        <f>COUNTIFS('Amex Transactions'!$E:$E,A19,'Amex Transactions'!$D:$D,B19)</f>
        <v/>
      </c>
      <c r="D19" s="10">
        <f>SUMIFS('Amex Transactions'!$G:$G,'Amex Transactions'!$E:$E,A19,'Amex Transactions'!$D:$D,B19,'Amex Transactions'!$G:$G,"&gt;0")</f>
        <v/>
      </c>
      <c r="E19" s="10">
        <f>SUMIFS('Amex Transactions'!$G:$G,'Amex Transactions'!$E:$E,A19,'Amex Transactions'!$D:$D,B19,'Amex Transactions'!$G:$G,"&lt;0")</f>
        <v/>
      </c>
      <c r="F19" s="10">
        <f>D19+E19</f>
        <v/>
      </c>
      <c r="G19" s="10">
        <f>COUNTIFS('Amex Transactions'!$E:$E,A19,'Amex Transactions'!$D:$D,B19,'Amex Transactions'!$I:$I,"Check")</f>
        <v/>
      </c>
    </row>
    <row r="20">
      <c r="A20" s="10" t="inlineStr">
        <is>
          <t>Family</t>
        </is>
      </c>
      <c r="B20" s="10" t="inlineStr">
        <is>
          <t>Groceries</t>
        </is>
      </c>
      <c r="C20" s="10">
        <f>COUNTIFS('Amex Transactions'!$E:$E,A20,'Amex Transactions'!$D:$D,B20)</f>
        <v/>
      </c>
      <c r="D20" s="10">
        <f>SUMIFS('Amex Transactions'!$G:$G,'Amex Transactions'!$E:$E,A20,'Amex Transactions'!$D:$D,B20,'Amex Transactions'!$G:$G,"&gt;0")</f>
        <v/>
      </c>
      <c r="E20" s="10">
        <f>SUMIFS('Amex Transactions'!$G:$G,'Amex Transactions'!$E:$E,A20,'Amex Transactions'!$D:$D,B20,'Amex Transactions'!$G:$G,"&lt;0")</f>
        <v/>
      </c>
      <c r="F20" s="10">
        <f>D20+E20</f>
        <v/>
      </c>
      <c r="G20" s="10">
        <f>COUNTIFS('Amex Transactions'!$E:$E,A20,'Amex Transactions'!$D:$D,B20,'Amex Transactions'!$I:$I,"Check")</f>
        <v/>
      </c>
    </row>
    <row r="21">
      <c r="A21" s="10" t="inlineStr">
        <is>
          <t>Family</t>
        </is>
      </c>
      <c r="B21" s="10" t="inlineStr">
        <is>
          <t>Health</t>
        </is>
      </c>
      <c r="C21" s="10">
        <f>COUNTIFS('Amex Transactions'!$E:$E,A21,'Amex Transactions'!$D:$D,B21)</f>
        <v/>
      </c>
      <c r="D21" s="10">
        <f>SUMIFS('Amex Transactions'!$G:$G,'Amex Transactions'!$E:$E,A21,'Amex Transactions'!$D:$D,B21,'Amex Transactions'!$G:$G,"&gt;0")</f>
        <v/>
      </c>
      <c r="E21" s="10">
        <f>SUMIFS('Amex Transactions'!$G:$G,'Amex Transactions'!$E:$E,A21,'Amex Transactions'!$D:$D,B21,'Amex Transactions'!$G:$G,"&lt;0")</f>
        <v/>
      </c>
      <c r="F21" s="10">
        <f>D21+E21</f>
        <v/>
      </c>
      <c r="G21" s="10">
        <f>COUNTIFS('Amex Transactions'!$E:$E,A21,'Amex Transactions'!$D:$D,B21,'Amex Transactions'!$I:$I,"Check")</f>
        <v/>
      </c>
    </row>
    <row r="22">
      <c r="A22" s="10" t="inlineStr">
        <is>
          <t>Family</t>
        </is>
      </c>
      <c r="B22" s="10" t="inlineStr">
        <is>
          <t>Hotel</t>
        </is>
      </c>
      <c r="C22" s="10">
        <f>COUNTIFS('Amex Transactions'!$E:$E,A22,'Amex Transactions'!$D:$D,B22)</f>
        <v/>
      </c>
      <c r="D22" s="10">
        <f>SUMIFS('Amex Transactions'!$G:$G,'Amex Transactions'!$E:$E,A22,'Amex Transactions'!$D:$D,B22,'Amex Transactions'!$G:$G,"&gt;0")</f>
        <v/>
      </c>
      <c r="E22" s="10">
        <f>SUMIFS('Amex Transactions'!$G:$G,'Amex Transactions'!$E:$E,A22,'Amex Transactions'!$D:$D,B22,'Amex Transactions'!$G:$G,"&lt;0")</f>
        <v/>
      </c>
      <c r="F22" s="10">
        <f>D22+E22</f>
        <v/>
      </c>
      <c r="G22" s="10">
        <f>COUNTIFS('Amex Transactions'!$E:$E,A22,'Amex Transactions'!$D:$D,B22,'Amex Transactions'!$I:$I,"Check")</f>
        <v/>
      </c>
    </row>
    <row r="23">
      <c r="A23" s="10" t="inlineStr">
        <is>
          <t>Family</t>
        </is>
      </c>
      <c r="B23" s="10" t="inlineStr">
        <is>
          <t>Housewares</t>
        </is>
      </c>
      <c r="C23" s="10">
        <f>COUNTIFS('Amex Transactions'!$E:$E,A23,'Amex Transactions'!$D:$D,B23)</f>
        <v/>
      </c>
      <c r="D23" s="10">
        <f>SUMIFS('Amex Transactions'!$G:$G,'Amex Transactions'!$E:$E,A23,'Amex Transactions'!$D:$D,B23,'Amex Transactions'!$G:$G,"&gt;0")</f>
        <v/>
      </c>
      <c r="E23" s="10">
        <f>SUMIFS('Amex Transactions'!$G:$G,'Amex Transactions'!$E:$E,A23,'Amex Transactions'!$D:$D,B23,'Amex Transactions'!$G:$G,"&lt;0")</f>
        <v/>
      </c>
      <c r="F23" s="10">
        <f>D23+E23</f>
        <v/>
      </c>
      <c r="G23" s="10">
        <f>COUNTIFS('Amex Transactions'!$E:$E,A23,'Amex Transactions'!$D:$D,B23,'Amex Transactions'!$I:$I,"Check")</f>
        <v/>
      </c>
    </row>
    <row r="24">
      <c r="A24" s="10" t="inlineStr">
        <is>
          <t>Family</t>
        </is>
      </c>
      <c r="B24" s="10" t="inlineStr">
        <is>
          <t>Jewellery</t>
        </is>
      </c>
      <c r="C24" s="10">
        <f>COUNTIFS('Amex Transactions'!$E:$E,A24,'Amex Transactions'!$D:$D,B24)</f>
        <v/>
      </c>
      <c r="D24" s="10">
        <f>SUMIFS('Amex Transactions'!$G:$G,'Amex Transactions'!$E:$E,A24,'Amex Transactions'!$D:$D,B24,'Amex Transactions'!$G:$G,"&gt;0")</f>
        <v/>
      </c>
      <c r="E24" s="10">
        <f>SUMIFS('Amex Transactions'!$G:$G,'Amex Transactions'!$E:$E,A24,'Amex Transactions'!$D:$D,B24,'Amex Transactions'!$G:$G,"&lt;0")</f>
        <v/>
      </c>
      <c r="F24" s="10">
        <f>D24+E24</f>
        <v/>
      </c>
      <c r="G24" s="10">
        <f>COUNTIFS('Amex Transactions'!$E:$E,A24,'Amex Transactions'!$D:$D,B24,'Amex Transactions'!$I:$I,"Check")</f>
        <v/>
      </c>
    </row>
    <row r="25">
      <c r="A25" s="10" t="inlineStr">
        <is>
          <t>Family</t>
        </is>
      </c>
      <c r="B25" s="10" t="inlineStr">
        <is>
          <t>Massage</t>
        </is>
      </c>
      <c r="C25" s="10">
        <f>COUNTIFS('Amex Transactions'!$E:$E,A25,'Amex Transactions'!$D:$D,B25)</f>
        <v/>
      </c>
      <c r="D25" s="10">
        <f>SUMIFS('Amex Transactions'!$G:$G,'Amex Transactions'!$E:$E,A25,'Amex Transactions'!$D:$D,B25,'Amex Transactions'!$G:$G,"&gt;0")</f>
        <v/>
      </c>
      <c r="E25" s="10">
        <f>SUMIFS('Amex Transactions'!$G:$G,'Amex Transactions'!$E:$E,A25,'Amex Transactions'!$D:$D,B25,'Amex Transactions'!$G:$G,"&lt;0")</f>
        <v/>
      </c>
      <c r="F25" s="10">
        <f>D25+E25</f>
        <v/>
      </c>
      <c r="G25" s="10">
        <f>COUNTIFS('Amex Transactions'!$E:$E,A25,'Amex Transactions'!$D:$D,B25,'Amex Transactions'!$I:$I,"Check")</f>
        <v/>
      </c>
    </row>
    <row r="26">
      <c r="A26" s="10" t="inlineStr">
        <is>
          <t>Family</t>
        </is>
      </c>
      <c r="B26" s="10" t="inlineStr">
        <is>
          <t>Membership</t>
        </is>
      </c>
      <c r="C26" s="10">
        <f>COUNTIFS('Amex Transactions'!$E:$E,A26,'Amex Transactions'!$D:$D,B26)</f>
        <v/>
      </c>
      <c r="D26" s="10">
        <f>SUMIFS('Amex Transactions'!$G:$G,'Amex Transactions'!$E:$E,A26,'Amex Transactions'!$D:$D,B26,'Amex Transactions'!$G:$G,"&gt;0")</f>
        <v/>
      </c>
      <c r="E26" s="10">
        <f>SUMIFS('Amex Transactions'!$G:$G,'Amex Transactions'!$E:$E,A26,'Amex Transactions'!$D:$D,B26,'Amex Transactions'!$G:$G,"&lt;0")</f>
        <v/>
      </c>
      <c r="F26" s="10">
        <f>D26+E26</f>
        <v/>
      </c>
      <c r="G26" s="10">
        <f>COUNTIFS('Amex Transactions'!$E:$E,A26,'Amex Transactions'!$D:$D,B26,'Amex Transactions'!$I:$I,"Check")</f>
        <v/>
      </c>
    </row>
    <row r="27">
      <c r="A27" s="10" t="inlineStr">
        <is>
          <t>Family</t>
        </is>
      </c>
      <c r="B27" s="10" t="inlineStr">
        <is>
          <t>Misc</t>
        </is>
      </c>
      <c r="C27" s="10">
        <f>COUNTIFS('Amex Transactions'!$E:$E,A27,'Amex Transactions'!$D:$D,B27)</f>
        <v/>
      </c>
      <c r="D27" s="10">
        <f>SUMIFS('Amex Transactions'!$G:$G,'Amex Transactions'!$E:$E,A27,'Amex Transactions'!$D:$D,B27,'Amex Transactions'!$G:$G,"&gt;0")</f>
        <v/>
      </c>
      <c r="E27" s="10">
        <f>SUMIFS('Amex Transactions'!$G:$G,'Amex Transactions'!$E:$E,A27,'Amex Transactions'!$D:$D,B27,'Amex Transactions'!$G:$G,"&lt;0")</f>
        <v/>
      </c>
      <c r="F27" s="10">
        <f>D27+E27</f>
        <v/>
      </c>
      <c r="G27" s="10">
        <f>COUNTIFS('Amex Transactions'!$E:$E,A27,'Amex Transactions'!$D:$D,B27,'Amex Transactions'!$I:$I,"Check")</f>
        <v/>
      </c>
    </row>
    <row r="28">
      <c r="A28" s="10" t="inlineStr">
        <is>
          <t>Family</t>
        </is>
      </c>
      <c r="B28" s="10" t="inlineStr">
        <is>
          <t>Payment</t>
        </is>
      </c>
      <c r="C28" s="10">
        <f>COUNTIFS('Amex Transactions'!$E:$E,A28,'Amex Transactions'!$D:$D,B28)</f>
        <v/>
      </c>
      <c r="D28" s="10">
        <f>SUMIFS('Amex Transactions'!$G:$G,'Amex Transactions'!$E:$E,A28,'Amex Transactions'!$D:$D,B28,'Amex Transactions'!$G:$G,"&gt;0")</f>
        <v/>
      </c>
      <c r="E28" s="10">
        <f>SUMIFS('Amex Transactions'!$G:$G,'Amex Transactions'!$E:$E,A28,'Amex Transactions'!$D:$D,B28,'Amex Transactions'!$G:$G,"&lt;0")</f>
        <v/>
      </c>
      <c r="F28" s="10">
        <f>D28+E28</f>
        <v/>
      </c>
      <c r="G28" s="10">
        <f>COUNTIFS('Amex Transactions'!$E:$E,A28,'Amex Transactions'!$D:$D,B28,'Amex Transactions'!$I:$I,"Check")</f>
        <v/>
      </c>
    </row>
    <row r="29">
      <c r="A29" s="10" t="inlineStr">
        <is>
          <t>Family</t>
        </is>
      </c>
      <c r="B29" s="10" t="inlineStr">
        <is>
          <t>Pharmacy</t>
        </is>
      </c>
      <c r="C29" s="10">
        <f>COUNTIFS('Amex Transactions'!$E:$E,A29,'Amex Transactions'!$D:$D,B29)</f>
        <v/>
      </c>
      <c r="D29" s="10">
        <f>SUMIFS('Amex Transactions'!$G:$G,'Amex Transactions'!$E:$E,A29,'Amex Transactions'!$D:$D,B29,'Amex Transactions'!$G:$G,"&gt;0")</f>
        <v/>
      </c>
      <c r="E29" s="10">
        <f>SUMIFS('Amex Transactions'!$G:$G,'Amex Transactions'!$E:$E,A29,'Amex Transactions'!$D:$D,B29,'Amex Transactions'!$G:$G,"&lt;0")</f>
        <v/>
      </c>
      <c r="F29" s="10">
        <f>D29+E29</f>
        <v/>
      </c>
      <c r="G29" s="10">
        <f>COUNTIFS('Amex Transactions'!$E:$E,A29,'Amex Transactions'!$D:$D,B29,'Amex Transactions'!$I:$I,"Check")</f>
        <v/>
      </c>
    </row>
    <row r="30">
      <c r="A30" s="10" t="inlineStr">
        <is>
          <t>Family</t>
        </is>
      </c>
      <c r="B30" s="10" t="inlineStr">
        <is>
          <t>Physiotherapy</t>
        </is>
      </c>
      <c r="C30" s="10">
        <f>COUNTIFS('Amex Transactions'!$E:$E,A30,'Amex Transactions'!$D:$D,B30)</f>
        <v/>
      </c>
      <c r="D30" s="10">
        <f>SUMIFS('Amex Transactions'!$G:$G,'Amex Transactions'!$E:$E,A30,'Amex Transactions'!$D:$D,B30,'Amex Transactions'!$G:$G,"&gt;0")</f>
        <v/>
      </c>
      <c r="E30" s="10">
        <f>SUMIFS('Amex Transactions'!$G:$G,'Amex Transactions'!$E:$E,A30,'Amex Transactions'!$D:$D,B30,'Amex Transactions'!$G:$G,"&lt;0")</f>
        <v/>
      </c>
      <c r="F30" s="10">
        <f>D30+E30</f>
        <v/>
      </c>
      <c r="G30" s="10">
        <f>COUNTIFS('Amex Transactions'!$E:$E,A30,'Amex Transactions'!$D:$D,B30,'Amex Transactions'!$I:$I,"Check")</f>
        <v/>
      </c>
    </row>
    <row r="31">
      <c r="A31" s="10" t="inlineStr">
        <is>
          <t>Family</t>
        </is>
      </c>
      <c r="B31" s="10" t="inlineStr">
        <is>
          <t>Psychology</t>
        </is>
      </c>
      <c r="C31" s="10">
        <f>COUNTIFS('Amex Transactions'!$E:$E,A31,'Amex Transactions'!$D:$D,B31)</f>
        <v/>
      </c>
      <c r="D31" s="10">
        <f>SUMIFS('Amex Transactions'!$G:$G,'Amex Transactions'!$E:$E,A31,'Amex Transactions'!$D:$D,B31,'Amex Transactions'!$G:$G,"&gt;0")</f>
        <v/>
      </c>
      <c r="E31" s="10">
        <f>SUMIFS('Amex Transactions'!$G:$G,'Amex Transactions'!$E:$E,A31,'Amex Transactions'!$D:$D,B31,'Amex Transactions'!$G:$G,"&lt;0")</f>
        <v/>
      </c>
      <c r="F31" s="10">
        <f>D31+E31</f>
        <v/>
      </c>
      <c r="G31" s="10">
        <f>COUNTIFS('Amex Transactions'!$E:$E,A31,'Amex Transactions'!$D:$D,B31,'Amex Transactions'!$I:$I,"Check")</f>
        <v/>
      </c>
    </row>
    <row r="32">
      <c r="A32" s="10" t="inlineStr">
        <is>
          <t>Family</t>
        </is>
      </c>
      <c r="B32" s="10" t="inlineStr">
        <is>
          <t>Salon</t>
        </is>
      </c>
      <c r="C32" s="10">
        <f>COUNTIFS('Amex Transactions'!$E:$E,A32,'Amex Transactions'!$D:$D,B32)</f>
        <v/>
      </c>
      <c r="D32" s="10">
        <f>SUMIFS('Amex Transactions'!$G:$G,'Amex Transactions'!$E:$E,A32,'Amex Transactions'!$D:$D,B32,'Amex Transactions'!$G:$G,"&gt;0")</f>
        <v/>
      </c>
      <c r="E32" s="10">
        <f>SUMIFS('Amex Transactions'!$G:$G,'Amex Transactions'!$E:$E,A32,'Amex Transactions'!$D:$D,B32,'Amex Transactions'!$G:$G,"&lt;0")</f>
        <v/>
      </c>
      <c r="F32" s="10">
        <f>D32+E32</f>
        <v/>
      </c>
      <c r="G32" s="10">
        <f>COUNTIFS('Amex Transactions'!$E:$E,A32,'Amex Transactions'!$D:$D,B32,'Amex Transactions'!$I:$I,"Check")</f>
        <v/>
      </c>
    </row>
    <row r="33">
      <c r="A33" s="10" t="inlineStr">
        <is>
          <t>Family</t>
        </is>
      </c>
      <c r="B33" s="10" t="inlineStr">
        <is>
          <t>Sport</t>
        </is>
      </c>
      <c r="C33" s="10">
        <f>COUNTIFS('Amex Transactions'!$E:$E,A33,'Amex Transactions'!$D:$D,B33)</f>
        <v/>
      </c>
      <c r="D33" s="10">
        <f>SUMIFS('Amex Transactions'!$G:$G,'Amex Transactions'!$E:$E,A33,'Amex Transactions'!$D:$D,B33,'Amex Transactions'!$G:$G,"&gt;0")</f>
        <v/>
      </c>
      <c r="E33" s="10">
        <f>SUMIFS('Amex Transactions'!$G:$G,'Amex Transactions'!$E:$E,A33,'Amex Transactions'!$D:$D,B33,'Amex Transactions'!$G:$G,"&lt;0")</f>
        <v/>
      </c>
      <c r="F33" s="10">
        <f>D33+E33</f>
        <v/>
      </c>
      <c r="G33" s="10">
        <f>COUNTIFS('Amex Transactions'!$E:$E,A33,'Amex Transactions'!$D:$D,B33,'Amex Transactions'!$I:$I,"Check")</f>
        <v/>
      </c>
    </row>
    <row r="34">
      <c r="A34" s="10" t="inlineStr">
        <is>
          <t>Family</t>
        </is>
      </c>
      <c r="B34" s="10" t="inlineStr">
        <is>
          <t>Subscriptions</t>
        </is>
      </c>
      <c r="C34" s="10">
        <f>COUNTIFS('Amex Transactions'!$E:$E,A34,'Amex Transactions'!$D:$D,B34)</f>
        <v/>
      </c>
      <c r="D34" s="10">
        <f>SUMIFS('Amex Transactions'!$G:$G,'Amex Transactions'!$E:$E,A34,'Amex Transactions'!$D:$D,B34,'Amex Transactions'!$G:$G,"&gt;0")</f>
        <v/>
      </c>
      <c r="E34" s="10">
        <f>SUMIFS('Amex Transactions'!$G:$G,'Amex Transactions'!$E:$E,A34,'Amex Transactions'!$D:$D,B34,'Amex Transactions'!$G:$G,"&lt;0")</f>
        <v/>
      </c>
      <c r="F34" s="10">
        <f>D34+E34</f>
        <v/>
      </c>
      <c r="G34" s="10">
        <f>COUNTIFS('Amex Transactions'!$E:$E,A34,'Amex Transactions'!$D:$D,B34,'Amex Transactions'!$I:$I,"Check")</f>
        <v/>
      </c>
    </row>
    <row r="35">
      <c r="A35" s="10" t="inlineStr">
        <is>
          <t>Family</t>
        </is>
      </c>
      <c r="B35" s="10" t="inlineStr">
        <is>
          <t>Transport</t>
        </is>
      </c>
      <c r="C35" s="10">
        <f>COUNTIFS('Amex Transactions'!$E:$E,A35,'Amex Transactions'!$D:$D,B35)</f>
        <v/>
      </c>
      <c r="D35" s="10">
        <f>SUMIFS('Amex Transactions'!$G:$G,'Amex Transactions'!$E:$E,A35,'Amex Transactions'!$D:$D,B35,'Amex Transactions'!$G:$G,"&gt;0")</f>
        <v/>
      </c>
      <c r="E35" s="10">
        <f>SUMIFS('Amex Transactions'!$G:$G,'Amex Transactions'!$E:$E,A35,'Amex Transactions'!$D:$D,B35,'Amex Transactions'!$G:$G,"&lt;0")</f>
        <v/>
      </c>
      <c r="F35" s="10">
        <f>D35+E35</f>
        <v/>
      </c>
      <c r="G35" s="10">
        <f>COUNTIFS('Amex Transactions'!$E:$E,A35,'Amex Transactions'!$D:$D,B35,'Amex Transactions'!$I:$I,"Check")</f>
        <v/>
      </c>
    </row>
    <row r="36">
      <c r="A36" s="10" t="inlineStr">
        <is>
          <t>Family</t>
        </is>
      </c>
      <c r="B36" s="10" t="inlineStr">
        <is>
          <t>Travel</t>
        </is>
      </c>
      <c r="C36" s="10">
        <f>COUNTIFS('Amex Transactions'!$E:$E,A36,'Amex Transactions'!$D:$D,B36)</f>
        <v/>
      </c>
      <c r="D36" s="10">
        <f>SUMIFS('Amex Transactions'!$G:$G,'Amex Transactions'!$E:$E,A36,'Amex Transactions'!$D:$D,B36,'Amex Transactions'!$G:$G,"&gt;0")</f>
        <v/>
      </c>
      <c r="E36" s="10">
        <f>SUMIFS('Amex Transactions'!$G:$G,'Amex Transactions'!$E:$E,A36,'Amex Transactions'!$D:$D,B36,'Amex Transactions'!$G:$G,"&lt;0")</f>
        <v/>
      </c>
      <c r="F36" s="10">
        <f>D36+E36</f>
        <v/>
      </c>
      <c r="G36" s="10">
        <f>COUNTIFS('Amex Transactions'!$E:$E,A36,'Amex Transactions'!$D:$D,B36,'Amex Transactions'!$I:$I,"Check")</f>
        <v/>
      </c>
    </row>
    <row r="37">
      <c r="A37" s="10" t="inlineStr">
        <is>
          <t>Family</t>
        </is>
      </c>
      <c r="B37" s="10" t="inlineStr">
        <is>
          <t>Uncategorised</t>
        </is>
      </c>
      <c r="C37" s="10">
        <f>COUNTIFS('Amex Transactions'!$E:$E,A37,'Amex Transactions'!$D:$D,B37)</f>
        <v/>
      </c>
      <c r="D37" s="10">
        <f>SUMIFS('Amex Transactions'!$G:$G,'Amex Transactions'!$E:$E,A37,'Amex Transactions'!$D:$D,B37,'Amex Transactions'!$G:$G,"&gt;0")</f>
        <v/>
      </c>
      <c r="E37" s="10">
        <f>SUMIFS('Amex Transactions'!$G:$G,'Amex Transactions'!$E:$E,A37,'Amex Transactions'!$D:$D,B37,'Amex Transactions'!$G:$G,"&lt;0")</f>
        <v/>
      </c>
      <c r="F37" s="10">
        <f>D37+E37</f>
        <v/>
      </c>
      <c r="G37" s="10">
        <f>COUNTIFS('Amex Transactions'!$E:$E,A37,'Amex Transactions'!$D:$D,B37,'Amex Transactions'!$I:$I,"Check")</f>
        <v/>
      </c>
    </row>
    <row r="38">
      <c r="A38" s="10" t="inlineStr">
        <is>
          <t>Family</t>
        </is>
      </c>
      <c r="B38" s="10" t="inlineStr">
        <is>
          <t>Wine</t>
        </is>
      </c>
      <c r="C38" s="10">
        <f>COUNTIFS('Amex Transactions'!$E:$E,A38,'Amex Transactions'!$D:$D,B38)</f>
        <v/>
      </c>
      <c r="D38" s="10">
        <f>SUMIFS('Amex Transactions'!$G:$G,'Amex Transactions'!$E:$E,A38,'Amex Transactions'!$D:$D,B38,'Amex Transactions'!$G:$G,"&gt;0")</f>
        <v/>
      </c>
      <c r="E38" s="10">
        <f>SUMIFS('Amex Transactions'!$G:$G,'Amex Transactions'!$E:$E,A38,'Amex Transactions'!$D:$D,B38,'Amex Transactions'!$G:$G,"&lt;0")</f>
        <v/>
      </c>
      <c r="F38" s="10">
        <f>D38+E38</f>
        <v/>
      </c>
      <c r="G38" s="10">
        <f>COUNTIFS('Amex Transactions'!$E:$E,A38,'Amex Transactions'!$D:$D,B38,'Amex Transactions'!$I:$I,"Check")</f>
        <v/>
      </c>
    </row>
    <row r="39">
      <c r="A39" s="10" t="inlineStr">
        <is>
          <t>Family</t>
        </is>
      </c>
      <c r="B39" s="10" t="inlineStr">
        <is>
          <t>beauty</t>
        </is>
      </c>
      <c r="C39" s="10">
        <f>COUNTIFS('Amex Transactions'!$E:$E,A39,'Amex Transactions'!$D:$D,B39)</f>
        <v/>
      </c>
      <c r="D39" s="10">
        <f>SUMIFS('Amex Transactions'!$G:$G,'Amex Transactions'!$E:$E,A39,'Amex Transactions'!$D:$D,B39,'Amex Transactions'!$G:$G,"&gt;0")</f>
        <v/>
      </c>
      <c r="E39" s="10">
        <f>SUMIFS('Amex Transactions'!$G:$G,'Amex Transactions'!$E:$E,A39,'Amex Transactions'!$D:$D,B39,'Amex Transactions'!$G:$G,"&lt;0")</f>
        <v/>
      </c>
      <c r="F39" s="10">
        <f>D39+E39</f>
        <v/>
      </c>
      <c r="G39" s="10">
        <f>COUNTIFS('Amex Transactions'!$E:$E,A39,'Amex Transactions'!$D:$D,B39,'Amex Transactions'!$I:$I,"Check")</f>
        <v/>
      </c>
    </row>
    <row r="40">
      <c r="A40" s="10" t="inlineStr">
        <is>
          <t>Payment</t>
        </is>
      </c>
      <c r="B40" s="10" t="inlineStr">
        <is>
          <t>Payment</t>
        </is>
      </c>
      <c r="C40" s="10">
        <f>COUNTIFS('Amex Transactions'!$E:$E,A40,'Amex Transactions'!$D:$D,B40)</f>
        <v/>
      </c>
      <c r="D40" s="10">
        <f>SUMIFS('Amex Transactions'!$G:$G,'Amex Transactions'!$E:$E,A40,'Amex Transactions'!$D:$D,B40,'Amex Transactions'!$G:$G,"&gt;0")</f>
        <v/>
      </c>
      <c r="E40" s="10">
        <f>SUMIFS('Amex Transactions'!$G:$G,'Amex Transactions'!$E:$E,A40,'Amex Transactions'!$D:$D,B40,'Amex Transactions'!$G:$G,"&lt;0")</f>
        <v/>
      </c>
      <c r="F40" s="10">
        <f>D40+E40</f>
        <v/>
      </c>
      <c r="G40" s="10">
        <f>COUNTIFS('Amex Transactions'!$E:$E,A40,'Amex Transactions'!$D:$D,B40,'Amex Transactions'!$I:$I,"Check")</f>
        <v/>
      </c>
    </row>
    <row r="41">
      <c r="A41" s="10" t="inlineStr">
        <is>
          <t>Review</t>
        </is>
      </c>
      <c r="B41" s="10" t="inlineStr">
        <is>
          <t>Airfare</t>
        </is>
      </c>
      <c r="C41" s="10">
        <f>COUNTIFS('Amex Transactions'!$E:$E,A41,'Amex Transactions'!$D:$D,B41)</f>
        <v/>
      </c>
      <c r="D41" s="10">
        <f>SUMIFS('Amex Transactions'!$G:$G,'Amex Transactions'!$E:$E,A41,'Amex Transactions'!$D:$D,B41,'Amex Transactions'!$G:$G,"&gt;0")</f>
        <v/>
      </c>
      <c r="E41" s="10">
        <f>SUMIFS('Amex Transactions'!$G:$G,'Amex Transactions'!$E:$E,A41,'Amex Transactions'!$D:$D,B41,'Amex Transactions'!$G:$G,"&lt;0")</f>
        <v/>
      </c>
      <c r="F41" s="10">
        <f>D41+E41</f>
        <v/>
      </c>
      <c r="G41" s="10">
        <f>COUNTIFS('Amex Transactions'!$E:$E,A41,'Amex Transactions'!$D:$D,B41,'Amex Transactions'!$I:$I,"Check")</f>
        <v/>
      </c>
    </row>
    <row r="42">
      <c r="A42" s="10" t="inlineStr">
        <is>
          <t>Review</t>
        </is>
      </c>
      <c r="B42" s="10" t="inlineStr">
        <is>
          <t>Art</t>
        </is>
      </c>
      <c r="C42" s="10">
        <f>COUNTIFS('Amex Transactions'!$E:$E,A42,'Amex Transactions'!$D:$D,B42)</f>
        <v/>
      </c>
      <c r="D42" s="10">
        <f>SUMIFS('Amex Transactions'!$G:$G,'Amex Transactions'!$E:$E,A42,'Amex Transactions'!$D:$D,B42,'Amex Transactions'!$G:$G,"&gt;0")</f>
        <v/>
      </c>
      <c r="E42" s="10">
        <f>SUMIFS('Amex Transactions'!$G:$G,'Amex Transactions'!$E:$E,A42,'Amex Transactions'!$D:$D,B42,'Amex Transactions'!$G:$G,"&lt;0")</f>
        <v/>
      </c>
      <c r="F42" s="10">
        <f>D42+E42</f>
        <v/>
      </c>
      <c r="G42" s="10">
        <f>COUNTIFS('Amex Transactions'!$E:$E,A42,'Amex Transactions'!$D:$D,B42,'Amex Transactions'!$I:$I,"Check")</f>
        <v/>
      </c>
    </row>
    <row r="43">
      <c r="A43" s="10" t="inlineStr">
        <is>
          <t>Review</t>
        </is>
      </c>
      <c r="B43" s="10" t="inlineStr">
        <is>
          <t>Beauty</t>
        </is>
      </c>
      <c r="C43" s="10">
        <f>COUNTIFS('Amex Transactions'!$E:$E,A43,'Amex Transactions'!$D:$D,B43)</f>
        <v/>
      </c>
      <c r="D43" s="10">
        <f>SUMIFS('Amex Transactions'!$G:$G,'Amex Transactions'!$E:$E,A43,'Amex Transactions'!$D:$D,B43,'Amex Transactions'!$G:$G,"&gt;0")</f>
        <v/>
      </c>
      <c r="E43" s="10">
        <f>SUMIFS('Amex Transactions'!$G:$G,'Amex Transactions'!$E:$E,A43,'Amex Transactions'!$D:$D,B43,'Amex Transactions'!$G:$G,"&lt;0")</f>
        <v/>
      </c>
      <c r="F43" s="10">
        <f>D43+E43</f>
        <v/>
      </c>
      <c r="G43" s="10">
        <f>COUNTIFS('Amex Transactions'!$E:$E,A43,'Amex Transactions'!$D:$D,B43,'Amex Transactions'!$I:$I,"Check")</f>
        <v/>
      </c>
    </row>
    <row r="44">
      <c r="A44" s="10" t="inlineStr">
        <is>
          <t>Review</t>
        </is>
      </c>
      <c r="B44" s="10" t="inlineStr">
        <is>
          <t>Book &amp; Kindle</t>
        </is>
      </c>
      <c r="C44" s="10">
        <f>COUNTIFS('Amex Transactions'!$E:$E,A44,'Amex Transactions'!$D:$D,B44)</f>
        <v/>
      </c>
      <c r="D44" s="10">
        <f>SUMIFS('Amex Transactions'!$G:$G,'Amex Transactions'!$E:$E,A44,'Amex Transactions'!$D:$D,B44,'Amex Transactions'!$G:$G,"&gt;0")</f>
        <v/>
      </c>
      <c r="E44" s="10">
        <f>SUMIFS('Amex Transactions'!$G:$G,'Amex Transactions'!$E:$E,A44,'Amex Transactions'!$D:$D,B44,'Amex Transactions'!$G:$G,"&lt;0")</f>
        <v/>
      </c>
      <c r="F44" s="10">
        <f>D44+E44</f>
        <v/>
      </c>
      <c r="G44" s="10">
        <f>COUNTIFS('Amex Transactions'!$E:$E,A44,'Amex Transactions'!$D:$D,B44,'Amex Transactions'!$I:$I,"Check")</f>
        <v/>
      </c>
    </row>
    <row r="45">
      <c r="A45" s="10" t="inlineStr">
        <is>
          <t>Review</t>
        </is>
      </c>
      <c r="B45" s="10" t="inlineStr">
        <is>
          <t>Charity</t>
        </is>
      </c>
      <c r="C45" s="10">
        <f>COUNTIFS('Amex Transactions'!$E:$E,A45,'Amex Transactions'!$D:$D,B45)</f>
        <v/>
      </c>
      <c r="D45" s="10">
        <f>SUMIFS('Amex Transactions'!$G:$G,'Amex Transactions'!$E:$E,A45,'Amex Transactions'!$D:$D,B45,'Amex Transactions'!$G:$G,"&gt;0")</f>
        <v/>
      </c>
      <c r="E45" s="10">
        <f>SUMIFS('Amex Transactions'!$G:$G,'Amex Transactions'!$E:$E,A45,'Amex Transactions'!$D:$D,B45,'Amex Transactions'!$G:$G,"&lt;0")</f>
        <v/>
      </c>
      <c r="F45" s="10">
        <f>D45+E45</f>
        <v/>
      </c>
      <c r="G45" s="10">
        <f>COUNTIFS('Amex Transactions'!$E:$E,A45,'Amex Transactions'!$D:$D,B45,'Amex Transactions'!$I:$I,"Check")</f>
        <v/>
      </c>
    </row>
    <row r="46">
      <c r="A46" s="10" t="inlineStr">
        <is>
          <t>Review</t>
        </is>
      </c>
      <c r="B46" s="10" t="inlineStr">
        <is>
          <t>Clinic</t>
        </is>
      </c>
      <c r="C46" s="10">
        <f>COUNTIFS('Amex Transactions'!$E:$E,A46,'Amex Transactions'!$D:$D,B46)</f>
        <v/>
      </c>
      <c r="D46" s="10">
        <f>SUMIFS('Amex Transactions'!$G:$G,'Amex Transactions'!$E:$E,A46,'Amex Transactions'!$D:$D,B46,'Amex Transactions'!$G:$G,"&gt;0")</f>
        <v/>
      </c>
      <c r="E46" s="10">
        <f>SUMIFS('Amex Transactions'!$G:$G,'Amex Transactions'!$E:$E,A46,'Amex Transactions'!$D:$D,B46,'Amex Transactions'!$G:$G,"&lt;0")</f>
        <v/>
      </c>
      <c r="F46" s="10">
        <f>D46+E46</f>
        <v/>
      </c>
      <c r="G46" s="10">
        <f>COUNTIFS('Amex Transactions'!$E:$E,A46,'Amex Transactions'!$D:$D,B46,'Amex Transactions'!$I:$I,"Check")</f>
        <v/>
      </c>
    </row>
    <row r="47">
      <c r="A47" s="10" t="inlineStr">
        <is>
          <t>Review</t>
        </is>
      </c>
      <c r="B47" s="10" t="inlineStr">
        <is>
          <t>Clothes &amp; Shoes</t>
        </is>
      </c>
      <c r="C47" s="10">
        <f>COUNTIFS('Amex Transactions'!$E:$E,A47,'Amex Transactions'!$D:$D,B47)</f>
        <v/>
      </c>
      <c r="D47" s="10">
        <f>SUMIFS('Amex Transactions'!$G:$G,'Amex Transactions'!$E:$E,A47,'Amex Transactions'!$D:$D,B47,'Amex Transactions'!$G:$G,"&gt;0")</f>
        <v/>
      </c>
      <c r="E47" s="10">
        <f>SUMIFS('Amex Transactions'!$G:$G,'Amex Transactions'!$E:$E,A47,'Amex Transactions'!$D:$D,B47,'Amex Transactions'!$G:$G,"&lt;0")</f>
        <v/>
      </c>
      <c r="F47" s="10">
        <f>D47+E47</f>
        <v/>
      </c>
      <c r="G47" s="10">
        <f>COUNTIFS('Amex Transactions'!$E:$E,A47,'Amex Transactions'!$D:$D,B47,'Amex Transactions'!$I:$I,"Check")</f>
        <v/>
      </c>
    </row>
    <row r="48">
      <c r="A48" s="10" t="inlineStr">
        <is>
          <t>Review</t>
        </is>
      </c>
      <c r="B48" s="10" t="inlineStr">
        <is>
          <t>Dining out</t>
        </is>
      </c>
      <c r="C48" s="10">
        <f>COUNTIFS('Amex Transactions'!$E:$E,A48,'Amex Transactions'!$D:$D,B48)</f>
        <v/>
      </c>
      <c r="D48" s="10">
        <f>SUMIFS('Amex Transactions'!$G:$G,'Amex Transactions'!$E:$E,A48,'Amex Transactions'!$D:$D,B48,'Amex Transactions'!$G:$G,"&gt;0")</f>
        <v/>
      </c>
      <c r="E48" s="10">
        <f>SUMIFS('Amex Transactions'!$G:$G,'Amex Transactions'!$E:$E,A48,'Amex Transactions'!$D:$D,B48,'Amex Transactions'!$G:$G,"&lt;0")</f>
        <v/>
      </c>
      <c r="F48" s="10">
        <f>D48+E48</f>
        <v/>
      </c>
      <c r="G48" s="10">
        <f>COUNTIFS('Amex Transactions'!$E:$E,A48,'Amex Transactions'!$D:$D,B48,'Amex Transactions'!$I:$I,"Check")</f>
        <v/>
      </c>
    </row>
    <row r="49">
      <c r="A49" s="10" t="inlineStr">
        <is>
          <t>Review</t>
        </is>
      </c>
      <c r="B49" s="10" t="inlineStr">
        <is>
          <t>Electronics</t>
        </is>
      </c>
      <c r="C49" s="10">
        <f>COUNTIFS('Amex Transactions'!$E:$E,A49,'Amex Transactions'!$D:$D,B49)</f>
        <v/>
      </c>
      <c r="D49" s="10">
        <f>SUMIFS('Amex Transactions'!$G:$G,'Amex Transactions'!$E:$E,A49,'Amex Transactions'!$D:$D,B49,'Amex Transactions'!$G:$G,"&gt;0")</f>
        <v/>
      </c>
      <c r="E49" s="10">
        <f>SUMIFS('Amex Transactions'!$G:$G,'Amex Transactions'!$E:$E,A49,'Amex Transactions'!$D:$D,B49,'Amex Transactions'!$G:$G,"&lt;0")</f>
        <v/>
      </c>
      <c r="F49" s="10">
        <f>D49+E49</f>
        <v/>
      </c>
      <c r="G49" s="10">
        <f>COUNTIFS('Amex Transactions'!$E:$E,A49,'Amex Transactions'!$D:$D,B49,'Amex Transactions'!$I:$I,"Check")</f>
        <v/>
      </c>
    </row>
    <row r="50">
      <c r="A50" s="10" t="inlineStr">
        <is>
          <t>Review</t>
        </is>
      </c>
      <c r="B50" s="10" t="inlineStr">
        <is>
          <t>Entertainment</t>
        </is>
      </c>
      <c r="C50" s="10">
        <f>COUNTIFS('Amex Transactions'!$E:$E,A50,'Amex Transactions'!$D:$D,B50)</f>
        <v/>
      </c>
      <c r="D50" s="10">
        <f>SUMIFS('Amex Transactions'!$G:$G,'Amex Transactions'!$E:$E,A50,'Amex Transactions'!$D:$D,B50,'Amex Transactions'!$G:$G,"&gt;0")</f>
        <v/>
      </c>
      <c r="E50" s="10">
        <f>SUMIFS('Amex Transactions'!$G:$G,'Amex Transactions'!$E:$E,A50,'Amex Transactions'!$D:$D,B50,'Amex Transactions'!$G:$G,"&lt;0")</f>
        <v/>
      </c>
      <c r="F50" s="10">
        <f>D50+E50</f>
        <v/>
      </c>
      <c r="G50" s="10">
        <f>COUNTIFS('Amex Transactions'!$E:$E,A50,'Amex Transactions'!$D:$D,B50,'Amex Transactions'!$I:$I,"Check")</f>
        <v/>
      </c>
    </row>
    <row r="51">
      <c r="A51" s="10" t="inlineStr">
        <is>
          <t>Review</t>
        </is>
      </c>
      <c r="B51" s="10" t="inlineStr">
        <is>
          <t>Fees</t>
        </is>
      </c>
      <c r="C51" s="10">
        <f>COUNTIFS('Amex Transactions'!$E:$E,A51,'Amex Transactions'!$D:$D,B51)</f>
        <v/>
      </c>
      <c r="D51" s="10">
        <f>SUMIFS('Amex Transactions'!$G:$G,'Amex Transactions'!$E:$E,A51,'Amex Transactions'!$D:$D,B51,'Amex Transactions'!$G:$G,"&gt;0")</f>
        <v/>
      </c>
      <c r="E51" s="10">
        <f>SUMIFS('Amex Transactions'!$G:$G,'Amex Transactions'!$E:$E,A51,'Amex Transactions'!$D:$D,B51,'Amex Transactions'!$G:$G,"&lt;0")</f>
        <v/>
      </c>
      <c r="F51" s="10">
        <f>D51+E51</f>
        <v/>
      </c>
      <c r="G51" s="10">
        <f>COUNTIFS('Amex Transactions'!$E:$E,A51,'Amex Transactions'!$D:$D,B51,'Amex Transactions'!$I:$I,"Check")</f>
        <v/>
      </c>
    </row>
    <row r="52">
      <c r="A52" s="10" t="inlineStr">
        <is>
          <t>Review</t>
        </is>
      </c>
      <c r="B52" s="10" t="inlineStr">
        <is>
          <t>Fitness Equipment</t>
        </is>
      </c>
      <c r="C52" s="10">
        <f>COUNTIFS('Amex Transactions'!$E:$E,A52,'Amex Transactions'!$D:$D,B52)</f>
        <v/>
      </c>
      <c r="D52" s="10">
        <f>SUMIFS('Amex Transactions'!$G:$G,'Amex Transactions'!$E:$E,A52,'Amex Transactions'!$D:$D,B52,'Amex Transactions'!$G:$G,"&gt;0")</f>
        <v/>
      </c>
      <c r="E52" s="10">
        <f>SUMIFS('Amex Transactions'!$G:$G,'Amex Transactions'!$E:$E,A52,'Amex Transactions'!$D:$D,B52,'Amex Transactions'!$G:$G,"&lt;0")</f>
        <v/>
      </c>
      <c r="F52" s="10">
        <f>D52+E52</f>
        <v/>
      </c>
      <c r="G52" s="10">
        <f>COUNTIFS('Amex Transactions'!$E:$E,A52,'Amex Transactions'!$D:$D,B52,'Amex Transactions'!$I:$I,"Check")</f>
        <v/>
      </c>
    </row>
    <row r="53">
      <c r="A53" s="10" t="inlineStr">
        <is>
          <t>Review</t>
        </is>
      </c>
      <c r="B53" s="10" t="inlineStr">
        <is>
          <t>Flowers</t>
        </is>
      </c>
      <c r="C53" s="10">
        <f>COUNTIFS('Amex Transactions'!$E:$E,A53,'Amex Transactions'!$D:$D,B53)</f>
        <v/>
      </c>
      <c r="D53" s="10">
        <f>SUMIFS('Amex Transactions'!$G:$G,'Amex Transactions'!$E:$E,A53,'Amex Transactions'!$D:$D,B53,'Amex Transactions'!$G:$G,"&gt;0")</f>
        <v/>
      </c>
      <c r="E53" s="10">
        <f>SUMIFS('Amex Transactions'!$G:$G,'Amex Transactions'!$E:$E,A53,'Amex Transactions'!$D:$D,B53,'Amex Transactions'!$G:$G,"&lt;0")</f>
        <v/>
      </c>
      <c r="F53" s="10">
        <f>D53+E53</f>
        <v/>
      </c>
      <c r="G53" s="10">
        <f>COUNTIFS('Amex Transactions'!$E:$E,A53,'Amex Transactions'!$D:$D,B53,'Amex Transactions'!$I:$I,"Check")</f>
        <v/>
      </c>
    </row>
    <row r="54">
      <c r="A54" s="10" t="inlineStr">
        <is>
          <t>Review</t>
        </is>
      </c>
      <c r="B54" s="10" t="inlineStr">
        <is>
          <t>Food</t>
        </is>
      </c>
      <c r="C54" s="10">
        <f>COUNTIFS('Amex Transactions'!$E:$E,A54,'Amex Transactions'!$D:$D,B54)</f>
        <v/>
      </c>
      <c r="D54" s="10">
        <f>SUMIFS('Amex Transactions'!$G:$G,'Amex Transactions'!$E:$E,A54,'Amex Transactions'!$D:$D,B54,'Amex Transactions'!$G:$G,"&gt;0")</f>
        <v/>
      </c>
      <c r="E54" s="10">
        <f>SUMIFS('Amex Transactions'!$G:$G,'Amex Transactions'!$E:$E,A54,'Amex Transactions'!$D:$D,B54,'Amex Transactions'!$G:$G,"&lt;0")</f>
        <v/>
      </c>
      <c r="F54" s="10">
        <f>D54+E54</f>
        <v/>
      </c>
      <c r="G54" s="10">
        <f>COUNTIFS('Amex Transactions'!$E:$E,A54,'Amex Transactions'!$D:$D,B54,'Amex Transactions'!$I:$I,"Check")</f>
        <v/>
      </c>
    </row>
    <row r="55">
      <c r="A55" s="10" t="inlineStr">
        <is>
          <t>Review</t>
        </is>
      </c>
      <c r="B55" s="10" t="inlineStr">
        <is>
          <t>Glasses</t>
        </is>
      </c>
      <c r="C55" s="10">
        <f>COUNTIFS('Amex Transactions'!$E:$E,A55,'Amex Transactions'!$D:$D,B55)</f>
        <v/>
      </c>
      <c r="D55" s="10">
        <f>SUMIFS('Amex Transactions'!$G:$G,'Amex Transactions'!$E:$E,A55,'Amex Transactions'!$D:$D,B55,'Amex Transactions'!$G:$G,"&gt;0")</f>
        <v/>
      </c>
      <c r="E55" s="10">
        <f>SUMIFS('Amex Transactions'!$G:$G,'Amex Transactions'!$E:$E,A55,'Amex Transactions'!$D:$D,B55,'Amex Transactions'!$G:$G,"&lt;0")</f>
        <v/>
      </c>
      <c r="F55" s="10">
        <f>D55+E55</f>
        <v/>
      </c>
      <c r="G55" s="10">
        <f>COUNTIFS('Amex Transactions'!$E:$E,A55,'Amex Transactions'!$D:$D,B55,'Amex Transactions'!$I:$I,"Check")</f>
        <v/>
      </c>
    </row>
    <row r="56">
      <c r="A56" s="10" t="inlineStr">
        <is>
          <t>Review</t>
        </is>
      </c>
      <c r="B56" s="10" t="inlineStr">
        <is>
          <t>Groceries</t>
        </is>
      </c>
      <c r="C56" s="10">
        <f>COUNTIFS('Amex Transactions'!$E:$E,A56,'Amex Transactions'!$D:$D,B56)</f>
        <v/>
      </c>
      <c r="D56" s="10">
        <f>SUMIFS('Amex Transactions'!$G:$G,'Amex Transactions'!$E:$E,A56,'Amex Transactions'!$D:$D,B56,'Amex Transactions'!$G:$G,"&gt;0")</f>
        <v/>
      </c>
      <c r="E56" s="10">
        <f>SUMIFS('Amex Transactions'!$G:$G,'Amex Transactions'!$E:$E,A56,'Amex Transactions'!$D:$D,B56,'Amex Transactions'!$G:$G,"&lt;0")</f>
        <v/>
      </c>
      <c r="F56" s="10">
        <f>D56+E56</f>
        <v/>
      </c>
      <c r="G56" s="10">
        <f>COUNTIFS('Amex Transactions'!$E:$E,A56,'Amex Transactions'!$D:$D,B56,'Amex Transactions'!$I:$I,"Check")</f>
        <v/>
      </c>
    </row>
    <row r="57">
      <c r="A57" s="10" t="inlineStr">
        <is>
          <t>Review</t>
        </is>
      </c>
      <c r="B57" s="10" t="inlineStr">
        <is>
          <t>Health</t>
        </is>
      </c>
      <c r="C57" s="10">
        <f>COUNTIFS('Amex Transactions'!$E:$E,A57,'Amex Transactions'!$D:$D,B57)</f>
        <v/>
      </c>
      <c r="D57" s="10">
        <f>SUMIFS('Amex Transactions'!$G:$G,'Amex Transactions'!$E:$E,A57,'Amex Transactions'!$D:$D,B57,'Amex Transactions'!$G:$G,"&gt;0")</f>
        <v/>
      </c>
      <c r="E57" s="10">
        <f>SUMIFS('Amex Transactions'!$G:$G,'Amex Transactions'!$E:$E,A57,'Amex Transactions'!$D:$D,B57,'Amex Transactions'!$G:$G,"&lt;0")</f>
        <v/>
      </c>
      <c r="F57" s="10">
        <f>D57+E57</f>
        <v/>
      </c>
      <c r="G57" s="10">
        <f>COUNTIFS('Amex Transactions'!$E:$E,A57,'Amex Transactions'!$D:$D,B57,'Amex Transactions'!$I:$I,"Check")</f>
        <v/>
      </c>
    </row>
    <row r="58">
      <c r="A58" s="10" t="inlineStr">
        <is>
          <t>Review</t>
        </is>
      </c>
      <c r="B58" s="10" t="inlineStr">
        <is>
          <t>Hotel</t>
        </is>
      </c>
      <c r="C58" s="10">
        <f>COUNTIFS('Amex Transactions'!$E:$E,A58,'Amex Transactions'!$D:$D,B58)</f>
        <v/>
      </c>
      <c r="D58" s="10">
        <f>SUMIFS('Amex Transactions'!$G:$G,'Amex Transactions'!$E:$E,A58,'Amex Transactions'!$D:$D,B58,'Amex Transactions'!$G:$G,"&gt;0")</f>
        <v/>
      </c>
      <c r="E58" s="10">
        <f>SUMIFS('Amex Transactions'!$G:$G,'Amex Transactions'!$E:$E,A58,'Amex Transactions'!$D:$D,B58,'Amex Transactions'!$G:$G,"&lt;0")</f>
        <v/>
      </c>
      <c r="F58" s="10">
        <f>D58+E58</f>
        <v/>
      </c>
      <c r="G58" s="10">
        <f>COUNTIFS('Amex Transactions'!$E:$E,A58,'Amex Transactions'!$D:$D,B58,'Amex Transactions'!$I:$I,"Check")</f>
        <v/>
      </c>
    </row>
    <row r="59">
      <c r="A59" s="10" t="inlineStr">
        <is>
          <t>Review</t>
        </is>
      </c>
      <c r="B59" s="10" t="inlineStr">
        <is>
          <t>Housewares</t>
        </is>
      </c>
      <c r="C59" s="10">
        <f>COUNTIFS('Amex Transactions'!$E:$E,A59,'Amex Transactions'!$D:$D,B59)</f>
        <v/>
      </c>
      <c r="D59" s="10">
        <f>SUMIFS('Amex Transactions'!$G:$G,'Amex Transactions'!$E:$E,A59,'Amex Transactions'!$D:$D,B59,'Amex Transactions'!$G:$G,"&gt;0")</f>
        <v/>
      </c>
      <c r="E59" s="10">
        <f>SUMIFS('Amex Transactions'!$G:$G,'Amex Transactions'!$E:$E,A59,'Amex Transactions'!$D:$D,B59,'Amex Transactions'!$G:$G,"&lt;0")</f>
        <v/>
      </c>
      <c r="F59" s="10">
        <f>D59+E59</f>
        <v/>
      </c>
      <c r="G59" s="10">
        <f>COUNTIFS('Amex Transactions'!$E:$E,A59,'Amex Transactions'!$D:$D,B59,'Amex Transactions'!$I:$I,"Check")</f>
        <v/>
      </c>
    </row>
    <row r="60">
      <c r="A60" s="10" t="inlineStr">
        <is>
          <t>Review</t>
        </is>
      </c>
      <c r="B60" s="10" t="inlineStr">
        <is>
          <t>Jewellery</t>
        </is>
      </c>
      <c r="C60" s="10">
        <f>COUNTIFS('Amex Transactions'!$E:$E,A60,'Amex Transactions'!$D:$D,B60)</f>
        <v/>
      </c>
      <c r="D60" s="10">
        <f>SUMIFS('Amex Transactions'!$G:$G,'Amex Transactions'!$E:$E,A60,'Amex Transactions'!$D:$D,B60,'Amex Transactions'!$G:$G,"&gt;0")</f>
        <v/>
      </c>
      <c r="E60" s="10">
        <f>SUMIFS('Amex Transactions'!$G:$G,'Amex Transactions'!$E:$E,A60,'Amex Transactions'!$D:$D,B60,'Amex Transactions'!$G:$G,"&lt;0")</f>
        <v/>
      </c>
      <c r="F60" s="10">
        <f>D60+E60</f>
        <v/>
      </c>
      <c r="G60" s="10">
        <f>COUNTIFS('Amex Transactions'!$E:$E,A60,'Amex Transactions'!$D:$D,B60,'Amex Transactions'!$I:$I,"Check")</f>
        <v/>
      </c>
    </row>
    <row r="61">
      <c r="A61" s="10" t="inlineStr">
        <is>
          <t>Review</t>
        </is>
      </c>
      <c r="B61" s="10" t="inlineStr">
        <is>
          <t>Massage</t>
        </is>
      </c>
      <c r="C61" s="10">
        <f>COUNTIFS('Amex Transactions'!$E:$E,A61,'Amex Transactions'!$D:$D,B61)</f>
        <v/>
      </c>
      <c r="D61" s="10">
        <f>SUMIFS('Amex Transactions'!$G:$G,'Amex Transactions'!$E:$E,A61,'Amex Transactions'!$D:$D,B61,'Amex Transactions'!$G:$G,"&gt;0")</f>
        <v/>
      </c>
      <c r="E61" s="10">
        <f>SUMIFS('Amex Transactions'!$G:$G,'Amex Transactions'!$E:$E,A61,'Amex Transactions'!$D:$D,B61,'Amex Transactions'!$G:$G,"&lt;0")</f>
        <v/>
      </c>
      <c r="F61" s="10">
        <f>D61+E61</f>
        <v/>
      </c>
      <c r="G61" s="10">
        <f>COUNTIFS('Amex Transactions'!$E:$E,A61,'Amex Transactions'!$D:$D,B61,'Amex Transactions'!$I:$I,"Check")</f>
        <v/>
      </c>
    </row>
    <row r="62">
      <c r="A62" s="10" t="inlineStr">
        <is>
          <t>Review</t>
        </is>
      </c>
      <c r="B62" s="10" t="inlineStr">
        <is>
          <t>Membership</t>
        </is>
      </c>
      <c r="C62" s="10">
        <f>COUNTIFS('Amex Transactions'!$E:$E,A62,'Amex Transactions'!$D:$D,B62)</f>
        <v/>
      </c>
      <c r="D62" s="10">
        <f>SUMIFS('Amex Transactions'!$G:$G,'Amex Transactions'!$E:$E,A62,'Amex Transactions'!$D:$D,B62,'Amex Transactions'!$G:$G,"&gt;0")</f>
        <v/>
      </c>
      <c r="E62" s="10">
        <f>SUMIFS('Amex Transactions'!$G:$G,'Amex Transactions'!$E:$E,A62,'Amex Transactions'!$D:$D,B62,'Amex Transactions'!$G:$G,"&lt;0")</f>
        <v/>
      </c>
      <c r="F62" s="10">
        <f>D62+E62</f>
        <v/>
      </c>
      <c r="G62" s="10">
        <f>COUNTIFS('Amex Transactions'!$E:$E,A62,'Amex Transactions'!$D:$D,B62,'Amex Transactions'!$I:$I,"Check")</f>
        <v/>
      </c>
    </row>
    <row r="63">
      <c r="A63" s="10" t="inlineStr">
        <is>
          <t>Review</t>
        </is>
      </c>
      <c r="B63" s="10" t="inlineStr">
        <is>
          <t>Misc</t>
        </is>
      </c>
      <c r="C63" s="10">
        <f>COUNTIFS('Amex Transactions'!$E:$E,A63,'Amex Transactions'!$D:$D,B63)</f>
        <v/>
      </c>
      <c r="D63" s="10">
        <f>SUMIFS('Amex Transactions'!$G:$G,'Amex Transactions'!$E:$E,A63,'Amex Transactions'!$D:$D,B63,'Amex Transactions'!$G:$G,"&gt;0")</f>
        <v/>
      </c>
      <c r="E63" s="10">
        <f>SUMIFS('Amex Transactions'!$G:$G,'Amex Transactions'!$E:$E,A63,'Amex Transactions'!$D:$D,B63,'Amex Transactions'!$G:$G,"&lt;0")</f>
        <v/>
      </c>
      <c r="F63" s="10">
        <f>D63+E63</f>
        <v/>
      </c>
      <c r="G63" s="10">
        <f>COUNTIFS('Amex Transactions'!$E:$E,A63,'Amex Transactions'!$D:$D,B63,'Amex Transactions'!$I:$I,"Check")</f>
        <v/>
      </c>
    </row>
    <row r="64">
      <c r="A64" s="10" t="inlineStr">
        <is>
          <t>Review</t>
        </is>
      </c>
      <c r="B64" s="10" t="inlineStr">
        <is>
          <t>Payment</t>
        </is>
      </c>
      <c r="C64" s="10">
        <f>COUNTIFS('Amex Transactions'!$E:$E,A64,'Amex Transactions'!$D:$D,B64)</f>
        <v/>
      </c>
      <c r="D64" s="10">
        <f>SUMIFS('Amex Transactions'!$G:$G,'Amex Transactions'!$E:$E,A64,'Amex Transactions'!$D:$D,B64,'Amex Transactions'!$G:$G,"&gt;0")</f>
        <v/>
      </c>
      <c r="E64" s="10">
        <f>SUMIFS('Amex Transactions'!$G:$G,'Amex Transactions'!$E:$E,A64,'Amex Transactions'!$D:$D,B64,'Amex Transactions'!$G:$G,"&lt;0")</f>
        <v/>
      </c>
      <c r="F64" s="10">
        <f>D64+E64</f>
        <v/>
      </c>
      <c r="G64" s="10">
        <f>COUNTIFS('Amex Transactions'!$E:$E,A64,'Amex Transactions'!$D:$D,B64,'Amex Transactions'!$I:$I,"Check")</f>
        <v/>
      </c>
    </row>
    <row r="65">
      <c r="A65" s="10" t="inlineStr">
        <is>
          <t>Review</t>
        </is>
      </c>
      <c r="B65" s="10" t="inlineStr">
        <is>
          <t>Pharmacy</t>
        </is>
      </c>
      <c r="C65" s="10">
        <f>COUNTIFS('Amex Transactions'!$E:$E,A65,'Amex Transactions'!$D:$D,B65)</f>
        <v/>
      </c>
      <c r="D65" s="10">
        <f>SUMIFS('Amex Transactions'!$G:$G,'Amex Transactions'!$E:$E,A65,'Amex Transactions'!$D:$D,B65,'Amex Transactions'!$G:$G,"&gt;0")</f>
        <v/>
      </c>
      <c r="E65" s="10">
        <f>SUMIFS('Amex Transactions'!$G:$G,'Amex Transactions'!$E:$E,A65,'Amex Transactions'!$D:$D,B65,'Amex Transactions'!$G:$G,"&lt;0")</f>
        <v/>
      </c>
      <c r="F65" s="10">
        <f>D65+E65</f>
        <v/>
      </c>
      <c r="G65" s="10">
        <f>COUNTIFS('Amex Transactions'!$E:$E,A65,'Amex Transactions'!$D:$D,B65,'Amex Transactions'!$I:$I,"Check")</f>
        <v/>
      </c>
    </row>
    <row r="66">
      <c r="A66" s="10" t="inlineStr">
        <is>
          <t>Review</t>
        </is>
      </c>
      <c r="B66" s="10" t="inlineStr">
        <is>
          <t>Physiotherapy</t>
        </is>
      </c>
      <c r="C66" s="10">
        <f>COUNTIFS('Amex Transactions'!$E:$E,A66,'Amex Transactions'!$D:$D,B66)</f>
        <v/>
      </c>
      <c r="D66" s="10">
        <f>SUMIFS('Amex Transactions'!$G:$G,'Amex Transactions'!$E:$E,A66,'Amex Transactions'!$D:$D,B66,'Amex Transactions'!$G:$G,"&gt;0")</f>
        <v/>
      </c>
      <c r="E66" s="10">
        <f>SUMIFS('Amex Transactions'!$G:$G,'Amex Transactions'!$E:$E,A66,'Amex Transactions'!$D:$D,B66,'Amex Transactions'!$G:$G,"&lt;0")</f>
        <v/>
      </c>
      <c r="F66" s="10">
        <f>D66+E66</f>
        <v/>
      </c>
      <c r="G66" s="10">
        <f>COUNTIFS('Amex Transactions'!$E:$E,A66,'Amex Transactions'!$D:$D,B66,'Amex Transactions'!$I:$I,"Check")</f>
        <v/>
      </c>
    </row>
    <row r="67">
      <c r="A67" s="10" t="inlineStr">
        <is>
          <t>Review</t>
        </is>
      </c>
      <c r="B67" s="10" t="inlineStr">
        <is>
          <t>Psychology</t>
        </is>
      </c>
      <c r="C67" s="10">
        <f>COUNTIFS('Amex Transactions'!$E:$E,A67,'Amex Transactions'!$D:$D,B67)</f>
        <v/>
      </c>
      <c r="D67" s="10">
        <f>SUMIFS('Amex Transactions'!$G:$G,'Amex Transactions'!$E:$E,A67,'Amex Transactions'!$D:$D,B67,'Amex Transactions'!$G:$G,"&gt;0")</f>
        <v/>
      </c>
      <c r="E67" s="10">
        <f>SUMIFS('Amex Transactions'!$G:$G,'Amex Transactions'!$E:$E,A67,'Amex Transactions'!$D:$D,B67,'Amex Transactions'!$G:$G,"&lt;0")</f>
        <v/>
      </c>
      <c r="F67" s="10">
        <f>D67+E67</f>
        <v/>
      </c>
      <c r="G67" s="10">
        <f>COUNTIFS('Amex Transactions'!$E:$E,A67,'Amex Transactions'!$D:$D,B67,'Amex Transactions'!$I:$I,"Check")</f>
        <v/>
      </c>
    </row>
    <row r="68">
      <c r="A68" s="10" t="inlineStr">
        <is>
          <t>Review</t>
        </is>
      </c>
      <c r="B68" s="10" t="inlineStr">
        <is>
          <t>Salon</t>
        </is>
      </c>
      <c r="C68" s="10">
        <f>COUNTIFS('Amex Transactions'!$E:$E,A68,'Amex Transactions'!$D:$D,B68)</f>
        <v/>
      </c>
      <c r="D68" s="10">
        <f>SUMIFS('Amex Transactions'!$G:$G,'Amex Transactions'!$E:$E,A68,'Amex Transactions'!$D:$D,B68,'Amex Transactions'!$G:$G,"&gt;0")</f>
        <v/>
      </c>
      <c r="E68" s="10">
        <f>SUMIFS('Amex Transactions'!$G:$G,'Amex Transactions'!$E:$E,A68,'Amex Transactions'!$D:$D,B68,'Amex Transactions'!$G:$G,"&lt;0")</f>
        <v/>
      </c>
      <c r="F68" s="10">
        <f>D68+E68</f>
        <v/>
      </c>
      <c r="G68" s="10">
        <f>COUNTIFS('Amex Transactions'!$E:$E,A68,'Amex Transactions'!$D:$D,B68,'Amex Transactions'!$I:$I,"Check")</f>
        <v/>
      </c>
    </row>
    <row r="69">
      <c r="A69" s="10" t="inlineStr">
        <is>
          <t>Review</t>
        </is>
      </c>
      <c r="B69" s="10" t="inlineStr">
        <is>
          <t>Sport</t>
        </is>
      </c>
      <c r="C69" s="10">
        <f>COUNTIFS('Amex Transactions'!$E:$E,A69,'Amex Transactions'!$D:$D,B69)</f>
        <v/>
      </c>
      <c r="D69" s="10">
        <f>SUMIFS('Amex Transactions'!$G:$G,'Amex Transactions'!$E:$E,A69,'Amex Transactions'!$D:$D,B69,'Amex Transactions'!$G:$G,"&gt;0")</f>
        <v/>
      </c>
      <c r="E69" s="10">
        <f>SUMIFS('Amex Transactions'!$G:$G,'Amex Transactions'!$E:$E,A69,'Amex Transactions'!$D:$D,B69,'Amex Transactions'!$G:$G,"&lt;0")</f>
        <v/>
      </c>
      <c r="F69" s="10">
        <f>D69+E69</f>
        <v/>
      </c>
      <c r="G69" s="10">
        <f>COUNTIFS('Amex Transactions'!$E:$E,A69,'Amex Transactions'!$D:$D,B69,'Amex Transactions'!$I:$I,"Check")</f>
        <v/>
      </c>
    </row>
    <row r="70">
      <c r="A70" s="10" t="inlineStr">
        <is>
          <t>Review</t>
        </is>
      </c>
      <c r="B70" s="10" t="inlineStr">
        <is>
          <t>Subscriptions</t>
        </is>
      </c>
      <c r="C70" s="10">
        <f>COUNTIFS('Amex Transactions'!$E:$E,A70,'Amex Transactions'!$D:$D,B70)</f>
        <v/>
      </c>
      <c r="D70" s="10">
        <f>SUMIFS('Amex Transactions'!$G:$G,'Amex Transactions'!$E:$E,A70,'Amex Transactions'!$D:$D,B70,'Amex Transactions'!$G:$G,"&gt;0")</f>
        <v/>
      </c>
      <c r="E70" s="10">
        <f>SUMIFS('Amex Transactions'!$G:$G,'Amex Transactions'!$E:$E,A70,'Amex Transactions'!$D:$D,B70,'Amex Transactions'!$G:$G,"&lt;0")</f>
        <v/>
      </c>
      <c r="F70" s="10">
        <f>D70+E70</f>
        <v/>
      </c>
      <c r="G70" s="10">
        <f>COUNTIFS('Amex Transactions'!$E:$E,A70,'Amex Transactions'!$D:$D,B70,'Amex Transactions'!$I:$I,"Check")</f>
        <v/>
      </c>
    </row>
    <row r="71">
      <c r="A71" s="10" t="inlineStr">
        <is>
          <t>Review</t>
        </is>
      </c>
      <c r="B71" s="10" t="inlineStr">
        <is>
          <t>Transport</t>
        </is>
      </c>
      <c r="C71" s="10">
        <f>COUNTIFS('Amex Transactions'!$E:$E,A71,'Amex Transactions'!$D:$D,B71)</f>
        <v/>
      </c>
      <c r="D71" s="10">
        <f>SUMIFS('Amex Transactions'!$G:$G,'Amex Transactions'!$E:$E,A71,'Amex Transactions'!$D:$D,B71,'Amex Transactions'!$G:$G,"&gt;0")</f>
        <v/>
      </c>
      <c r="E71" s="10">
        <f>SUMIFS('Amex Transactions'!$G:$G,'Amex Transactions'!$E:$E,A71,'Amex Transactions'!$D:$D,B71,'Amex Transactions'!$G:$G,"&lt;0")</f>
        <v/>
      </c>
      <c r="F71" s="10">
        <f>D71+E71</f>
        <v/>
      </c>
      <c r="G71" s="10">
        <f>COUNTIFS('Amex Transactions'!$E:$E,A71,'Amex Transactions'!$D:$D,B71,'Amex Transactions'!$I:$I,"Check")</f>
        <v/>
      </c>
    </row>
    <row r="72">
      <c r="A72" s="10" t="inlineStr">
        <is>
          <t>Review</t>
        </is>
      </c>
      <c r="B72" s="10" t="inlineStr">
        <is>
          <t>Travel</t>
        </is>
      </c>
      <c r="C72" s="10">
        <f>COUNTIFS('Amex Transactions'!$E:$E,A72,'Amex Transactions'!$D:$D,B72)</f>
        <v/>
      </c>
      <c r="D72" s="10">
        <f>SUMIFS('Amex Transactions'!$G:$G,'Amex Transactions'!$E:$E,A72,'Amex Transactions'!$D:$D,B72,'Amex Transactions'!$G:$G,"&gt;0")</f>
        <v/>
      </c>
      <c r="E72" s="10">
        <f>SUMIFS('Amex Transactions'!$G:$G,'Amex Transactions'!$E:$E,A72,'Amex Transactions'!$D:$D,B72,'Amex Transactions'!$G:$G,"&lt;0")</f>
        <v/>
      </c>
      <c r="F72" s="10">
        <f>D72+E72</f>
        <v/>
      </c>
      <c r="G72" s="10">
        <f>COUNTIFS('Amex Transactions'!$E:$E,A72,'Amex Transactions'!$D:$D,B72,'Amex Transactions'!$I:$I,"Check")</f>
        <v/>
      </c>
    </row>
    <row r="73">
      <c r="A73" s="10" t="inlineStr">
        <is>
          <t>Review</t>
        </is>
      </c>
      <c r="B73" s="10" t="inlineStr">
        <is>
          <t>Uncategorised</t>
        </is>
      </c>
      <c r="C73" s="10">
        <f>COUNTIFS('Amex Transactions'!$E:$E,A73,'Amex Transactions'!$D:$D,B73)</f>
        <v/>
      </c>
      <c r="D73" s="10">
        <f>SUMIFS('Amex Transactions'!$G:$G,'Amex Transactions'!$E:$E,A73,'Amex Transactions'!$D:$D,B73,'Amex Transactions'!$G:$G,"&gt;0")</f>
        <v/>
      </c>
      <c r="E73" s="10">
        <f>SUMIFS('Amex Transactions'!$G:$G,'Amex Transactions'!$E:$E,A73,'Amex Transactions'!$D:$D,B73,'Amex Transactions'!$G:$G,"&lt;0")</f>
        <v/>
      </c>
      <c r="F73" s="10">
        <f>D73+E73</f>
        <v/>
      </c>
      <c r="G73" s="10">
        <f>COUNTIFS('Amex Transactions'!$E:$E,A73,'Amex Transactions'!$D:$D,B73,'Amex Transactions'!$I:$I,"Check")</f>
        <v/>
      </c>
    </row>
    <row r="74">
      <c r="A74" s="10" t="inlineStr">
        <is>
          <t>Review</t>
        </is>
      </c>
      <c r="B74" s="10" t="inlineStr">
        <is>
          <t>Wine</t>
        </is>
      </c>
      <c r="C74" s="10">
        <f>COUNTIFS('Amex Transactions'!$E:$E,A74,'Amex Transactions'!$D:$D,B74)</f>
        <v/>
      </c>
      <c r="D74" s="10">
        <f>SUMIFS('Amex Transactions'!$G:$G,'Amex Transactions'!$E:$E,A74,'Amex Transactions'!$D:$D,B74,'Amex Transactions'!$G:$G,"&gt;0")</f>
        <v/>
      </c>
      <c r="E74" s="10">
        <f>SUMIFS('Amex Transactions'!$G:$G,'Amex Transactions'!$E:$E,A74,'Amex Transactions'!$D:$D,B74,'Amex Transactions'!$G:$G,"&lt;0")</f>
        <v/>
      </c>
      <c r="F74" s="10">
        <f>D74+E74</f>
        <v/>
      </c>
      <c r="G74" s="10">
        <f>COUNTIFS('Amex Transactions'!$E:$E,A74,'Amex Transactions'!$D:$D,B74,'Amex Transactions'!$I:$I,"Check")</f>
        <v/>
      </c>
    </row>
    <row r="75">
      <c r="A75" s="10" t="inlineStr">
        <is>
          <t>Review</t>
        </is>
      </c>
      <c r="B75" s="10" t="inlineStr">
        <is>
          <t>beauty</t>
        </is>
      </c>
      <c r="C75" s="10">
        <f>COUNTIFS('Amex Transactions'!$E:$E,A75,'Amex Transactions'!$D:$D,B75)</f>
        <v/>
      </c>
      <c r="D75" s="10">
        <f>SUMIFS('Amex Transactions'!$G:$G,'Amex Transactions'!$E:$E,A75,'Amex Transactions'!$D:$D,B75,'Amex Transactions'!$G:$G,"&gt;0")</f>
        <v/>
      </c>
      <c r="E75" s="10">
        <f>SUMIFS('Amex Transactions'!$G:$G,'Amex Transactions'!$E:$E,A75,'Amex Transactions'!$D:$D,B75,'Amex Transactions'!$G:$G,"&lt;0")</f>
        <v/>
      </c>
      <c r="F75" s="10">
        <f>D75+E75</f>
        <v/>
      </c>
      <c r="G75" s="10">
        <f>COUNTIFS('Amex Transactions'!$E:$E,A75,'Amex Transactions'!$D:$D,B75,'Amex Transactions'!$I:$I,"Check")</f>
        <v/>
      </c>
    </row>
    <row r="76">
      <c r="A76" s="10" t="inlineStr">
        <is>
          <t>Su</t>
        </is>
      </c>
      <c r="B76" s="10" t="inlineStr">
        <is>
          <t>Airfare</t>
        </is>
      </c>
      <c r="C76" s="10">
        <f>COUNTIFS('Amex Transactions'!$E:$E,A76,'Amex Transactions'!$D:$D,B76)</f>
        <v/>
      </c>
      <c r="D76" s="10">
        <f>SUMIFS('Amex Transactions'!$G:$G,'Amex Transactions'!$E:$E,A76,'Amex Transactions'!$D:$D,B76,'Amex Transactions'!$G:$G,"&gt;0")</f>
        <v/>
      </c>
      <c r="E76" s="10">
        <f>SUMIFS('Amex Transactions'!$G:$G,'Amex Transactions'!$E:$E,A76,'Amex Transactions'!$D:$D,B76,'Amex Transactions'!$G:$G,"&lt;0")</f>
        <v/>
      </c>
      <c r="F76" s="10">
        <f>D76+E76</f>
        <v/>
      </c>
      <c r="G76" s="10">
        <f>COUNTIFS('Amex Transactions'!$E:$E,A76,'Amex Transactions'!$D:$D,B76,'Amex Transactions'!$I:$I,"Check")</f>
        <v/>
      </c>
    </row>
    <row r="77">
      <c r="A77" s="10" t="inlineStr">
        <is>
          <t>Su</t>
        </is>
      </c>
      <c r="B77" s="10" t="inlineStr">
        <is>
          <t>Art</t>
        </is>
      </c>
      <c r="C77" s="10">
        <f>COUNTIFS('Amex Transactions'!$E:$E,A77,'Amex Transactions'!$D:$D,B77)</f>
        <v/>
      </c>
      <c r="D77" s="10">
        <f>SUMIFS('Amex Transactions'!$G:$G,'Amex Transactions'!$E:$E,A77,'Amex Transactions'!$D:$D,B77,'Amex Transactions'!$G:$G,"&gt;0")</f>
        <v/>
      </c>
      <c r="E77" s="10">
        <f>SUMIFS('Amex Transactions'!$G:$G,'Amex Transactions'!$E:$E,A77,'Amex Transactions'!$D:$D,B77,'Amex Transactions'!$G:$G,"&lt;0")</f>
        <v/>
      </c>
      <c r="F77" s="10">
        <f>D77+E77</f>
        <v/>
      </c>
      <c r="G77" s="10">
        <f>COUNTIFS('Amex Transactions'!$E:$E,A77,'Amex Transactions'!$D:$D,B77,'Amex Transactions'!$I:$I,"Check")</f>
        <v/>
      </c>
    </row>
    <row r="78">
      <c r="A78" s="10" t="inlineStr">
        <is>
          <t>Su</t>
        </is>
      </c>
      <c r="B78" s="10" t="inlineStr">
        <is>
          <t>Beauty</t>
        </is>
      </c>
      <c r="C78" s="10">
        <f>COUNTIFS('Amex Transactions'!$E:$E,A78,'Amex Transactions'!$D:$D,B78)</f>
        <v/>
      </c>
      <c r="D78" s="10">
        <f>SUMIFS('Amex Transactions'!$G:$G,'Amex Transactions'!$E:$E,A78,'Amex Transactions'!$D:$D,B78,'Amex Transactions'!$G:$G,"&gt;0")</f>
        <v/>
      </c>
      <c r="E78" s="10">
        <f>SUMIFS('Amex Transactions'!$G:$G,'Amex Transactions'!$E:$E,A78,'Amex Transactions'!$D:$D,B78,'Amex Transactions'!$G:$G,"&lt;0")</f>
        <v/>
      </c>
      <c r="F78" s="10">
        <f>D78+E78</f>
        <v/>
      </c>
      <c r="G78" s="10">
        <f>COUNTIFS('Amex Transactions'!$E:$E,A78,'Amex Transactions'!$D:$D,B78,'Amex Transactions'!$I:$I,"Check")</f>
        <v/>
      </c>
    </row>
    <row r="79">
      <c r="A79" s="10" t="inlineStr">
        <is>
          <t>Su</t>
        </is>
      </c>
      <c r="B79" s="10" t="inlineStr">
        <is>
          <t>Book &amp; Kindle</t>
        </is>
      </c>
      <c r="C79" s="10">
        <f>COUNTIFS('Amex Transactions'!$E:$E,A79,'Amex Transactions'!$D:$D,B79)</f>
        <v/>
      </c>
      <c r="D79" s="10">
        <f>SUMIFS('Amex Transactions'!$G:$G,'Amex Transactions'!$E:$E,A79,'Amex Transactions'!$D:$D,B79,'Amex Transactions'!$G:$G,"&gt;0")</f>
        <v/>
      </c>
      <c r="E79" s="10">
        <f>SUMIFS('Amex Transactions'!$G:$G,'Amex Transactions'!$E:$E,A79,'Amex Transactions'!$D:$D,B79,'Amex Transactions'!$G:$G,"&lt;0")</f>
        <v/>
      </c>
      <c r="F79" s="10">
        <f>D79+E79</f>
        <v/>
      </c>
      <c r="G79" s="10">
        <f>COUNTIFS('Amex Transactions'!$E:$E,A79,'Amex Transactions'!$D:$D,B79,'Amex Transactions'!$I:$I,"Check")</f>
        <v/>
      </c>
    </row>
    <row r="80">
      <c r="A80" s="10" t="inlineStr">
        <is>
          <t>Su</t>
        </is>
      </c>
      <c r="B80" s="10" t="inlineStr">
        <is>
          <t>Charity</t>
        </is>
      </c>
      <c r="C80" s="10">
        <f>COUNTIFS('Amex Transactions'!$E:$E,A80,'Amex Transactions'!$D:$D,B80)</f>
        <v/>
      </c>
      <c r="D80" s="10">
        <f>SUMIFS('Amex Transactions'!$G:$G,'Amex Transactions'!$E:$E,A80,'Amex Transactions'!$D:$D,B80,'Amex Transactions'!$G:$G,"&gt;0")</f>
        <v/>
      </c>
      <c r="E80" s="10">
        <f>SUMIFS('Amex Transactions'!$G:$G,'Amex Transactions'!$E:$E,A80,'Amex Transactions'!$D:$D,B80,'Amex Transactions'!$G:$G,"&lt;0")</f>
        <v/>
      </c>
      <c r="F80" s="10">
        <f>D80+E80</f>
        <v/>
      </c>
      <c r="G80" s="10">
        <f>COUNTIFS('Amex Transactions'!$E:$E,A80,'Amex Transactions'!$D:$D,B80,'Amex Transactions'!$I:$I,"Check")</f>
        <v/>
      </c>
    </row>
    <row r="81">
      <c r="A81" s="10" t="inlineStr">
        <is>
          <t>Su</t>
        </is>
      </c>
      <c r="B81" s="10" t="inlineStr">
        <is>
          <t>Clinic</t>
        </is>
      </c>
      <c r="C81" s="10">
        <f>COUNTIFS('Amex Transactions'!$E:$E,A81,'Amex Transactions'!$D:$D,B81)</f>
        <v/>
      </c>
      <c r="D81" s="10">
        <f>SUMIFS('Amex Transactions'!$G:$G,'Amex Transactions'!$E:$E,A81,'Amex Transactions'!$D:$D,B81,'Amex Transactions'!$G:$G,"&gt;0")</f>
        <v/>
      </c>
      <c r="E81" s="10">
        <f>SUMIFS('Amex Transactions'!$G:$G,'Amex Transactions'!$E:$E,A81,'Amex Transactions'!$D:$D,B81,'Amex Transactions'!$G:$G,"&lt;0")</f>
        <v/>
      </c>
      <c r="F81" s="10">
        <f>D81+E81</f>
        <v/>
      </c>
      <c r="G81" s="10">
        <f>COUNTIFS('Amex Transactions'!$E:$E,A81,'Amex Transactions'!$D:$D,B81,'Amex Transactions'!$I:$I,"Check")</f>
        <v/>
      </c>
    </row>
    <row r="82">
      <c r="A82" s="10" t="inlineStr">
        <is>
          <t>Su</t>
        </is>
      </c>
      <c r="B82" s="10" t="inlineStr">
        <is>
          <t>Clothes &amp; Shoes</t>
        </is>
      </c>
      <c r="C82" s="10">
        <f>COUNTIFS('Amex Transactions'!$E:$E,A82,'Amex Transactions'!$D:$D,B82)</f>
        <v/>
      </c>
      <c r="D82" s="10">
        <f>SUMIFS('Amex Transactions'!$G:$G,'Amex Transactions'!$E:$E,A82,'Amex Transactions'!$D:$D,B82,'Amex Transactions'!$G:$G,"&gt;0")</f>
        <v/>
      </c>
      <c r="E82" s="10">
        <f>SUMIFS('Amex Transactions'!$G:$G,'Amex Transactions'!$E:$E,A82,'Amex Transactions'!$D:$D,B82,'Amex Transactions'!$G:$G,"&lt;0")</f>
        <v/>
      </c>
      <c r="F82" s="10">
        <f>D82+E82</f>
        <v/>
      </c>
      <c r="G82" s="10">
        <f>COUNTIFS('Amex Transactions'!$E:$E,A82,'Amex Transactions'!$D:$D,B82,'Amex Transactions'!$I:$I,"Check")</f>
        <v/>
      </c>
    </row>
    <row r="83">
      <c r="A83" s="10" t="inlineStr">
        <is>
          <t>Su</t>
        </is>
      </c>
      <c r="B83" s="10" t="inlineStr">
        <is>
          <t>Dining out</t>
        </is>
      </c>
      <c r="C83" s="10">
        <f>COUNTIFS('Amex Transactions'!$E:$E,A83,'Amex Transactions'!$D:$D,B83)</f>
        <v/>
      </c>
      <c r="D83" s="10">
        <f>SUMIFS('Amex Transactions'!$G:$G,'Amex Transactions'!$E:$E,A83,'Amex Transactions'!$D:$D,B83,'Amex Transactions'!$G:$G,"&gt;0")</f>
        <v/>
      </c>
      <c r="E83" s="10">
        <f>SUMIFS('Amex Transactions'!$G:$G,'Amex Transactions'!$E:$E,A83,'Amex Transactions'!$D:$D,B83,'Amex Transactions'!$G:$G,"&lt;0")</f>
        <v/>
      </c>
      <c r="F83" s="10">
        <f>D83+E83</f>
        <v/>
      </c>
      <c r="G83" s="10">
        <f>COUNTIFS('Amex Transactions'!$E:$E,A83,'Amex Transactions'!$D:$D,B83,'Amex Transactions'!$I:$I,"Check")</f>
        <v/>
      </c>
    </row>
    <row r="84">
      <c r="A84" s="10" t="inlineStr">
        <is>
          <t>Su</t>
        </is>
      </c>
      <c r="B84" s="10" t="inlineStr">
        <is>
          <t>Electronics</t>
        </is>
      </c>
      <c r="C84" s="10">
        <f>COUNTIFS('Amex Transactions'!$E:$E,A84,'Amex Transactions'!$D:$D,B84)</f>
        <v/>
      </c>
      <c r="D84" s="10">
        <f>SUMIFS('Amex Transactions'!$G:$G,'Amex Transactions'!$E:$E,A84,'Amex Transactions'!$D:$D,B84,'Amex Transactions'!$G:$G,"&gt;0")</f>
        <v/>
      </c>
      <c r="E84" s="10">
        <f>SUMIFS('Amex Transactions'!$G:$G,'Amex Transactions'!$E:$E,A84,'Amex Transactions'!$D:$D,B84,'Amex Transactions'!$G:$G,"&lt;0")</f>
        <v/>
      </c>
      <c r="F84" s="10">
        <f>D84+E84</f>
        <v/>
      </c>
      <c r="G84" s="10">
        <f>COUNTIFS('Amex Transactions'!$E:$E,A84,'Amex Transactions'!$D:$D,B84,'Amex Transactions'!$I:$I,"Check")</f>
        <v/>
      </c>
    </row>
    <row r="85">
      <c r="A85" s="10" t="inlineStr">
        <is>
          <t>Su</t>
        </is>
      </c>
      <c r="B85" s="10" t="inlineStr">
        <is>
          <t>Entertainment</t>
        </is>
      </c>
      <c r="C85" s="10">
        <f>COUNTIFS('Amex Transactions'!$E:$E,A85,'Amex Transactions'!$D:$D,B85)</f>
        <v/>
      </c>
      <c r="D85" s="10">
        <f>SUMIFS('Amex Transactions'!$G:$G,'Amex Transactions'!$E:$E,A85,'Amex Transactions'!$D:$D,B85,'Amex Transactions'!$G:$G,"&gt;0")</f>
        <v/>
      </c>
      <c r="E85" s="10">
        <f>SUMIFS('Amex Transactions'!$G:$G,'Amex Transactions'!$E:$E,A85,'Amex Transactions'!$D:$D,B85,'Amex Transactions'!$G:$G,"&lt;0")</f>
        <v/>
      </c>
      <c r="F85" s="10">
        <f>D85+E85</f>
        <v/>
      </c>
      <c r="G85" s="10">
        <f>COUNTIFS('Amex Transactions'!$E:$E,A85,'Amex Transactions'!$D:$D,B85,'Amex Transactions'!$I:$I,"Check")</f>
        <v/>
      </c>
    </row>
    <row r="86">
      <c r="A86" s="10" t="inlineStr">
        <is>
          <t>Su</t>
        </is>
      </c>
      <c r="B86" s="10" t="inlineStr">
        <is>
          <t>Fees</t>
        </is>
      </c>
      <c r="C86" s="10">
        <f>COUNTIFS('Amex Transactions'!$E:$E,A86,'Amex Transactions'!$D:$D,B86)</f>
        <v/>
      </c>
      <c r="D86" s="10">
        <f>SUMIFS('Amex Transactions'!$G:$G,'Amex Transactions'!$E:$E,A86,'Amex Transactions'!$D:$D,B86,'Amex Transactions'!$G:$G,"&gt;0")</f>
        <v/>
      </c>
      <c r="E86" s="10">
        <f>SUMIFS('Amex Transactions'!$G:$G,'Amex Transactions'!$E:$E,A86,'Amex Transactions'!$D:$D,B86,'Amex Transactions'!$G:$G,"&lt;0")</f>
        <v/>
      </c>
      <c r="F86" s="10">
        <f>D86+E86</f>
        <v/>
      </c>
      <c r="G86" s="10">
        <f>COUNTIFS('Amex Transactions'!$E:$E,A86,'Amex Transactions'!$D:$D,B86,'Amex Transactions'!$I:$I,"Check")</f>
        <v/>
      </c>
    </row>
    <row r="87">
      <c r="A87" s="10" t="inlineStr">
        <is>
          <t>Su</t>
        </is>
      </c>
      <c r="B87" s="10" t="inlineStr">
        <is>
          <t>Fitness Equipment</t>
        </is>
      </c>
      <c r="C87" s="10">
        <f>COUNTIFS('Amex Transactions'!$E:$E,A87,'Amex Transactions'!$D:$D,B87)</f>
        <v/>
      </c>
      <c r="D87" s="10">
        <f>SUMIFS('Amex Transactions'!$G:$G,'Amex Transactions'!$E:$E,A87,'Amex Transactions'!$D:$D,B87,'Amex Transactions'!$G:$G,"&gt;0")</f>
        <v/>
      </c>
      <c r="E87" s="10">
        <f>SUMIFS('Amex Transactions'!$G:$G,'Amex Transactions'!$E:$E,A87,'Amex Transactions'!$D:$D,B87,'Amex Transactions'!$G:$G,"&lt;0")</f>
        <v/>
      </c>
      <c r="F87" s="10">
        <f>D87+E87</f>
        <v/>
      </c>
      <c r="G87" s="10">
        <f>COUNTIFS('Amex Transactions'!$E:$E,A87,'Amex Transactions'!$D:$D,B87,'Amex Transactions'!$I:$I,"Check")</f>
        <v/>
      </c>
    </row>
    <row r="88">
      <c r="A88" s="10" t="inlineStr">
        <is>
          <t>Su</t>
        </is>
      </c>
      <c r="B88" s="10" t="inlineStr">
        <is>
          <t>Flowers</t>
        </is>
      </c>
      <c r="C88" s="10">
        <f>COUNTIFS('Amex Transactions'!$E:$E,A88,'Amex Transactions'!$D:$D,B88)</f>
        <v/>
      </c>
      <c r="D88" s="10">
        <f>SUMIFS('Amex Transactions'!$G:$G,'Amex Transactions'!$E:$E,A88,'Amex Transactions'!$D:$D,B88,'Amex Transactions'!$G:$G,"&gt;0")</f>
        <v/>
      </c>
      <c r="E88" s="10">
        <f>SUMIFS('Amex Transactions'!$G:$G,'Amex Transactions'!$E:$E,A88,'Amex Transactions'!$D:$D,B88,'Amex Transactions'!$G:$G,"&lt;0")</f>
        <v/>
      </c>
      <c r="F88" s="10">
        <f>D88+E88</f>
        <v/>
      </c>
      <c r="G88" s="10">
        <f>COUNTIFS('Amex Transactions'!$E:$E,A88,'Amex Transactions'!$D:$D,B88,'Amex Transactions'!$I:$I,"Check")</f>
        <v/>
      </c>
    </row>
    <row r="89">
      <c r="A89" s="10" t="inlineStr">
        <is>
          <t>Su</t>
        </is>
      </c>
      <c r="B89" s="10" t="inlineStr">
        <is>
          <t>Food</t>
        </is>
      </c>
      <c r="C89" s="10">
        <f>COUNTIFS('Amex Transactions'!$E:$E,A89,'Amex Transactions'!$D:$D,B89)</f>
        <v/>
      </c>
      <c r="D89" s="10">
        <f>SUMIFS('Amex Transactions'!$G:$G,'Amex Transactions'!$E:$E,A89,'Amex Transactions'!$D:$D,B89,'Amex Transactions'!$G:$G,"&gt;0")</f>
        <v/>
      </c>
      <c r="E89" s="10">
        <f>SUMIFS('Amex Transactions'!$G:$G,'Amex Transactions'!$E:$E,A89,'Amex Transactions'!$D:$D,B89,'Amex Transactions'!$G:$G,"&lt;0")</f>
        <v/>
      </c>
      <c r="F89" s="10">
        <f>D89+E89</f>
        <v/>
      </c>
      <c r="G89" s="10">
        <f>COUNTIFS('Amex Transactions'!$E:$E,A89,'Amex Transactions'!$D:$D,B89,'Amex Transactions'!$I:$I,"Check")</f>
        <v/>
      </c>
    </row>
    <row r="90">
      <c r="A90" s="10" t="inlineStr">
        <is>
          <t>Su</t>
        </is>
      </c>
      <c r="B90" s="10" t="inlineStr">
        <is>
          <t>Glasses</t>
        </is>
      </c>
      <c r="C90" s="10">
        <f>COUNTIFS('Amex Transactions'!$E:$E,A90,'Amex Transactions'!$D:$D,B90)</f>
        <v/>
      </c>
      <c r="D90" s="10">
        <f>SUMIFS('Amex Transactions'!$G:$G,'Amex Transactions'!$E:$E,A90,'Amex Transactions'!$D:$D,B90,'Amex Transactions'!$G:$G,"&gt;0")</f>
        <v/>
      </c>
      <c r="E90" s="10">
        <f>SUMIFS('Amex Transactions'!$G:$G,'Amex Transactions'!$E:$E,A90,'Amex Transactions'!$D:$D,B90,'Amex Transactions'!$G:$G,"&lt;0")</f>
        <v/>
      </c>
      <c r="F90" s="10">
        <f>D90+E90</f>
        <v/>
      </c>
      <c r="G90" s="10">
        <f>COUNTIFS('Amex Transactions'!$E:$E,A90,'Amex Transactions'!$D:$D,B90,'Amex Transactions'!$I:$I,"Check")</f>
        <v/>
      </c>
    </row>
    <row r="91">
      <c r="A91" s="10" t="inlineStr">
        <is>
          <t>Su</t>
        </is>
      </c>
      <c r="B91" s="10" t="inlineStr">
        <is>
          <t>Groceries</t>
        </is>
      </c>
      <c r="C91" s="10">
        <f>COUNTIFS('Amex Transactions'!$E:$E,A91,'Amex Transactions'!$D:$D,B91)</f>
        <v/>
      </c>
      <c r="D91" s="10">
        <f>SUMIFS('Amex Transactions'!$G:$G,'Amex Transactions'!$E:$E,A91,'Amex Transactions'!$D:$D,B91,'Amex Transactions'!$G:$G,"&gt;0")</f>
        <v/>
      </c>
      <c r="E91" s="10">
        <f>SUMIFS('Amex Transactions'!$G:$G,'Amex Transactions'!$E:$E,A91,'Amex Transactions'!$D:$D,B91,'Amex Transactions'!$G:$G,"&lt;0")</f>
        <v/>
      </c>
      <c r="F91" s="10">
        <f>D91+E91</f>
        <v/>
      </c>
      <c r="G91" s="10">
        <f>COUNTIFS('Amex Transactions'!$E:$E,A91,'Amex Transactions'!$D:$D,B91,'Amex Transactions'!$I:$I,"Check")</f>
        <v/>
      </c>
    </row>
    <row r="92">
      <c r="A92" s="10" t="inlineStr">
        <is>
          <t>Su</t>
        </is>
      </c>
      <c r="B92" s="10" t="inlineStr">
        <is>
          <t>Health</t>
        </is>
      </c>
      <c r="C92" s="10">
        <f>COUNTIFS('Amex Transactions'!$E:$E,A92,'Amex Transactions'!$D:$D,B92)</f>
        <v/>
      </c>
      <c r="D92" s="10">
        <f>SUMIFS('Amex Transactions'!$G:$G,'Amex Transactions'!$E:$E,A92,'Amex Transactions'!$D:$D,B92,'Amex Transactions'!$G:$G,"&gt;0")</f>
        <v/>
      </c>
      <c r="E92" s="10">
        <f>SUMIFS('Amex Transactions'!$G:$G,'Amex Transactions'!$E:$E,A92,'Amex Transactions'!$D:$D,B92,'Amex Transactions'!$G:$G,"&lt;0")</f>
        <v/>
      </c>
      <c r="F92" s="10">
        <f>D92+E92</f>
        <v/>
      </c>
      <c r="G92" s="10">
        <f>COUNTIFS('Amex Transactions'!$E:$E,A92,'Amex Transactions'!$D:$D,B92,'Amex Transactions'!$I:$I,"Check")</f>
        <v/>
      </c>
    </row>
    <row r="93">
      <c r="A93" s="10" t="inlineStr">
        <is>
          <t>Su</t>
        </is>
      </c>
      <c r="B93" s="10" t="inlineStr">
        <is>
          <t>Hotel</t>
        </is>
      </c>
      <c r="C93" s="10">
        <f>COUNTIFS('Amex Transactions'!$E:$E,A93,'Amex Transactions'!$D:$D,B93)</f>
        <v/>
      </c>
      <c r="D93" s="10">
        <f>SUMIFS('Amex Transactions'!$G:$G,'Amex Transactions'!$E:$E,A93,'Amex Transactions'!$D:$D,B93,'Amex Transactions'!$G:$G,"&gt;0")</f>
        <v/>
      </c>
      <c r="E93" s="10">
        <f>SUMIFS('Amex Transactions'!$G:$G,'Amex Transactions'!$E:$E,A93,'Amex Transactions'!$D:$D,B93,'Amex Transactions'!$G:$G,"&lt;0")</f>
        <v/>
      </c>
      <c r="F93" s="10">
        <f>D93+E93</f>
        <v/>
      </c>
      <c r="G93" s="10">
        <f>COUNTIFS('Amex Transactions'!$E:$E,A93,'Amex Transactions'!$D:$D,B93,'Amex Transactions'!$I:$I,"Check")</f>
        <v/>
      </c>
    </row>
    <row r="94">
      <c r="A94" s="10" t="inlineStr">
        <is>
          <t>Su</t>
        </is>
      </c>
      <c r="B94" s="10" t="inlineStr">
        <is>
          <t>Housewares</t>
        </is>
      </c>
      <c r="C94" s="10">
        <f>COUNTIFS('Amex Transactions'!$E:$E,A94,'Amex Transactions'!$D:$D,B94)</f>
        <v/>
      </c>
      <c r="D94" s="10">
        <f>SUMIFS('Amex Transactions'!$G:$G,'Amex Transactions'!$E:$E,A94,'Amex Transactions'!$D:$D,B94,'Amex Transactions'!$G:$G,"&gt;0")</f>
        <v/>
      </c>
      <c r="E94" s="10">
        <f>SUMIFS('Amex Transactions'!$G:$G,'Amex Transactions'!$E:$E,A94,'Amex Transactions'!$D:$D,B94,'Amex Transactions'!$G:$G,"&lt;0")</f>
        <v/>
      </c>
      <c r="F94" s="10">
        <f>D94+E94</f>
        <v/>
      </c>
      <c r="G94" s="10">
        <f>COUNTIFS('Amex Transactions'!$E:$E,A94,'Amex Transactions'!$D:$D,B94,'Amex Transactions'!$I:$I,"Check")</f>
        <v/>
      </c>
    </row>
    <row r="95">
      <c r="A95" s="10" t="inlineStr">
        <is>
          <t>Su</t>
        </is>
      </c>
      <c r="B95" s="10" t="inlineStr">
        <is>
          <t>Jewellery</t>
        </is>
      </c>
      <c r="C95" s="10">
        <f>COUNTIFS('Amex Transactions'!$E:$E,A95,'Amex Transactions'!$D:$D,B95)</f>
        <v/>
      </c>
      <c r="D95" s="10">
        <f>SUMIFS('Amex Transactions'!$G:$G,'Amex Transactions'!$E:$E,A95,'Amex Transactions'!$D:$D,B95,'Amex Transactions'!$G:$G,"&gt;0")</f>
        <v/>
      </c>
      <c r="E95" s="10">
        <f>SUMIFS('Amex Transactions'!$G:$G,'Amex Transactions'!$E:$E,A95,'Amex Transactions'!$D:$D,B95,'Amex Transactions'!$G:$G,"&lt;0")</f>
        <v/>
      </c>
      <c r="F95" s="10">
        <f>D95+E95</f>
        <v/>
      </c>
      <c r="G95" s="10">
        <f>COUNTIFS('Amex Transactions'!$E:$E,A95,'Amex Transactions'!$D:$D,B95,'Amex Transactions'!$I:$I,"Check")</f>
        <v/>
      </c>
    </row>
    <row r="96">
      <c r="A96" s="10" t="inlineStr">
        <is>
          <t>Su</t>
        </is>
      </c>
      <c r="B96" s="10" t="inlineStr">
        <is>
          <t>Massage</t>
        </is>
      </c>
      <c r="C96" s="10">
        <f>COUNTIFS('Amex Transactions'!$E:$E,A96,'Amex Transactions'!$D:$D,B96)</f>
        <v/>
      </c>
      <c r="D96" s="10">
        <f>SUMIFS('Amex Transactions'!$G:$G,'Amex Transactions'!$E:$E,A96,'Amex Transactions'!$D:$D,B96,'Amex Transactions'!$G:$G,"&gt;0")</f>
        <v/>
      </c>
      <c r="E96" s="10">
        <f>SUMIFS('Amex Transactions'!$G:$G,'Amex Transactions'!$E:$E,A96,'Amex Transactions'!$D:$D,B96,'Amex Transactions'!$G:$G,"&lt;0")</f>
        <v/>
      </c>
      <c r="F96" s="10">
        <f>D96+E96</f>
        <v/>
      </c>
      <c r="G96" s="10">
        <f>COUNTIFS('Amex Transactions'!$E:$E,A96,'Amex Transactions'!$D:$D,B96,'Amex Transactions'!$I:$I,"Check")</f>
        <v/>
      </c>
    </row>
    <row r="97">
      <c r="A97" s="10" t="inlineStr">
        <is>
          <t>Su</t>
        </is>
      </c>
      <c r="B97" s="10" t="inlineStr">
        <is>
          <t>Membership</t>
        </is>
      </c>
      <c r="C97" s="10">
        <f>COUNTIFS('Amex Transactions'!$E:$E,A97,'Amex Transactions'!$D:$D,B97)</f>
        <v/>
      </c>
      <c r="D97" s="10">
        <f>SUMIFS('Amex Transactions'!$G:$G,'Amex Transactions'!$E:$E,A97,'Amex Transactions'!$D:$D,B97,'Amex Transactions'!$G:$G,"&gt;0")</f>
        <v/>
      </c>
      <c r="E97" s="10">
        <f>SUMIFS('Amex Transactions'!$G:$G,'Amex Transactions'!$E:$E,A97,'Amex Transactions'!$D:$D,B97,'Amex Transactions'!$G:$G,"&lt;0")</f>
        <v/>
      </c>
      <c r="F97" s="10">
        <f>D97+E97</f>
        <v/>
      </c>
      <c r="G97" s="10">
        <f>COUNTIFS('Amex Transactions'!$E:$E,A97,'Amex Transactions'!$D:$D,B97,'Amex Transactions'!$I:$I,"Check")</f>
        <v/>
      </c>
    </row>
    <row r="98">
      <c r="A98" s="10" t="inlineStr">
        <is>
          <t>Su</t>
        </is>
      </c>
      <c r="B98" s="10" t="inlineStr">
        <is>
          <t>Misc</t>
        </is>
      </c>
      <c r="C98" s="10">
        <f>COUNTIFS('Amex Transactions'!$E:$E,A98,'Amex Transactions'!$D:$D,B98)</f>
        <v/>
      </c>
      <c r="D98" s="10">
        <f>SUMIFS('Amex Transactions'!$G:$G,'Amex Transactions'!$E:$E,A98,'Amex Transactions'!$D:$D,B98,'Amex Transactions'!$G:$G,"&gt;0")</f>
        <v/>
      </c>
      <c r="E98" s="10">
        <f>SUMIFS('Amex Transactions'!$G:$G,'Amex Transactions'!$E:$E,A98,'Amex Transactions'!$D:$D,B98,'Amex Transactions'!$G:$G,"&lt;0")</f>
        <v/>
      </c>
      <c r="F98" s="10">
        <f>D98+E98</f>
        <v/>
      </c>
      <c r="G98" s="10">
        <f>COUNTIFS('Amex Transactions'!$E:$E,A98,'Amex Transactions'!$D:$D,B98,'Amex Transactions'!$I:$I,"Check")</f>
        <v/>
      </c>
    </row>
    <row r="99">
      <c r="A99" s="10" t="inlineStr">
        <is>
          <t>Su</t>
        </is>
      </c>
      <c r="B99" s="10" t="inlineStr">
        <is>
          <t>Payment</t>
        </is>
      </c>
      <c r="C99" s="10">
        <f>COUNTIFS('Amex Transactions'!$E:$E,A99,'Amex Transactions'!$D:$D,B99)</f>
        <v/>
      </c>
      <c r="D99" s="10">
        <f>SUMIFS('Amex Transactions'!$G:$G,'Amex Transactions'!$E:$E,A99,'Amex Transactions'!$D:$D,B99,'Amex Transactions'!$G:$G,"&gt;0")</f>
        <v/>
      </c>
      <c r="E99" s="10">
        <f>SUMIFS('Amex Transactions'!$G:$G,'Amex Transactions'!$E:$E,A99,'Amex Transactions'!$D:$D,B99,'Amex Transactions'!$G:$G,"&lt;0")</f>
        <v/>
      </c>
      <c r="F99" s="10">
        <f>D99+E99</f>
        <v/>
      </c>
      <c r="G99" s="10">
        <f>COUNTIFS('Amex Transactions'!$E:$E,A99,'Amex Transactions'!$D:$D,B99,'Amex Transactions'!$I:$I,"Check")</f>
        <v/>
      </c>
    </row>
    <row r="100">
      <c r="A100" s="10" t="inlineStr">
        <is>
          <t>Su</t>
        </is>
      </c>
      <c r="B100" s="10" t="inlineStr">
        <is>
          <t>Pharmacy</t>
        </is>
      </c>
      <c r="C100" s="10">
        <f>COUNTIFS('Amex Transactions'!$E:$E,A100,'Amex Transactions'!$D:$D,B100)</f>
        <v/>
      </c>
      <c r="D100" s="10">
        <f>SUMIFS('Amex Transactions'!$G:$G,'Amex Transactions'!$E:$E,A100,'Amex Transactions'!$D:$D,B100,'Amex Transactions'!$G:$G,"&gt;0")</f>
        <v/>
      </c>
      <c r="E100" s="10">
        <f>SUMIFS('Amex Transactions'!$G:$G,'Amex Transactions'!$E:$E,A100,'Amex Transactions'!$D:$D,B100,'Amex Transactions'!$G:$G,"&lt;0")</f>
        <v/>
      </c>
      <c r="F100" s="10">
        <f>D100+E100</f>
        <v/>
      </c>
      <c r="G100" s="10">
        <f>COUNTIFS('Amex Transactions'!$E:$E,A100,'Amex Transactions'!$D:$D,B100,'Amex Transactions'!$I:$I,"Check")</f>
        <v/>
      </c>
    </row>
    <row r="101">
      <c r="A101" s="10" t="inlineStr">
        <is>
          <t>Su</t>
        </is>
      </c>
      <c r="B101" s="10" t="inlineStr">
        <is>
          <t>Physiotherapy</t>
        </is>
      </c>
      <c r="C101" s="10">
        <f>COUNTIFS('Amex Transactions'!$E:$E,A101,'Amex Transactions'!$D:$D,B101)</f>
        <v/>
      </c>
      <c r="D101" s="10">
        <f>SUMIFS('Amex Transactions'!$G:$G,'Amex Transactions'!$E:$E,A101,'Amex Transactions'!$D:$D,B101,'Amex Transactions'!$G:$G,"&gt;0")</f>
        <v/>
      </c>
      <c r="E101" s="10">
        <f>SUMIFS('Amex Transactions'!$G:$G,'Amex Transactions'!$E:$E,A101,'Amex Transactions'!$D:$D,B101,'Amex Transactions'!$G:$G,"&lt;0")</f>
        <v/>
      </c>
      <c r="F101" s="10">
        <f>D101+E101</f>
        <v/>
      </c>
      <c r="G101" s="10">
        <f>COUNTIFS('Amex Transactions'!$E:$E,A101,'Amex Transactions'!$D:$D,B101,'Amex Transactions'!$I:$I,"Check")</f>
        <v/>
      </c>
    </row>
    <row r="102">
      <c r="A102" s="10" t="inlineStr">
        <is>
          <t>Su</t>
        </is>
      </c>
      <c r="B102" s="10" t="inlineStr">
        <is>
          <t>Psychology</t>
        </is>
      </c>
      <c r="C102" s="10">
        <f>COUNTIFS('Amex Transactions'!$E:$E,A102,'Amex Transactions'!$D:$D,B102)</f>
        <v/>
      </c>
      <c r="D102" s="10">
        <f>SUMIFS('Amex Transactions'!$G:$G,'Amex Transactions'!$E:$E,A102,'Amex Transactions'!$D:$D,B102,'Amex Transactions'!$G:$G,"&gt;0")</f>
        <v/>
      </c>
      <c r="E102" s="10">
        <f>SUMIFS('Amex Transactions'!$G:$G,'Amex Transactions'!$E:$E,A102,'Amex Transactions'!$D:$D,B102,'Amex Transactions'!$G:$G,"&lt;0")</f>
        <v/>
      </c>
      <c r="F102" s="10">
        <f>D102+E102</f>
        <v/>
      </c>
      <c r="G102" s="10">
        <f>COUNTIFS('Amex Transactions'!$E:$E,A102,'Amex Transactions'!$D:$D,B102,'Amex Transactions'!$I:$I,"Check")</f>
        <v/>
      </c>
    </row>
    <row r="103">
      <c r="A103" s="10" t="inlineStr">
        <is>
          <t>Su</t>
        </is>
      </c>
      <c r="B103" s="10" t="inlineStr">
        <is>
          <t>Salon</t>
        </is>
      </c>
      <c r="C103" s="10">
        <f>COUNTIFS('Amex Transactions'!$E:$E,A103,'Amex Transactions'!$D:$D,B103)</f>
        <v/>
      </c>
      <c r="D103" s="10">
        <f>SUMIFS('Amex Transactions'!$G:$G,'Amex Transactions'!$E:$E,A103,'Amex Transactions'!$D:$D,B103,'Amex Transactions'!$G:$G,"&gt;0")</f>
        <v/>
      </c>
      <c r="E103" s="10">
        <f>SUMIFS('Amex Transactions'!$G:$G,'Amex Transactions'!$E:$E,A103,'Amex Transactions'!$D:$D,B103,'Amex Transactions'!$G:$G,"&lt;0")</f>
        <v/>
      </c>
      <c r="F103" s="10">
        <f>D103+E103</f>
        <v/>
      </c>
      <c r="G103" s="10">
        <f>COUNTIFS('Amex Transactions'!$E:$E,A103,'Amex Transactions'!$D:$D,B103,'Amex Transactions'!$I:$I,"Check")</f>
        <v/>
      </c>
    </row>
    <row r="104">
      <c r="A104" s="10" t="inlineStr">
        <is>
          <t>Su</t>
        </is>
      </c>
      <c r="B104" s="10" t="inlineStr">
        <is>
          <t>Sport</t>
        </is>
      </c>
      <c r="C104" s="10">
        <f>COUNTIFS('Amex Transactions'!$E:$E,A104,'Amex Transactions'!$D:$D,B104)</f>
        <v/>
      </c>
      <c r="D104" s="10">
        <f>SUMIFS('Amex Transactions'!$G:$G,'Amex Transactions'!$E:$E,A104,'Amex Transactions'!$D:$D,B104,'Amex Transactions'!$G:$G,"&gt;0")</f>
        <v/>
      </c>
      <c r="E104" s="10">
        <f>SUMIFS('Amex Transactions'!$G:$G,'Amex Transactions'!$E:$E,A104,'Amex Transactions'!$D:$D,B104,'Amex Transactions'!$G:$G,"&lt;0")</f>
        <v/>
      </c>
      <c r="F104" s="10">
        <f>D104+E104</f>
        <v/>
      </c>
      <c r="G104" s="10">
        <f>COUNTIFS('Amex Transactions'!$E:$E,A104,'Amex Transactions'!$D:$D,B104,'Amex Transactions'!$I:$I,"Check")</f>
        <v/>
      </c>
    </row>
    <row r="105">
      <c r="A105" s="10" t="inlineStr">
        <is>
          <t>Su</t>
        </is>
      </c>
      <c r="B105" s="10" t="inlineStr">
        <is>
          <t>Subscriptions</t>
        </is>
      </c>
      <c r="C105" s="10">
        <f>COUNTIFS('Amex Transactions'!$E:$E,A105,'Amex Transactions'!$D:$D,B105)</f>
        <v/>
      </c>
      <c r="D105" s="10">
        <f>SUMIFS('Amex Transactions'!$G:$G,'Amex Transactions'!$E:$E,A105,'Amex Transactions'!$D:$D,B105,'Amex Transactions'!$G:$G,"&gt;0")</f>
        <v/>
      </c>
      <c r="E105" s="10">
        <f>SUMIFS('Amex Transactions'!$G:$G,'Amex Transactions'!$E:$E,A105,'Amex Transactions'!$D:$D,B105,'Amex Transactions'!$G:$G,"&lt;0")</f>
        <v/>
      </c>
      <c r="F105" s="10">
        <f>D105+E105</f>
        <v/>
      </c>
      <c r="G105" s="10">
        <f>COUNTIFS('Amex Transactions'!$E:$E,A105,'Amex Transactions'!$D:$D,B105,'Amex Transactions'!$I:$I,"Check")</f>
        <v/>
      </c>
    </row>
    <row r="106">
      <c r="A106" s="10" t="inlineStr">
        <is>
          <t>Su</t>
        </is>
      </c>
      <c r="B106" s="10" t="inlineStr">
        <is>
          <t>Transport</t>
        </is>
      </c>
      <c r="C106" s="10">
        <f>COUNTIFS('Amex Transactions'!$E:$E,A106,'Amex Transactions'!$D:$D,B106)</f>
        <v/>
      </c>
      <c r="D106" s="10">
        <f>SUMIFS('Amex Transactions'!$G:$G,'Amex Transactions'!$E:$E,A106,'Amex Transactions'!$D:$D,B106,'Amex Transactions'!$G:$G,"&gt;0")</f>
        <v/>
      </c>
      <c r="E106" s="10">
        <f>SUMIFS('Amex Transactions'!$G:$G,'Amex Transactions'!$E:$E,A106,'Amex Transactions'!$D:$D,B106,'Amex Transactions'!$G:$G,"&lt;0")</f>
        <v/>
      </c>
      <c r="F106" s="10">
        <f>D106+E106</f>
        <v/>
      </c>
      <c r="G106" s="10">
        <f>COUNTIFS('Amex Transactions'!$E:$E,A106,'Amex Transactions'!$D:$D,B106,'Amex Transactions'!$I:$I,"Check")</f>
        <v/>
      </c>
    </row>
    <row r="107">
      <c r="A107" s="10" t="inlineStr">
        <is>
          <t>Su</t>
        </is>
      </c>
      <c r="B107" s="10" t="inlineStr">
        <is>
          <t>Travel</t>
        </is>
      </c>
      <c r="C107" s="10">
        <f>COUNTIFS('Amex Transactions'!$E:$E,A107,'Amex Transactions'!$D:$D,B107)</f>
        <v/>
      </c>
      <c r="D107" s="10">
        <f>SUMIFS('Amex Transactions'!$G:$G,'Amex Transactions'!$E:$E,A107,'Amex Transactions'!$D:$D,B107,'Amex Transactions'!$G:$G,"&gt;0")</f>
        <v/>
      </c>
      <c r="E107" s="10">
        <f>SUMIFS('Amex Transactions'!$G:$G,'Amex Transactions'!$E:$E,A107,'Amex Transactions'!$D:$D,B107,'Amex Transactions'!$G:$G,"&lt;0")</f>
        <v/>
      </c>
      <c r="F107" s="10">
        <f>D107+E107</f>
        <v/>
      </c>
      <c r="G107" s="10">
        <f>COUNTIFS('Amex Transactions'!$E:$E,A107,'Amex Transactions'!$D:$D,B107,'Amex Transactions'!$I:$I,"Check")</f>
        <v/>
      </c>
    </row>
    <row r="108">
      <c r="A108" s="10" t="inlineStr">
        <is>
          <t>Su</t>
        </is>
      </c>
      <c r="B108" s="10" t="inlineStr">
        <is>
          <t>Uncategorised</t>
        </is>
      </c>
      <c r="C108" s="10">
        <f>COUNTIFS('Amex Transactions'!$E:$E,A108,'Amex Transactions'!$D:$D,B108)</f>
        <v/>
      </c>
      <c r="D108" s="10">
        <f>SUMIFS('Amex Transactions'!$G:$G,'Amex Transactions'!$E:$E,A108,'Amex Transactions'!$D:$D,B108,'Amex Transactions'!$G:$G,"&gt;0")</f>
        <v/>
      </c>
      <c r="E108" s="10">
        <f>SUMIFS('Amex Transactions'!$G:$G,'Amex Transactions'!$E:$E,A108,'Amex Transactions'!$D:$D,B108,'Amex Transactions'!$G:$G,"&lt;0")</f>
        <v/>
      </c>
      <c r="F108" s="10">
        <f>D108+E108</f>
        <v/>
      </c>
      <c r="G108" s="10">
        <f>COUNTIFS('Amex Transactions'!$E:$E,A108,'Amex Transactions'!$D:$D,B108,'Amex Transactions'!$I:$I,"Check")</f>
        <v/>
      </c>
    </row>
    <row r="109">
      <c r="A109" s="10" t="inlineStr">
        <is>
          <t>Su</t>
        </is>
      </c>
      <c r="B109" s="10" t="inlineStr">
        <is>
          <t>Wine</t>
        </is>
      </c>
      <c r="C109" s="10">
        <f>COUNTIFS('Amex Transactions'!$E:$E,A109,'Amex Transactions'!$D:$D,B109)</f>
        <v/>
      </c>
      <c r="D109" s="10">
        <f>SUMIFS('Amex Transactions'!$G:$G,'Amex Transactions'!$E:$E,A109,'Amex Transactions'!$D:$D,B109,'Amex Transactions'!$G:$G,"&gt;0")</f>
        <v/>
      </c>
      <c r="E109" s="10">
        <f>SUMIFS('Amex Transactions'!$G:$G,'Amex Transactions'!$E:$E,A109,'Amex Transactions'!$D:$D,B109,'Amex Transactions'!$G:$G,"&lt;0")</f>
        <v/>
      </c>
      <c r="F109" s="10">
        <f>D109+E109</f>
        <v/>
      </c>
      <c r="G109" s="10">
        <f>COUNTIFS('Amex Transactions'!$E:$E,A109,'Amex Transactions'!$D:$D,B109,'Amex Transactions'!$I:$I,"Check")</f>
        <v/>
      </c>
    </row>
    <row r="110">
      <c r="A110" s="10" t="inlineStr">
        <is>
          <t>Su</t>
        </is>
      </c>
      <c r="B110" s="10" t="inlineStr">
        <is>
          <t>beauty</t>
        </is>
      </c>
      <c r="C110" s="10">
        <f>COUNTIFS('Amex Transactions'!$E:$E,A110,'Amex Transactions'!$D:$D,B110)</f>
        <v/>
      </c>
      <c r="D110" s="10">
        <f>SUMIFS('Amex Transactions'!$G:$G,'Amex Transactions'!$E:$E,A110,'Amex Transactions'!$D:$D,B110,'Amex Transactions'!$G:$G,"&gt;0")</f>
        <v/>
      </c>
      <c r="E110" s="10">
        <f>SUMIFS('Amex Transactions'!$G:$G,'Amex Transactions'!$E:$E,A110,'Amex Transactions'!$D:$D,B110,'Amex Transactions'!$G:$G,"&lt;0")</f>
        <v/>
      </c>
      <c r="F110" s="10">
        <f>D110+E110</f>
        <v/>
      </c>
      <c r="G110" s="10">
        <f>COUNTIFS('Amex Transactions'!$E:$E,A110,'Amex Transactions'!$D:$D,B110,'Amex Transactions'!$I:$I,"Check")</f>
        <v/>
      </c>
    </row>
  </sheetData>
  <autoFilter ref="A4:G110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4" customWidth="1" min="4" max="4"/>
    <col width="16" customWidth="1" min="5" max="5"/>
    <col width="14" customWidth="1" min="6" max="6"/>
    <col width="12" customWidth="1" min="7" max="7"/>
  </cols>
  <sheetData>
    <row r="1" ht="24" customHeight="1">
      <c r="A1" s="1" t="inlineStr">
        <is>
          <t>Merchant Summary</t>
        </is>
      </c>
    </row>
    <row r="2">
      <c r="A2" s="2" t="inlineStr">
        <is>
          <t>Largest merchants across all statements.</t>
        </is>
      </c>
    </row>
    <row r="4">
      <c r="A4" s="7" t="inlineStr">
        <is>
          <t>Merchant</t>
        </is>
      </c>
      <c r="B4" s="7" t="inlineStr">
        <is>
          <t>Category</t>
        </is>
      </c>
      <c r="C4" s="7" t="inlineStr">
        <is>
          <t>Belongs To</t>
        </is>
      </c>
      <c r="D4" s="7" t="inlineStr">
        <is>
          <t>Transactions</t>
        </is>
      </c>
      <c r="E4" s="7" t="inlineStr">
        <is>
          <t>Spend HKD</t>
        </is>
      </c>
      <c r="F4" s="7" t="inlineStr">
        <is>
          <t>Last Date</t>
        </is>
      </c>
      <c r="G4" s="7" t="inlineStr">
        <is>
          <t>Review</t>
        </is>
      </c>
    </row>
    <row r="5">
      <c r="A5" s="10" t="inlineStr">
        <is>
          <t>SILVERSEA LONDON</t>
        </is>
      </c>
      <c r="B5" s="10">
        <f>IFERROR(INDEX('Review Items'!$D:$D,MATCH(A5,'Review Items'!$B:$B,0)),IFERROR(INDEX('Rule Updates'!$B:$B,MATCH(A5,'Rule Updates'!$A:$A,0)),"Uncategorised"))</f>
        <v/>
      </c>
      <c r="C5" s="10">
        <f>IFERROR(INDEX('Review Items'!$E:$E,MATCH(A5,'Review Items'!$B:$B,0)),IFERROR(INDEX('Rule Updates'!$C:$C,MATCH(A5,'Rule Updates'!$A:$A,0)),"Review"))</f>
        <v/>
      </c>
      <c r="D5" s="10">
        <f>COUNTIF('Amex Transactions'!$C:$C,A5)</f>
        <v/>
      </c>
      <c r="E5" s="10">
        <f>SUMIFS('Amex Transactions'!$G:$G,'Amex Transactions'!$C:$C,A5,'Amex Transactions'!$G:$G,"&gt;0")</f>
        <v/>
      </c>
      <c r="F5" s="11" t="n">
        <v>45562</v>
      </c>
      <c r="G5" s="10">
        <f>IF(COUNTIFS('Amex Transactions'!$C:$C,A5,'Amex Transactions'!$I:$I,"Check")&gt;0,"Check","")</f>
        <v/>
      </c>
    </row>
    <row r="6">
      <c r="A6" s="10" t="inlineStr">
        <is>
          <t>THE NET-A-PORTER GROUP HONG KONG</t>
        </is>
      </c>
      <c r="B6" s="10">
        <f>IFERROR(INDEX('Review Items'!$D:$D,MATCH(A6,'Review Items'!$B:$B,0)),IFERROR(INDEX('Rule Updates'!$B:$B,MATCH(A6,'Rule Updates'!$A:$A,0)),"Uncategorised"))</f>
        <v/>
      </c>
      <c r="C6" s="10">
        <f>IFERROR(INDEX('Review Items'!$E:$E,MATCH(A6,'Review Items'!$B:$B,0)),IFERROR(INDEX('Rule Updates'!$C:$C,MATCH(A6,'Rule Updates'!$A:$A,0)),"Review"))</f>
        <v/>
      </c>
      <c r="D6" s="10">
        <f>COUNTIF('Amex Transactions'!$C:$C,A6)</f>
        <v/>
      </c>
      <c r="E6" s="10">
        <f>SUMIFS('Amex Transactions'!$G:$G,'Amex Transactions'!$C:$C,A6,'Amex Transactions'!$G:$G,"&gt;0")</f>
        <v/>
      </c>
      <c r="F6" s="11" t="n">
        <v>46106</v>
      </c>
      <c r="G6" s="10">
        <f>IF(COUNTIFS('Amex Transactions'!$C:$C,A6,'Amex Transactions'!$I:$I,"Check")&gt;0,"Check","")</f>
        <v/>
      </c>
    </row>
    <row r="7">
      <c r="A7" s="10" t="inlineStr">
        <is>
          <t>MYTHERESA APAC SERVICES ISLANDS</t>
        </is>
      </c>
      <c r="B7" s="10">
        <f>IFERROR(INDEX('Review Items'!$D:$D,MATCH(A7,'Review Items'!$B:$B,0)),IFERROR(INDEX('Rule Updates'!$B:$B,MATCH(A7,'Rule Updates'!$A:$A,0)),"Uncategorised"))</f>
        <v/>
      </c>
      <c r="C7" s="10">
        <f>IFERROR(INDEX('Review Items'!$E:$E,MATCH(A7,'Review Items'!$B:$B,0)),IFERROR(INDEX('Rule Updates'!$C:$C,MATCH(A7,'Rule Updates'!$A:$A,0)),"Review"))</f>
        <v/>
      </c>
      <c r="D7" s="10">
        <f>COUNTIF('Amex Transactions'!$C:$C,A7)</f>
        <v/>
      </c>
      <c r="E7" s="10">
        <f>SUMIFS('Amex Transactions'!$G:$G,'Amex Transactions'!$C:$C,A7,'Amex Transactions'!$G:$G,"&gt;0")</f>
        <v/>
      </c>
      <c r="F7" s="11" t="n">
        <v>46106</v>
      </c>
      <c r="G7" s="10">
        <f>IF(COUNTIFS('Amex Transactions'!$C:$C,A7,'Amex Transactions'!$I:$I,"Check")&gt;0,"Check","")</f>
        <v/>
      </c>
    </row>
    <row r="8">
      <c r="A8" s="10" t="inlineStr">
        <is>
          <t>HTL*ASCOTTORCHARDS 800-468-3578</t>
        </is>
      </c>
      <c r="B8" s="10">
        <f>IFERROR(INDEX('Review Items'!$D:$D,MATCH(A8,'Review Items'!$B:$B,0)),IFERROR(INDEX('Rule Updates'!$B:$B,MATCH(A8,'Rule Updates'!$A:$A,0)),"Uncategorised"))</f>
        <v/>
      </c>
      <c r="C8" s="10">
        <f>IFERROR(INDEX('Review Items'!$E:$E,MATCH(A8,'Review Items'!$B:$B,0)),IFERROR(INDEX('Rule Updates'!$C:$C,MATCH(A8,'Rule Updates'!$A:$A,0)),"Review"))</f>
        <v/>
      </c>
      <c r="D8" s="10">
        <f>COUNTIF('Amex Transactions'!$C:$C,A8)</f>
        <v/>
      </c>
      <c r="E8" s="10">
        <f>SUMIFS('Amex Transactions'!$G:$G,'Amex Transactions'!$C:$C,A8,'Amex Transactions'!$G:$G,"&gt;0")</f>
        <v/>
      </c>
      <c r="F8" s="11" t="n">
        <v>45572</v>
      </c>
      <c r="G8" s="10">
        <f>IF(COUNTIFS('Amex Transactions'!$C:$C,A8,'Amex Transactions'!$I:$I,"Check")&gt;0,"Check","")</f>
        <v/>
      </c>
    </row>
    <row r="9">
      <c r="A9" s="10" t="inlineStr">
        <is>
          <t>WHALE CLU BHK</t>
        </is>
      </c>
      <c r="B9" s="10">
        <f>IFERROR(INDEX('Review Items'!$D:$D,MATCH(A9,'Review Items'!$B:$B,0)),IFERROR(INDEX('Rule Updates'!$B:$B,MATCH(A9,'Rule Updates'!$A:$A,0)),"Uncategorised"))</f>
        <v/>
      </c>
      <c r="C9" s="10">
        <f>IFERROR(INDEX('Review Items'!$E:$E,MATCH(A9,'Review Items'!$B:$B,0)),IFERROR(INDEX('Rule Updates'!$C:$C,MATCH(A9,'Rule Updates'!$A:$A,0)),"Review"))</f>
        <v/>
      </c>
      <c r="D9" s="10">
        <f>COUNTIF('Amex Transactions'!$C:$C,A9)</f>
        <v/>
      </c>
      <c r="E9" s="10">
        <f>SUMIFS('Amex Transactions'!$G:$G,'Amex Transactions'!$C:$C,A9,'Amex Transactions'!$G:$G,"&gt;0")</f>
        <v/>
      </c>
      <c r="F9" s="11" t="n">
        <v>46036</v>
      </c>
      <c r="G9" s="10">
        <f>IF(COUNTIFS('Amex Transactions'!$C:$C,A9,'Amex Transactions'!$I:$I,"Check")&gt;0,"Check","")</f>
        <v/>
      </c>
    </row>
    <row r="10">
      <c r="A10" s="10" t="inlineStr">
        <is>
          <t>PONTI WINE CELLARS 0000 HONG KONG</t>
        </is>
      </c>
      <c r="B10" s="10">
        <f>IFERROR(INDEX('Review Items'!$D:$D,MATCH(A10,'Review Items'!$B:$B,0)),IFERROR(INDEX('Rule Updates'!$B:$B,MATCH(A10,'Rule Updates'!$A:$A,0)),"Uncategorised"))</f>
        <v/>
      </c>
      <c r="C10" s="10">
        <f>IFERROR(INDEX('Review Items'!$E:$E,MATCH(A10,'Review Items'!$B:$B,0)),IFERROR(INDEX('Rule Updates'!$C:$C,MATCH(A10,'Rule Updates'!$A:$A,0)),"Review"))</f>
        <v/>
      </c>
      <c r="D10" s="10">
        <f>COUNTIF('Amex Transactions'!$C:$C,A10)</f>
        <v/>
      </c>
      <c r="E10" s="10">
        <f>SUMIFS('Amex Transactions'!$G:$G,'Amex Transactions'!$C:$C,A10,'Amex Transactions'!$G:$G,"&gt;0")</f>
        <v/>
      </c>
      <c r="F10" s="11" t="n">
        <v>46097</v>
      </c>
      <c r="G10" s="10">
        <f>IF(COUNTIFS('Amex Transactions'!$C:$C,A10,'Amex Transactions'!$I:$I,"Check")&gt;0,"Check","")</f>
        <v/>
      </c>
    </row>
    <row r="11">
      <c r="A11" s="10" t="inlineStr">
        <is>
          <t>LANE CRAWFORD (FURNITUR ADMIRALTY</t>
        </is>
      </c>
      <c r="B11" s="10">
        <f>IFERROR(INDEX('Review Items'!$D:$D,MATCH(A11,'Review Items'!$B:$B,0)),IFERROR(INDEX('Rule Updates'!$B:$B,MATCH(A11,'Rule Updates'!$A:$A,0)),"Uncategorised"))</f>
        <v/>
      </c>
      <c r="C11" s="10">
        <f>IFERROR(INDEX('Review Items'!$E:$E,MATCH(A11,'Review Items'!$B:$B,0)),IFERROR(INDEX('Rule Updates'!$C:$C,MATCH(A11,'Rule Updates'!$A:$A,0)),"Review"))</f>
        <v/>
      </c>
      <c r="D11" s="10">
        <f>COUNTIF('Amex Transactions'!$C:$C,A11)</f>
        <v/>
      </c>
      <c r="E11" s="10">
        <f>SUMIFS('Amex Transactions'!$G:$G,'Amex Transactions'!$C:$C,A11,'Amex Transactions'!$G:$G,"&gt;0")</f>
        <v/>
      </c>
      <c r="F11" s="11" t="n">
        <v>45799</v>
      </c>
      <c r="G11" s="10">
        <f>IF(COUNTIFS('Amex Transactions'!$C:$C,A11,'Amex Transactions'!$I:$I,"Check")&gt;0,"Check","")</f>
        <v/>
      </c>
    </row>
    <row r="12">
      <c r="A12" s="10" t="inlineStr">
        <is>
          <t>RAFFLES HOTEL SINGAPORE SINGAPORE</t>
        </is>
      </c>
      <c r="B12" s="10">
        <f>IFERROR(INDEX('Review Items'!$D:$D,MATCH(A12,'Review Items'!$B:$B,0)),IFERROR(INDEX('Rule Updates'!$B:$B,MATCH(A12,'Rule Updates'!$A:$A,0)),"Uncategorised"))</f>
        <v/>
      </c>
      <c r="C12" s="10">
        <f>IFERROR(INDEX('Review Items'!$E:$E,MATCH(A12,'Review Items'!$B:$B,0)),IFERROR(INDEX('Rule Updates'!$C:$C,MATCH(A12,'Rule Updates'!$A:$A,0)),"Review"))</f>
        <v/>
      </c>
      <c r="D12" s="10">
        <f>COUNTIF('Amex Transactions'!$C:$C,A12)</f>
        <v/>
      </c>
      <c r="E12" s="10">
        <f>SUMIFS('Amex Transactions'!$G:$G,'Amex Transactions'!$C:$C,A12,'Amex Transactions'!$G:$G,"&gt;0")</f>
        <v/>
      </c>
      <c r="F12" s="11" t="n">
        <v>46074</v>
      </c>
      <c r="G12" s="10">
        <f>IF(COUNTIFS('Amex Transactions'!$C:$C,A12,'Amex Transactions'!$I:$I,"Check")&gt;0,"Check","")</f>
        <v/>
      </c>
    </row>
    <row r="13">
      <c r="A13" s="10" t="inlineStr">
        <is>
          <t>AGORA IBIZA 367352630 SANT JOAN LAB</t>
        </is>
      </c>
      <c r="B13" s="10">
        <f>IFERROR(INDEX('Review Items'!$D:$D,MATCH(A13,'Review Items'!$B:$B,0)),IFERROR(INDEX('Rule Updates'!$B:$B,MATCH(A13,'Rule Updates'!$A:$A,0)),"Uncategorised"))</f>
        <v/>
      </c>
      <c r="C13" s="10">
        <f>IFERROR(INDEX('Review Items'!$E:$E,MATCH(A13,'Review Items'!$B:$B,0)),IFERROR(INDEX('Rule Updates'!$C:$C,MATCH(A13,'Rule Updates'!$A:$A,0)),"Review"))</f>
        <v/>
      </c>
      <c r="D13" s="10">
        <f>COUNTIF('Amex Transactions'!$C:$C,A13)</f>
        <v/>
      </c>
      <c r="E13" s="10">
        <f>SUMIFS('Amex Transactions'!$G:$G,'Amex Transactions'!$C:$C,A13,'Amex Transactions'!$G:$G,"&gt;0")</f>
        <v/>
      </c>
      <c r="F13" s="11" t="n">
        <v>45835</v>
      </c>
      <c r="G13" s="10">
        <f>IF(COUNTIFS('Amex Transactions'!$C:$C,A13,'Amex Transactions'!$I:$I,"Check")&gt;0,"Check","")</f>
        <v/>
      </c>
    </row>
    <row r="14">
      <c r="A14" s="10" t="inlineStr">
        <is>
          <t>FAR FETCH LONDON</t>
        </is>
      </c>
      <c r="B14" s="10">
        <f>IFERROR(INDEX('Review Items'!$D:$D,MATCH(A14,'Review Items'!$B:$B,0)),IFERROR(INDEX('Rule Updates'!$B:$B,MATCH(A14,'Rule Updates'!$A:$A,0)),"Uncategorised"))</f>
        <v/>
      </c>
      <c r="C14" s="10">
        <f>IFERROR(INDEX('Review Items'!$E:$E,MATCH(A14,'Review Items'!$B:$B,0)),IFERROR(INDEX('Rule Updates'!$C:$C,MATCH(A14,'Rule Updates'!$A:$A,0)),"Review"))</f>
        <v/>
      </c>
      <c r="D14" s="10">
        <f>COUNTIF('Amex Transactions'!$C:$C,A14)</f>
        <v/>
      </c>
      <c r="E14" s="10">
        <f>SUMIFS('Amex Transactions'!$G:$G,'Amex Transactions'!$C:$C,A14,'Amex Transactions'!$G:$G,"&gt;0")</f>
        <v/>
      </c>
      <c r="F14" s="11" t="n">
        <v>46095</v>
      </c>
      <c r="G14" s="10">
        <f>IF(COUNTIFS('Amex Transactions'!$C:$C,A14,'Amex Transactions'!$I:$I,"Check")&gt;0,"Check","")</f>
        <v/>
      </c>
    </row>
    <row r="15">
      <c r="A15" s="10" t="inlineStr">
        <is>
          <t>BURGUNDY ETC CENTRAL</t>
        </is>
      </c>
      <c r="B15" s="10">
        <f>IFERROR(INDEX('Review Items'!$D:$D,MATCH(A15,'Review Items'!$B:$B,0)),IFERROR(INDEX('Rule Updates'!$B:$B,MATCH(A15,'Rule Updates'!$A:$A,0)),"Uncategorised"))</f>
        <v/>
      </c>
      <c r="C15" s="10">
        <f>IFERROR(INDEX('Review Items'!$E:$E,MATCH(A15,'Review Items'!$B:$B,0)),IFERROR(INDEX('Rule Updates'!$C:$C,MATCH(A15,'Rule Updates'!$A:$A,0)),"Review"))</f>
        <v/>
      </c>
      <c r="D15" s="10">
        <f>COUNTIF('Amex Transactions'!$C:$C,A15)</f>
        <v/>
      </c>
      <c r="E15" s="10">
        <f>SUMIFS('Amex Transactions'!$G:$G,'Amex Transactions'!$C:$C,A15,'Amex Transactions'!$G:$G,"&gt;0")</f>
        <v/>
      </c>
      <c r="F15" s="11" t="n">
        <v>46003</v>
      </c>
      <c r="G15" s="10">
        <f>IF(COUNTIFS('Amex Transactions'!$C:$C,A15,'Amex Transactions'!$I:$I,"Check")&gt;0,"Check","")</f>
        <v/>
      </c>
    </row>
    <row r="16">
      <c r="A16" s="10" t="inlineStr">
        <is>
          <t>3CPAYMENT*SIX SENSES IB GETARIA</t>
        </is>
      </c>
      <c r="B16" s="10">
        <f>IFERROR(INDEX('Review Items'!$D:$D,MATCH(A16,'Review Items'!$B:$B,0)),IFERROR(INDEX('Rule Updates'!$B:$B,MATCH(A16,'Rule Updates'!$A:$A,0)),"Uncategorised"))</f>
        <v/>
      </c>
      <c r="C16" s="10">
        <f>IFERROR(INDEX('Review Items'!$E:$E,MATCH(A16,'Review Items'!$B:$B,0)),IFERROR(INDEX('Rule Updates'!$C:$C,MATCH(A16,'Rule Updates'!$A:$A,0)),"Review"))</f>
        <v/>
      </c>
      <c r="D16" s="10">
        <f>COUNTIF('Amex Transactions'!$C:$C,A16)</f>
        <v/>
      </c>
      <c r="E16" s="10">
        <f>SUMIFS('Amex Transactions'!$G:$G,'Amex Transactions'!$C:$C,A16,'Amex Transactions'!$G:$G,"&gt;0")</f>
        <v/>
      </c>
      <c r="F16" s="11" t="n">
        <v>45827</v>
      </c>
      <c r="G16" s="10">
        <f>IF(COUNTIFS('Amex Transactions'!$C:$C,A16,'Amex Transactions'!$I:$I,"Check")&gt;0,"Check","")</f>
        <v/>
      </c>
    </row>
    <row r="17">
      <c r="A17" s="10" t="inlineStr">
        <is>
          <t>NET-A-PORTER GROUP LTD LONDON</t>
        </is>
      </c>
      <c r="B17" s="10">
        <f>IFERROR(INDEX('Review Items'!$D:$D,MATCH(A17,'Review Items'!$B:$B,0)),IFERROR(INDEX('Rule Updates'!$B:$B,MATCH(A17,'Rule Updates'!$A:$A,0)),"Uncategorised"))</f>
        <v/>
      </c>
      <c r="C17" s="10">
        <f>IFERROR(INDEX('Review Items'!$E:$E,MATCH(A17,'Review Items'!$B:$B,0)),IFERROR(INDEX('Rule Updates'!$C:$C,MATCH(A17,'Rule Updates'!$A:$A,0)),"Review"))</f>
        <v/>
      </c>
      <c r="D17" s="10">
        <f>COUNTIF('Amex Transactions'!$C:$C,A17)</f>
        <v/>
      </c>
      <c r="E17" s="10">
        <f>SUMIFS('Amex Transactions'!$G:$G,'Amex Transactions'!$C:$C,A17,'Amex Transactions'!$G:$G,"&gt;0")</f>
        <v/>
      </c>
      <c r="F17" s="11" t="n">
        <v>45831</v>
      </c>
      <c r="G17" s="10">
        <f>IF(COUNTIFS('Amex Transactions'!$C:$C,A17,'Amex Transactions'!$I:$I,"Check")&gt;0,"Check","")</f>
        <v/>
      </c>
    </row>
    <row r="18">
      <c r="A18" s="10" t="inlineStr">
        <is>
          <t>FARFETCH LONDON</t>
        </is>
      </c>
      <c r="B18" s="10">
        <f>IFERROR(INDEX('Review Items'!$D:$D,MATCH(A18,'Review Items'!$B:$B,0)),IFERROR(INDEX('Rule Updates'!$B:$B,MATCH(A18,'Rule Updates'!$A:$A,0)),"Uncategorised"))</f>
        <v/>
      </c>
      <c r="C18" s="10">
        <f>IFERROR(INDEX('Review Items'!$E:$E,MATCH(A18,'Review Items'!$B:$B,0)),IFERROR(INDEX('Rule Updates'!$C:$C,MATCH(A18,'Rule Updates'!$A:$A,0)),"Review"))</f>
        <v/>
      </c>
      <c r="D18" s="10">
        <f>COUNTIF('Amex Transactions'!$C:$C,A18)</f>
        <v/>
      </c>
      <c r="E18" s="10">
        <f>SUMIFS('Amex Transactions'!$G:$G,'Amex Transactions'!$C:$C,A18,'Amex Transactions'!$G:$G,"&gt;0")</f>
        <v/>
      </c>
      <c r="F18" s="11" t="n">
        <v>46065</v>
      </c>
      <c r="G18" s="10">
        <f>IF(COUNTIFS('Amex Transactions'!$C:$C,A18,'Amex Transactions'!$I:$I,"Check")&gt;0,"Check","")</f>
        <v/>
      </c>
    </row>
    <row r="19">
      <c r="A19" s="10" t="inlineStr">
        <is>
          <t>IL COLPO PACIFIC PLACE ADMIRALTY</t>
        </is>
      </c>
      <c r="B19" s="10">
        <f>IFERROR(INDEX('Review Items'!$D:$D,MATCH(A19,'Review Items'!$B:$B,0)),IFERROR(INDEX('Rule Updates'!$B:$B,MATCH(A19,'Rule Updates'!$A:$A,0)),"Uncategorised"))</f>
        <v/>
      </c>
      <c r="C19" s="10">
        <f>IFERROR(INDEX('Review Items'!$E:$E,MATCH(A19,'Review Items'!$B:$B,0)),IFERROR(INDEX('Rule Updates'!$C:$C,MATCH(A19,'Rule Updates'!$A:$A,0)),"Review"))</f>
        <v/>
      </c>
      <c r="D19" s="10">
        <f>COUNTIF('Amex Transactions'!$C:$C,A19)</f>
        <v/>
      </c>
      <c r="E19" s="10">
        <f>SUMIFS('Amex Transactions'!$G:$G,'Amex Transactions'!$C:$C,A19,'Amex Transactions'!$G:$G,"&gt;0")</f>
        <v/>
      </c>
      <c r="F19" s="11" t="n">
        <v>46076</v>
      </c>
      <c r="G19" s="10">
        <f>IF(COUNTIFS('Amex Transactions'!$C:$C,A19,'Amex Transactions'!$I:$I,"Check")&gt;0,"Check","")</f>
        <v/>
      </c>
    </row>
    <row r="20">
      <c r="A20" s="10" t="inlineStr">
        <is>
          <t>MS* SHISHIIWAHOUSEKAR MINATOKU</t>
        </is>
      </c>
      <c r="B20" s="10">
        <f>IFERROR(INDEX('Review Items'!$D:$D,MATCH(A20,'Review Items'!$B:$B,0)),IFERROR(INDEX('Rule Updates'!$B:$B,MATCH(A20,'Rule Updates'!$A:$A,0)),"Uncategorised"))</f>
        <v/>
      </c>
      <c r="C20" s="10">
        <f>IFERROR(INDEX('Review Items'!$E:$E,MATCH(A20,'Review Items'!$B:$B,0)),IFERROR(INDEX('Rule Updates'!$C:$C,MATCH(A20,'Rule Updates'!$A:$A,0)),"Review"))</f>
        <v/>
      </c>
      <c r="D20" s="10">
        <f>COUNTIF('Amex Transactions'!$C:$C,A20)</f>
        <v/>
      </c>
      <c r="E20" s="10">
        <f>SUMIFS('Amex Transactions'!$G:$G,'Amex Transactions'!$C:$C,A20,'Amex Transactions'!$G:$G,"&gt;0")</f>
        <v/>
      </c>
      <c r="F20" s="11" t="n">
        <v>45875</v>
      </c>
      <c r="G20" s="10">
        <f>IF(COUNTIFS('Amex Transactions'!$C:$C,A20,'Amex Transactions'!$I:$I,"Check")&gt;0,"Check","")</f>
        <v/>
      </c>
    </row>
    <row r="21">
      <c r="A21" s="10" t="inlineStr">
        <is>
          <t>ANNUAL FEE</t>
        </is>
      </c>
      <c r="B21" s="10">
        <f>IFERROR(INDEX('Review Items'!$D:$D,MATCH(A21,'Review Items'!$B:$B,0)),IFERROR(INDEX('Rule Updates'!$B:$B,MATCH(A21,'Rule Updates'!$A:$A,0)),"Uncategorised"))</f>
        <v/>
      </c>
      <c r="C21" s="10">
        <f>IFERROR(INDEX('Review Items'!$E:$E,MATCH(A21,'Review Items'!$B:$B,0)),IFERROR(INDEX('Rule Updates'!$C:$C,MATCH(A21,'Rule Updates'!$A:$A,0)),"Review"))</f>
        <v/>
      </c>
      <c r="D21" s="10">
        <f>COUNTIF('Amex Transactions'!$C:$C,A21)</f>
        <v/>
      </c>
      <c r="E21" s="10">
        <f>SUMIFS('Amex Transactions'!$G:$G,'Amex Transactions'!$C:$C,A21,'Amex Transactions'!$G:$G,"&gt;0")</f>
        <v/>
      </c>
      <c r="F21" s="11" t="n">
        <v>45926</v>
      </c>
      <c r="G21" s="10">
        <f>IF(COUNTIFS('Amex Transactions'!$C:$C,A21,'Amex Transactions'!$I:$I,"Check")&gt;0,"Check","")</f>
        <v/>
      </c>
    </row>
    <row r="22">
      <c r="A22" s="10" t="inlineStr">
        <is>
          <t>WHALE Club HK</t>
        </is>
      </c>
      <c r="B22" s="10">
        <f>IFERROR(INDEX('Review Items'!$D:$D,MATCH(A22,'Review Items'!$B:$B,0)),IFERROR(INDEX('Rule Updates'!$B:$B,MATCH(A22,'Rule Updates'!$A:$A,0)),"Uncategorised"))</f>
        <v/>
      </c>
      <c r="C22" s="10">
        <f>IFERROR(INDEX('Review Items'!$E:$E,MATCH(A22,'Review Items'!$B:$B,0)),IFERROR(INDEX('Rule Updates'!$C:$C,MATCH(A22,'Rule Updates'!$A:$A,0)),"Review"))</f>
        <v/>
      </c>
      <c r="D22" s="10">
        <f>COUNTIF('Amex Transactions'!$C:$C,A22)</f>
        <v/>
      </c>
      <c r="E22" s="10">
        <f>SUMIFS('Amex Transactions'!$G:$G,'Amex Transactions'!$C:$C,A22,'Amex Transactions'!$G:$G,"&gt;0")</f>
        <v/>
      </c>
      <c r="F22" s="11" t="n">
        <v>46104</v>
      </c>
      <c r="G22" s="10">
        <f>IF(COUNTIFS('Amex Transactions'!$C:$C,A22,'Amex Transactions'!$I:$I,"Check")&gt;0,"Check","")</f>
        <v/>
      </c>
    </row>
    <row r="23">
      <c r="A23" s="10" t="inlineStr">
        <is>
          <t>RESERVEPS.COM LOS ANGELES</t>
        </is>
      </c>
      <c r="B23" s="10">
        <f>IFERROR(INDEX('Review Items'!$D:$D,MATCH(A23,'Review Items'!$B:$B,0)),IFERROR(INDEX('Rule Updates'!$B:$B,MATCH(A23,'Rule Updates'!$A:$A,0)),"Uncategorised"))</f>
        <v/>
      </c>
      <c r="C23" s="10">
        <f>IFERROR(INDEX('Review Items'!$E:$E,MATCH(A23,'Review Items'!$B:$B,0)),IFERROR(INDEX('Rule Updates'!$C:$C,MATCH(A23,'Rule Updates'!$A:$A,0)),"Review"))</f>
        <v/>
      </c>
      <c r="D23" s="10">
        <f>COUNTIF('Amex Transactions'!$C:$C,A23)</f>
        <v/>
      </c>
      <c r="E23" s="10">
        <f>SUMIFS('Amex Transactions'!$G:$G,'Amex Transactions'!$C:$C,A23,'Amex Transactions'!$G:$G,"&gt;0")</f>
        <v/>
      </c>
      <c r="F23" s="11" t="n">
        <v>45817</v>
      </c>
      <c r="G23" s="10">
        <f>IF(COUNTIFS('Amex Transactions'!$C:$C,A23,'Amex Transactions'!$I:$I,"Check")&gt;0,"Check","")</f>
        <v/>
      </c>
    </row>
    <row r="24">
      <c r="A24" s="10" t="inlineStr">
        <is>
          <t>SIX SENSES KYOTO *</t>
        </is>
      </c>
      <c r="B24" s="10">
        <f>IFERROR(INDEX('Review Items'!$D:$D,MATCH(A24,'Review Items'!$B:$B,0)),IFERROR(INDEX('Rule Updates'!$B:$B,MATCH(A24,'Rule Updates'!$A:$A,0)),"Uncategorised"))</f>
        <v/>
      </c>
      <c r="C24" s="10">
        <f>IFERROR(INDEX('Review Items'!$E:$E,MATCH(A24,'Review Items'!$B:$B,0)),IFERROR(INDEX('Rule Updates'!$C:$C,MATCH(A24,'Rule Updates'!$A:$A,0)),"Review"))</f>
        <v/>
      </c>
      <c r="D24" s="10">
        <f>COUNTIF('Amex Transactions'!$C:$C,A24)</f>
        <v/>
      </c>
      <c r="E24" s="10">
        <f>SUMIFS('Amex Transactions'!$G:$G,'Amex Transactions'!$C:$C,A24,'Amex Transactions'!$G:$G,"&gt;0")</f>
        <v/>
      </c>
      <c r="F24" s="11" t="n">
        <v>45642</v>
      </c>
      <c r="G24" s="10">
        <f>IF(COUNTIFS('Amex Transactions'!$C:$C,A24,'Amex Transactions'!$I:$I,"Check")&gt;0,"Check","")</f>
        <v/>
      </c>
    </row>
    <row r="25">
      <c r="A25" s="10" t="inlineStr">
        <is>
          <t>DUDDELL ' SCENTRAL</t>
        </is>
      </c>
      <c r="B25" s="10">
        <f>IFERROR(INDEX('Review Items'!$D:$D,MATCH(A25,'Review Items'!$B:$B,0)),IFERROR(INDEX('Rule Updates'!$B:$B,MATCH(A25,'Rule Updates'!$A:$A,0)),"Uncategorised"))</f>
        <v/>
      </c>
      <c r="C25" s="10">
        <f>IFERROR(INDEX('Review Items'!$E:$E,MATCH(A25,'Review Items'!$B:$B,0)),IFERROR(INDEX('Rule Updates'!$C:$C,MATCH(A25,'Rule Updates'!$A:$A,0)),"Review"))</f>
        <v/>
      </c>
      <c r="D25" s="10">
        <f>COUNTIF('Amex Transactions'!$C:$C,A25)</f>
        <v/>
      </c>
      <c r="E25" s="10">
        <f>SUMIFS('Amex Transactions'!$G:$G,'Amex Transactions'!$C:$C,A25,'Amex Transactions'!$G:$G,"&gt;0")</f>
        <v/>
      </c>
      <c r="F25" s="11" t="n">
        <v>45976</v>
      </c>
      <c r="G25" s="10">
        <f>IF(COUNTIFS('Amex Transactions'!$C:$C,A25,'Amex Transactions'!$I:$I,"Check")&gt;0,"Check","")</f>
        <v/>
      </c>
    </row>
    <row r="26">
      <c r="A26" s="10" t="inlineStr">
        <is>
          <t>NEIGHBORHOOD CENTRAL</t>
        </is>
      </c>
      <c r="B26" s="10">
        <f>IFERROR(INDEX('Review Items'!$D:$D,MATCH(A26,'Review Items'!$B:$B,0)),IFERROR(INDEX('Rule Updates'!$B:$B,MATCH(A26,'Rule Updates'!$A:$A,0)),"Uncategorised"))</f>
        <v/>
      </c>
      <c r="C26" s="10">
        <f>IFERROR(INDEX('Review Items'!$E:$E,MATCH(A26,'Review Items'!$B:$B,0)),IFERROR(INDEX('Rule Updates'!$C:$C,MATCH(A26,'Rule Updates'!$A:$A,0)),"Review"))</f>
        <v/>
      </c>
      <c r="D26" s="10">
        <f>COUNTIF('Amex Transactions'!$C:$C,A26)</f>
        <v/>
      </c>
      <c r="E26" s="10">
        <f>SUMIFS('Amex Transactions'!$G:$G,'Amex Transactions'!$C:$C,A26,'Amex Transactions'!$G:$G,"&gt;0")</f>
        <v/>
      </c>
      <c r="F26" s="11" t="n">
        <v>45856</v>
      </c>
      <c r="G26" s="10">
        <f>IF(COUNTIFS('Amex Transactions'!$C:$C,A26,'Amex Transactions'!$I:$I,"Check")&gt;0,"Check","")</f>
        <v/>
      </c>
    </row>
    <row r="27">
      <c r="A27" s="10" t="inlineStr">
        <is>
          <t>SPLASH FOUNDATION LIMI SINGAPORE</t>
        </is>
      </c>
      <c r="B27" s="10">
        <f>IFERROR(INDEX('Review Items'!$D:$D,MATCH(A27,'Review Items'!$B:$B,0)),IFERROR(INDEX('Rule Updates'!$B:$B,MATCH(A27,'Rule Updates'!$A:$A,0)),"Uncategorised"))</f>
        <v/>
      </c>
      <c r="C27" s="10">
        <f>IFERROR(INDEX('Review Items'!$E:$E,MATCH(A27,'Review Items'!$B:$B,0)),IFERROR(INDEX('Rule Updates'!$C:$C,MATCH(A27,'Rule Updates'!$A:$A,0)),"Review"))</f>
        <v/>
      </c>
      <c r="D27" s="10">
        <f>COUNTIF('Amex Transactions'!$C:$C,A27)</f>
        <v/>
      </c>
      <c r="E27" s="10">
        <f>SUMIFS('Amex Transactions'!$G:$G,'Amex Transactions'!$C:$C,A27,'Amex Transactions'!$G:$G,"&gt;0")</f>
        <v/>
      </c>
      <c r="F27" s="11" t="n">
        <v>45984</v>
      </c>
      <c r="G27" s="10">
        <f>IF(COUNTIFS('Amex Transactions'!$C:$C,A27,'Amex Transactions'!$I:$I,"Check")&gt;0,"Check","")</f>
        <v/>
      </c>
    </row>
    <row r="28">
      <c r="A28" s="10" t="inlineStr">
        <is>
          <t>SP EIGHTH DAY SKINCA SANTA ANA</t>
        </is>
      </c>
      <c r="B28" s="10">
        <f>IFERROR(INDEX('Review Items'!$D:$D,MATCH(A28,'Review Items'!$B:$B,0)),IFERROR(INDEX('Rule Updates'!$B:$B,MATCH(A28,'Rule Updates'!$A:$A,0)),"Uncategorised"))</f>
        <v/>
      </c>
      <c r="C28" s="10">
        <f>IFERROR(INDEX('Review Items'!$E:$E,MATCH(A28,'Review Items'!$B:$B,0)),IFERROR(INDEX('Rule Updates'!$C:$C,MATCH(A28,'Rule Updates'!$A:$A,0)),"Review"))</f>
        <v/>
      </c>
      <c r="D28" s="10">
        <f>COUNTIF('Amex Transactions'!$C:$C,A28)</f>
        <v/>
      </c>
      <c r="E28" s="10">
        <f>SUMIFS('Amex Transactions'!$G:$G,'Amex Transactions'!$C:$C,A28,'Amex Transactions'!$G:$G,"&gt;0")</f>
        <v/>
      </c>
      <c r="F28" s="11" t="n">
        <v>46050</v>
      </c>
      <c r="G28" s="10">
        <f>IF(COUNTIFS('Amex Transactions'!$C:$C,A28,'Amex Transactions'!$I:$I,"Check")&gt;0,"Check","")</f>
        <v/>
      </c>
    </row>
    <row r="29">
      <c r="A29" s="10" t="inlineStr">
        <is>
          <t>ANDA ZSEOUL GANGNAM SEOUL</t>
        </is>
      </c>
      <c r="B29" s="10">
        <f>IFERROR(INDEX('Review Items'!$D:$D,MATCH(A29,'Review Items'!$B:$B,0)),IFERROR(INDEX('Rule Updates'!$B:$B,MATCH(A29,'Rule Updates'!$A:$A,0)),"Uncategorised"))</f>
        <v/>
      </c>
      <c r="C29" s="10">
        <f>IFERROR(INDEX('Review Items'!$E:$E,MATCH(A29,'Review Items'!$B:$B,0)),IFERROR(INDEX('Rule Updates'!$C:$C,MATCH(A29,'Rule Updates'!$A:$A,0)),"Review"))</f>
        <v/>
      </c>
      <c r="D29" s="10">
        <f>COUNTIF('Amex Transactions'!$C:$C,A29)</f>
        <v/>
      </c>
      <c r="E29" s="10">
        <f>SUMIFS('Amex Transactions'!$G:$G,'Amex Transactions'!$C:$C,A29,'Amex Transactions'!$G:$G,"&gt;0")</f>
        <v/>
      </c>
      <c r="F29" s="11" t="n">
        <v>45967</v>
      </c>
      <c r="G29" s="10">
        <f>IF(COUNTIFS('Amex Transactions'!$C:$C,A29,'Amex Transactions'!$I:$I,"Check")&gt;0,"Check","")</f>
        <v/>
      </c>
    </row>
    <row r="30">
      <c r="A30" s="10" t="inlineStr">
        <is>
          <t>THE VERSE LIS BOA</t>
        </is>
      </c>
      <c r="B30" s="10">
        <f>IFERROR(INDEX('Review Items'!$D:$D,MATCH(A30,'Review Items'!$B:$B,0)),IFERROR(INDEX('Rule Updates'!$B:$B,MATCH(A30,'Rule Updates'!$A:$A,0)),"Uncategorised"))</f>
        <v/>
      </c>
      <c r="C30" s="10">
        <f>IFERROR(INDEX('Review Items'!$E:$E,MATCH(A30,'Review Items'!$B:$B,0)),IFERROR(INDEX('Rule Updates'!$C:$C,MATCH(A30,'Rule Updates'!$A:$A,0)),"Review"))</f>
        <v/>
      </c>
      <c r="D30" s="10">
        <f>COUNTIF('Amex Transactions'!$C:$C,A30)</f>
        <v/>
      </c>
      <c r="E30" s="10">
        <f>SUMIFS('Amex Transactions'!$G:$G,'Amex Transactions'!$C:$C,A30,'Amex Transactions'!$G:$G,"&gt;0")</f>
        <v/>
      </c>
      <c r="F30" s="11" t="n">
        <v>46043</v>
      </c>
      <c r="G30" s="10">
        <f>IF(COUNTIFS('Amex Transactions'!$C:$C,A30,'Amex Transactions'!$I:$I,"Check")&gt;0,"Check","")</f>
        <v/>
      </c>
    </row>
    <row r="31">
      <c r="A31" s="10" t="inlineStr">
        <is>
          <t>CATHAY PACIFIC AIRWAYS HONG KONG</t>
        </is>
      </c>
      <c r="B31" s="10">
        <f>IFERROR(INDEX('Review Items'!$D:$D,MATCH(A31,'Review Items'!$B:$B,0)),IFERROR(INDEX('Rule Updates'!$B:$B,MATCH(A31,'Rule Updates'!$A:$A,0)),"Uncategorised"))</f>
        <v/>
      </c>
      <c r="C31" s="10">
        <f>IFERROR(INDEX('Review Items'!$E:$E,MATCH(A31,'Review Items'!$B:$B,0)),IFERROR(INDEX('Rule Updates'!$C:$C,MATCH(A31,'Rule Updates'!$A:$A,0)),"Review"))</f>
        <v/>
      </c>
      <c r="D31" s="10">
        <f>COUNTIF('Amex Transactions'!$C:$C,A31)</f>
        <v/>
      </c>
      <c r="E31" s="10">
        <f>SUMIFS('Amex Transactions'!$G:$G,'Amex Transactions'!$C:$C,A31,'Amex Transactions'!$G:$G,"&gt;0")</f>
        <v/>
      </c>
      <c r="F31" s="11" t="n">
        <v>45874</v>
      </c>
      <c r="G31" s="10">
        <f>IF(COUNTIFS('Amex Transactions'!$C:$C,A31,'Amex Transactions'!$I:$I,"Check")&gt;0,"Check","")</f>
        <v/>
      </c>
    </row>
    <row r="32">
      <c r="A32" s="10" t="inlineStr">
        <is>
          <t>NOBLE HOUSE KUALA LUMPUR</t>
        </is>
      </c>
      <c r="B32" s="10">
        <f>IFERROR(INDEX('Review Items'!$D:$D,MATCH(A32,'Review Items'!$B:$B,0)),IFERROR(INDEX('Rule Updates'!$B:$B,MATCH(A32,'Rule Updates'!$A:$A,0)),"Uncategorised"))</f>
        <v/>
      </c>
      <c r="C32" s="10">
        <f>IFERROR(INDEX('Review Items'!$E:$E,MATCH(A32,'Review Items'!$B:$B,0)),IFERROR(INDEX('Rule Updates'!$C:$C,MATCH(A32,'Rule Updates'!$A:$A,0)),"Review"))</f>
        <v/>
      </c>
      <c r="D32" s="10">
        <f>COUNTIF('Amex Transactions'!$C:$C,A32)</f>
        <v/>
      </c>
      <c r="E32" s="10">
        <f>SUMIFS('Amex Transactions'!$G:$G,'Amex Transactions'!$C:$C,A32,'Amex Transactions'!$G:$G,"&gt;0")</f>
        <v/>
      </c>
      <c r="F32" s="11" t="n">
        <v>46069</v>
      </c>
      <c r="G32" s="10">
        <f>IF(COUNTIFS('Amex Transactions'!$C:$C,A32,'Amex Transactions'!$I:$I,"Check")&gt;0,"Check","")</f>
        <v/>
      </c>
    </row>
    <row r="33">
      <c r="A33" s="10" t="inlineStr">
        <is>
          <t>CITY'SUPER CENTRAL</t>
        </is>
      </c>
      <c r="B33" s="10">
        <f>IFERROR(INDEX('Review Items'!$D:$D,MATCH(A33,'Review Items'!$B:$B,0)),IFERROR(INDEX('Rule Updates'!$B:$B,MATCH(A33,'Rule Updates'!$A:$A,0)),"Uncategorised"))</f>
        <v/>
      </c>
      <c r="C33" s="10">
        <f>IFERROR(INDEX('Review Items'!$E:$E,MATCH(A33,'Review Items'!$B:$B,0)),IFERROR(INDEX('Rule Updates'!$C:$C,MATCH(A33,'Rule Updates'!$A:$A,0)),"Review"))</f>
        <v/>
      </c>
      <c r="D33" s="10">
        <f>COUNTIF('Amex Transactions'!$C:$C,A33)</f>
        <v/>
      </c>
      <c r="E33" s="10">
        <f>SUMIFS('Amex Transactions'!$G:$G,'Amex Transactions'!$C:$C,A33,'Amex Transactions'!$G:$G,"&gt;0")</f>
        <v/>
      </c>
      <c r="F33" s="11" t="n">
        <v>45891</v>
      </c>
      <c r="G33" s="10">
        <f>IF(COUNTIFS('Amex Transactions'!$C:$C,A33,'Amex Transactions'!$I:$I,"Check")&gt;0,"Check","")</f>
        <v/>
      </c>
    </row>
    <row r="34">
      <c r="A34" s="10" t="inlineStr">
        <is>
          <t>CAPITAL CREATIVE LTD CENTRAL</t>
        </is>
      </c>
      <c r="B34" s="10">
        <f>IFERROR(INDEX('Review Items'!$D:$D,MATCH(A34,'Review Items'!$B:$B,0)),IFERROR(INDEX('Rule Updates'!$B:$B,MATCH(A34,'Rule Updates'!$A:$A,0)),"Uncategorised"))</f>
        <v/>
      </c>
      <c r="C34" s="10">
        <f>IFERROR(INDEX('Review Items'!$E:$E,MATCH(A34,'Review Items'!$B:$B,0)),IFERROR(INDEX('Rule Updates'!$C:$C,MATCH(A34,'Rule Updates'!$A:$A,0)),"Review"))</f>
        <v/>
      </c>
      <c r="D34" s="10">
        <f>COUNTIF('Amex Transactions'!$C:$C,A34)</f>
        <v/>
      </c>
      <c r="E34" s="10">
        <f>SUMIFS('Amex Transactions'!$G:$G,'Amex Transactions'!$C:$C,A34,'Amex Transactions'!$G:$G,"&gt;0")</f>
        <v/>
      </c>
      <c r="F34" s="11" t="n">
        <v>45933</v>
      </c>
      <c r="G34" s="10">
        <f>IF(COUNTIFS('Amex Transactions'!$C:$C,A34,'Amex Transactions'!$I:$I,"Check")&gt;0,"Check","")</f>
        <v/>
      </c>
    </row>
    <row r="35">
      <c r="A35" s="10" t="inlineStr">
        <is>
          <t>LANE CRAWFORD (IFC) CENTRAL</t>
        </is>
      </c>
      <c r="B35" s="10">
        <f>IFERROR(INDEX('Review Items'!$D:$D,MATCH(A35,'Review Items'!$B:$B,0)),IFERROR(INDEX('Rule Updates'!$B:$B,MATCH(A35,'Rule Updates'!$A:$A,0)),"Uncategorised"))</f>
        <v/>
      </c>
      <c r="C35" s="10">
        <f>IFERROR(INDEX('Review Items'!$E:$E,MATCH(A35,'Review Items'!$B:$B,0)),IFERROR(INDEX('Rule Updates'!$C:$C,MATCH(A35,'Rule Updates'!$A:$A,0)),"Review"))</f>
        <v/>
      </c>
      <c r="D35" s="10">
        <f>COUNTIF('Amex Transactions'!$C:$C,A35)</f>
        <v/>
      </c>
      <c r="E35" s="10">
        <f>SUMIFS('Amex Transactions'!$G:$G,'Amex Transactions'!$C:$C,A35,'Amex Transactions'!$G:$G,"&gt;0")</f>
        <v/>
      </c>
      <c r="F35" s="11" t="n">
        <v>45883</v>
      </c>
      <c r="G35" s="10">
        <f>IF(COUNTIFS('Amex Transactions'!$C:$C,A35,'Amex Transactions'!$I:$I,"Check")&gt;0,"Check","")</f>
        <v/>
      </c>
    </row>
    <row r="36">
      <c r="A36" s="10" t="inlineStr">
        <is>
          <t>NATIONAL CAR RENTAL SAN JOSE DEL CA</t>
        </is>
      </c>
      <c r="B36" s="10">
        <f>IFERROR(INDEX('Review Items'!$D:$D,MATCH(A36,'Review Items'!$B:$B,0)),IFERROR(INDEX('Rule Updates'!$B:$B,MATCH(A36,'Rule Updates'!$A:$A,0)),"Uncategorised"))</f>
        <v/>
      </c>
      <c r="C36" s="10">
        <f>IFERROR(INDEX('Review Items'!$E:$E,MATCH(A36,'Review Items'!$B:$B,0)),IFERROR(INDEX('Rule Updates'!$C:$C,MATCH(A36,'Rule Updates'!$A:$A,0)),"Review"))</f>
        <v/>
      </c>
      <c r="D36" s="10">
        <f>COUNTIF('Amex Transactions'!$C:$C,A36)</f>
        <v/>
      </c>
      <c r="E36" s="10">
        <f>SUMIFS('Amex Transactions'!$G:$G,'Amex Transactions'!$C:$C,A36,'Amex Transactions'!$G:$G,"&gt;0")</f>
        <v/>
      </c>
      <c r="F36" s="11" t="n">
        <v>45804</v>
      </c>
      <c r="G36" s="10">
        <f>IF(COUNTIFS('Amex Transactions'!$C:$C,A36,'Amex Transactions'!$I:$I,"Check")&gt;0,"Check","")</f>
        <v/>
      </c>
    </row>
    <row r="37">
      <c r="A37" s="10" t="inlineStr">
        <is>
          <t>LS UPSTAIRS AT LANDRAC BATH</t>
        </is>
      </c>
      <c r="B37" s="10">
        <f>IFERROR(INDEX('Review Items'!$D:$D,MATCH(A37,'Review Items'!$B:$B,0)),IFERROR(INDEX('Rule Updates'!$B:$B,MATCH(A37,'Rule Updates'!$A:$A,0)),"Uncategorised"))</f>
        <v/>
      </c>
      <c r="C37" s="10">
        <f>IFERROR(INDEX('Review Items'!$E:$E,MATCH(A37,'Review Items'!$B:$B,0)),IFERROR(INDEX('Rule Updates'!$C:$C,MATCH(A37,'Rule Updates'!$A:$A,0)),"Review"))</f>
        <v/>
      </c>
      <c r="D37" s="10">
        <f>COUNTIF('Amex Transactions'!$C:$C,A37)</f>
        <v/>
      </c>
      <c r="E37" s="10">
        <f>SUMIFS('Amex Transactions'!$G:$G,'Amex Transactions'!$C:$C,A37,'Amex Transactions'!$G:$G,"&gt;0")</f>
        <v/>
      </c>
      <c r="F37" s="11" t="n">
        <v>45815</v>
      </c>
      <c r="G37" s="10">
        <f>IF(COUNTIFS('Amex Transactions'!$C:$C,A37,'Amex Transactions'!$I:$I,"Check")&gt;0,"Check","")</f>
        <v/>
      </c>
    </row>
    <row r="38">
      <c r="A38" s="10" t="inlineStr">
        <is>
          <t>SP AIME LONDON LONDON</t>
        </is>
      </c>
      <c r="B38" s="10">
        <f>IFERROR(INDEX('Review Items'!$D:$D,MATCH(A38,'Review Items'!$B:$B,0)),IFERROR(INDEX('Rule Updates'!$B:$B,MATCH(A38,'Rule Updates'!$A:$A,0)),"Uncategorised"))</f>
        <v/>
      </c>
      <c r="C38" s="10">
        <f>IFERROR(INDEX('Review Items'!$E:$E,MATCH(A38,'Review Items'!$B:$B,0)),IFERROR(INDEX('Rule Updates'!$C:$C,MATCH(A38,'Rule Updates'!$A:$A,0)),"Review"))</f>
        <v/>
      </c>
      <c r="D38" s="10">
        <f>COUNTIF('Amex Transactions'!$C:$C,A38)</f>
        <v/>
      </c>
      <c r="E38" s="10">
        <f>SUMIFS('Amex Transactions'!$G:$G,'Amex Transactions'!$C:$C,A38,'Amex Transactions'!$G:$G,"&gt;0")</f>
        <v/>
      </c>
      <c r="F38" s="11" t="n">
        <v>45820</v>
      </c>
      <c r="G38" s="10">
        <f>IF(COUNTIFS('Amex Transactions'!$C:$C,A38,'Amex Transactions'!$I:$I,"Check")&gt;0,"Check","")</f>
        <v/>
      </c>
    </row>
    <row r="39">
      <c r="A39" s="10" t="inlineStr">
        <is>
          <t>GARRAFEIRA NACIONAL LIS BOA</t>
        </is>
      </c>
      <c r="B39" s="10">
        <f>IFERROR(INDEX('Review Items'!$D:$D,MATCH(A39,'Review Items'!$B:$B,0)),IFERROR(INDEX('Rule Updates'!$B:$B,MATCH(A39,'Rule Updates'!$A:$A,0)),"Uncategorised"))</f>
        <v/>
      </c>
      <c r="C39" s="10">
        <f>IFERROR(INDEX('Review Items'!$E:$E,MATCH(A39,'Review Items'!$B:$B,0)),IFERROR(INDEX('Rule Updates'!$C:$C,MATCH(A39,'Rule Updates'!$A:$A,0)),"Review"))</f>
        <v/>
      </c>
      <c r="D39" s="10">
        <f>COUNTIF('Amex Transactions'!$C:$C,A39)</f>
        <v/>
      </c>
      <c r="E39" s="10">
        <f>SUMIFS('Amex Transactions'!$G:$G,'Amex Transactions'!$C:$C,A39,'Amex Transactions'!$G:$G,"&gt;0")</f>
        <v/>
      </c>
      <c r="F39" s="11" t="n">
        <v>46046</v>
      </c>
      <c r="G39" s="10">
        <f>IF(COUNTIFS('Amex Transactions'!$C:$C,A39,'Amex Transactions'!$I:$I,"Check")&gt;0,"Check","")</f>
        <v/>
      </c>
    </row>
    <row r="40">
      <c r="A40" s="10" t="inlineStr">
        <is>
          <t>11 BARRACK PTY LTD SYDNEY</t>
        </is>
      </c>
      <c r="B40" s="10">
        <f>IFERROR(INDEX('Review Items'!$D:$D,MATCH(A40,'Review Items'!$B:$B,0)),IFERROR(INDEX('Rule Updates'!$B:$B,MATCH(A40,'Rule Updates'!$A:$A,0)),"Uncategorised"))</f>
        <v/>
      </c>
      <c r="C40" s="10">
        <f>IFERROR(INDEX('Review Items'!$E:$E,MATCH(A40,'Review Items'!$B:$B,0)),IFERROR(INDEX('Rule Updates'!$C:$C,MATCH(A40,'Rule Updates'!$A:$A,0)),"Review"))</f>
        <v/>
      </c>
      <c r="D40" s="10">
        <f>COUNTIF('Amex Transactions'!$C:$C,A40)</f>
        <v/>
      </c>
      <c r="E40" s="10">
        <f>SUMIFS('Amex Transactions'!$G:$G,'Amex Transactions'!$C:$C,A40,'Amex Transactions'!$G:$G,"&gt;0")</f>
        <v/>
      </c>
      <c r="F40" s="11" t="n">
        <v>46015</v>
      </c>
      <c r="G40" s="10">
        <f>IF(COUNTIFS('Amex Transactions'!$C:$C,A40,'Amex Transactions'!$I:$I,"Check")&gt;0,"Check","")</f>
        <v/>
      </c>
    </row>
    <row r="41">
      <c r="A41" s="10" t="inlineStr">
        <is>
          <t>LS SAINT PETER PADDINGTON</t>
        </is>
      </c>
      <c r="B41" s="10">
        <f>IFERROR(INDEX('Review Items'!$D:$D,MATCH(A41,'Review Items'!$B:$B,0)),IFERROR(INDEX('Rule Updates'!$B:$B,MATCH(A41,'Rule Updates'!$A:$A,0)),"Uncategorised"))</f>
        <v/>
      </c>
      <c r="C41" s="10">
        <f>IFERROR(INDEX('Review Items'!$E:$E,MATCH(A41,'Review Items'!$B:$B,0)),IFERROR(INDEX('Rule Updates'!$C:$C,MATCH(A41,'Rule Updates'!$A:$A,0)),"Review"))</f>
        <v/>
      </c>
      <c r="D41" s="10">
        <f>COUNTIF('Amex Transactions'!$C:$C,A41)</f>
        <v/>
      </c>
      <c r="E41" s="10">
        <f>SUMIFS('Amex Transactions'!$G:$G,'Amex Transactions'!$C:$C,A41,'Amex Transactions'!$G:$G,"&gt;0")</f>
        <v/>
      </c>
      <c r="F41" s="11" t="n">
        <v>46013</v>
      </c>
      <c r="G41" s="10">
        <f>IF(COUNTIFS('Amex Transactions'!$C:$C,A41,'Amex Transactions'!$I:$I,"Check")&gt;0,"Check","")</f>
        <v/>
      </c>
    </row>
    <row r="42">
      <c r="A42" s="10" t="inlineStr">
        <is>
          <t>WAI KEE JEWELLERS LTD CENTRAL</t>
        </is>
      </c>
      <c r="B42" s="10">
        <f>IFERROR(INDEX('Review Items'!$D:$D,MATCH(A42,'Review Items'!$B:$B,0)),IFERROR(INDEX('Rule Updates'!$B:$B,MATCH(A42,'Rule Updates'!$A:$A,0)),"Uncategorised"))</f>
        <v/>
      </c>
      <c r="C42" s="10">
        <f>IFERROR(INDEX('Review Items'!$E:$E,MATCH(A42,'Review Items'!$B:$B,0)),IFERROR(INDEX('Rule Updates'!$C:$C,MATCH(A42,'Rule Updates'!$A:$A,0)),"Review"))</f>
        <v/>
      </c>
      <c r="D42" s="10">
        <f>COUNTIF('Amex Transactions'!$C:$C,A42)</f>
        <v/>
      </c>
      <c r="E42" s="10">
        <f>SUMIFS('Amex Transactions'!$G:$G,'Amex Transactions'!$C:$C,A42,'Amex Transactions'!$G:$G,"&gt;0")</f>
        <v/>
      </c>
      <c r="F42" s="11" t="n">
        <v>45860</v>
      </c>
      <c r="G42" s="10">
        <f>IF(COUNTIFS('Amex Transactions'!$C:$C,A42,'Amex Transactions'!$I:$I,"Check")&gt;0,"Check","")</f>
        <v/>
      </c>
    </row>
    <row r="43">
      <c r="A43" s="10" t="inlineStr">
        <is>
          <t>IL COLPO PACI FIC PLACE ADMIRALTY</t>
        </is>
      </c>
      <c r="B43" s="10">
        <f>IFERROR(INDEX('Review Items'!$D:$D,MATCH(A43,'Review Items'!$B:$B,0)),IFERROR(INDEX('Rule Updates'!$B:$B,MATCH(A43,'Rule Updates'!$A:$A,0)),"Uncategorised"))</f>
        <v/>
      </c>
      <c r="C43" s="10">
        <f>IFERROR(INDEX('Review Items'!$E:$E,MATCH(A43,'Review Items'!$B:$B,0)),IFERROR(INDEX('Rule Updates'!$C:$C,MATCH(A43,'Rule Updates'!$A:$A,0)),"Review"))</f>
        <v/>
      </c>
      <c r="D43" s="10">
        <f>COUNTIF('Amex Transactions'!$C:$C,A43)</f>
        <v/>
      </c>
      <c r="E43" s="10">
        <f>SUMIFS('Amex Transactions'!$G:$G,'Amex Transactions'!$C:$C,A43,'Amex Transactions'!$G:$G,"&gt;0")</f>
        <v/>
      </c>
      <c r="F43" s="11" t="n">
        <v>45975</v>
      </c>
      <c r="G43" s="10">
        <f>IF(COUNTIFS('Amex Transactions'!$C:$C,A43,'Amex Transactions'!$I:$I,"Check")&gt;0,"Check","")</f>
        <v/>
      </c>
    </row>
    <row r="44">
      <c r="A44" s="10" t="inlineStr">
        <is>
          <t>WIX SQUARED LTD ST. MARTIN</t>
        </is>
      </c>
      <c r="B44" s="10">
        <f>IFERROR(INDEX('Review Items'!$D:$D,MATCH(A44,'Review Items'!$B:$B,0)),IFERROR(INDEX('Rule Updates'!$B:$B,MATCH(A44,'Rule Updates'!$A:$A,0)),"Uncategorised"))</f>
        <v/>
      </c>
      <c r="C44" s="10">
        <f>IFERROR(INDEX('Review Items'!$E:$E,MATCH(A44,'Review Items'!$B:$B,0)),IFERROR(INDEX('Rule Updates'!$C:$C,MATCH(A44,'Rule Updates'!$A:$A,0)),"Review"))</f>
        <v/>
      </c>
      <c r="D44" s="10">
        <f>COUNTIF('Amex Transactions'!$C:$C,A44)</f>
        <v/>
      </c>
      <c r="E44" s="10">
        <f>SUMIFS('Amex Transactions'!$G:$G,'Amex Transactions'!$C:$C,A44,'Amex Transactions'!$G:$G,"&gt;0")</f>
        <v/>
      </c>
      <c r="F44" s="11" t="n">
        <v>45588</v>
      </c>
      <c r="G44" s="10">
        <f>IF(COUNTIFS('Amex Transactions'!$C:$C,A44,'Amex Transactions'!$I:$I,"Check")&gt;0,"Check","")</f>
        <v/>
      </c>
    </row>
    <row r="45">
      <c r="A45" s="10" t="inlineStr">
        <is>
          <t>RISTORANTE PAOLINO CAPRI</t>
        </is>
      </c>
      <c r="B45" s="10">
        <f>IFERROR(INDEX('Review Items'!$D:$D,MATCH(A45,'Review Items'!$B:$B,0)),IFERROR(INDEX('Rule Updates'!$B:$B,MATCH(A45,'Rule Updates'!$A:$A,0)),"Uncategorised"))</f>
        <v/>
      </c>
      <c r="C45" s="10">
        <f>IFERROR(INDEX('Review Items'!$E:$E,MATCH(A45,'Review Items'!$B:$B,0)),IFERROR(INDEX('Rule Updates'!$C:$C,MATCH(A45,'Rule Updates'!$A:$A,0)),"Review"))</f>
        <v/>
      </c>
      <c r="D45" s="10">
        <f>COUNTIF('Amex Transactions'!$C:$C,A45)</f>
        <v/>
      </c>
      <c r="E45" s="10">
        <f>SUMIFS('Amex Transactions'!$G:$G,'Amex Transactions'!$C:$C,A45,'Amex Transactions'!$G:$G,"&gt;0")</f>
        <v/>
      </c>
      <c r="F45" s="11" t="n">
        <v>45827</v>
      </c>
      <c r="G45" s="10">
        <f>IF(COUNTIFS('Amex Transactions'!$C:$C,A45,'Amex Transactions'!$I:$I,"Check")&gt;0,"Check","")</f>
        <v/>
      </c>
    </row>
    <row r="46">
      <c r="A46" s="10" t="inlineStr">
        <is>
          <t>PONTI FOOD &amp; WINE CELLA CENTRAL</t>
        </is>
      </c>
      <c r="B46" s="10">
        <f>IFERROR(INDEX('Review Items'!$D:$D,MATCH(A46,'Review Items'!$B:$B,0)),IFERROR(INDEX('Rule Updates'!$B:$B,MATCH(A46,'Rule Updates'!$A:$A,0)),"Uncategorised"))</f>
        <v/>
      </c>
      <c r="C46" s="10">
        <f>IFERROR(INDEX('Review Items'!$E:$E,MATCH(A46,'Review Items'!$B:$B,0)),IFERROR(INDEX('Rule Updates'!$C:$C,MATCH(A46,'Rule Updates'!$A:$A,0)),"Review"))</f>
        <v/>
      </c>
      <c r="D46" s="10">
        <f>COUNTIF('Amex Transactions'!$C:$C,A46)</f>
        <v/>
      </c>
      <c r="E46" s="10">
        <f>SUMIFS('Amex Transactions'!$G:$G,'Amex Transactions'!$C:$C,A46,'Amex Transactions'!$G:$G,"&gt;0")</f>
        <v/>
      </c>
      <c r="F46" s="11" t="n">
        <v>45653</v>
      </c>
      <c r="G46" s="10">
        <f>IF(COUNTIFS('Amex Transactions'!$C:$C,A46,'Amex Transactions'!$I:$I,"Check")&gt;0,"Check","")</f>
        <v/>
      </c>
    </row>
    <row r="47">
      <c r="A47" s="10" t="inlineStr">
        <is>
          <t>GLOBAL-E.45R GLOBAL-ENETHERLANDS</t>
        </is>
      </c>
      <c r="B47" s="10">
        <f>IFERROR(INDEX('Review Items'!$D:$D,MATCH(A47,'Review Items'!$B:$B,0)),IFERROR(INDEX('Rule Updates'!$B:$B,MATCH(A47,'Rule Updates'!$A:$A,0)),"Uncategorised"))</f>
        <v/>
      </c>
      <c r="C47" s="10">
        <f>IFERROR(INDEX('Review Items'!$E:$E,MATCH(A47,'Review Items'!$B:$B,0)),IFERROR(INDEX('Rule Updates'!$C:$C,MATCH(A47,'Rule Updates'!$A:$A,0)),"Review"))</f>
        <v/>
      </c>
      <c r="D47" s="10">
        <f>COUNTIF('Amex Transactions'!$C:$C,A47)</f>
        <v/>
      </c>
      <c r="E47" s="10">
        <f>SUMIFS('Amex Transactions'!$G:$G,'Amex Transactions'!$C:$C,A47,'Amex Transactions'!$G:$G,"&gt;0")</f>
        <v/>
      </c>
      <c r="F47" s="11" t="n">
        <v>45656</v>
      </c>
      <c r="G47" s="10">
        <f>IF(COUNTIFS('Amex Transactions'!$C:$C,A47,'Amex Transactions'!$I:$I,"Check")&gt;0,"Check","")</f>
        <v/>
      </c>
    </row>
    <row r="48">
      <c r="A48" s="10" t="inlineStr">
        <is>
          <t>MER ET DECOUVERTES BONIFACIO</t>
        </is>
      </c>
      <c r="B48" s="10">
        <f>IFERROR(INDEX('Review Items'!$D:$D,MATCH(A48,'Review Items'!$B:$B,0)),IFERROR(INDEX('Rule Updates'!$B:$B,MATCH(A48,'Rule Updates'!$A:$A,0)),"Uncategorised"))</f>
        <v/>
      </c>
      <c r="C48" s="10">
        <f>IFERROR(INDEX('Review Items'!$E:$E,MATCH(A48,'Review Items'!$B:$B,0)),IFERROR(INDEX('Rule Updates'!$C:$C,MATCH(A48,'Rule Updates'!$A:$A,0)),"Review"))</f>
        <v/>
      </c>
      <c r="D48" s="10">
        <f>COUNTIF('Amex Transactions'!$C:$C,A48)</f>
        <v/>
      </c>
      <c r="E48" s="10">
        <f>SUMIFS('Amex Transactions'!$G:$G,'Amex Transactions'!$C:$C,A48,'Amex Transactions'!$G:$G,"&gt;0")</f>
        <v/>
      </c>
      <c r="F48" s="11" t="n">
        <v>45829</v>
      </c>
      <c r="G48" s="10">
        <f>IF(COUNTIFS('Amex Transactions'!$C:$C,A48,'Amex Transactions'!$I:$I,"Check")&gt;0,"Check","")</f>
        <v/>
      </c>
    </row>
    <row r="49">
      <c r="A49" s="10" t="inlineStr">
        <is>
          <t>YPO INTL, IRVING,TX-USD IRVING</t>
        </is>
      </c>
      <c r="B49" s="10">
        <f>IFERROR(INDEX('Review Items'!$D:$D,MATCH(A49,'Review Items'!$B:$B,0)),IFERROR(INDEX('Rule Updates'!$B:$B,MATCH(A49,'Rule Updates'!$A:$A,0)),"Uncategorised"))</f>
        <v/>
      </c>
      <c r="C49" s="10">
        <f>IFERROR(INDEX('Review Items'!$E:$E,MATCH(A49,'Review Items'!$B:$B,0)),IFERROR(INDEX('Rule Updates'!$C:$C,MATCH(A49,'Rule Updates'!$A:$A,0)),"Review"))</f>
        <v/>
      </c>
      <c r="D49" s="10">
        <f>COUNTIF('Amex Transactions'!$C:$C,A49)</f>
        <v/>
      </c>
      <c r="E49" s="10">
        <f>SUMIFS('Amex Transactions'!$G:$G,'Amex Transactions'!$C:$C,A49,'Amex Transactions'!$G:$G,"&gt;0")</f>
        <v/>
      </c>
      <c r="F49" s="11" t="n">
        <v>45839</v>
      </c>
      <c r="G49" s="10">
        <f>IF(COUNTIFS('Amex Transactions'!$C:$C,A49,'Amex Transactions'!$I:$I,"Check")&gt;0,"Check","")</f>
        <v/>
      </c>
    </row>
    <row r="50">
      <c r="A50" s="10" t="inlineStr">
        <is>
          <t>THE DOLDER GRANDZ Ü RICH</t>
        </is>
      </c>
      <c r="B50" s="10">
        <f>IFERROR(INDEX('Review Items'!$D:$D,MATCH(A50,'Review Items'!$B:$B,0)),IFERROR(INDEX('Rule Updates'!$B:$B,MATCH(A50,'Rule Updates'!$A:$A,0)),"Uncategorised"))</f>
        <v/>
      </c>
      <c r="C50" s="10">
        <f>IFERROR(INDEX('Review Items'!$E:$E,MATCH(A50,'Review Items'!$B:$B,0)),IFERROR(INDEX('Rule Updates'!$C:$C,MATCH(A50,'Rule Updates'!$A:$A,0)),"Review"))</f>
        <v/>
      </c>
      <c r="D50" s="10">
        <f>COUNTIF('Amex Transactions'!$C:$C,A50)</f>
        <v/>
      </c>
      <c r="E50" s="10">
        <f>SUMIFS('Amex Transactions'!$G:$G,'Amex Transactions'!$C:$C,A50,'Amex Transactions'!$G:$G,"&gt;0")</f>
        <v/>
      </c>
      <c r="F50" s="11" t="n">
        <v>46039</v>
      </c>
      <c r="G50" s="10">
        <f>IF(COUNTIFS('Amex Transactions'!$C:$C,A50,'Amex Transactions'!$I:$I,"Check")&gt;0,"Check","")</f>
        <v/>
      </c>
    </row>
    <row r="51">
      <c r="A51" s="10" t="inlineStr">
        <is>
          <t>CATHAY PACI FIC AIR WAYS SAN FRANCISCO</t>
        </is>
      </c>
      <c r="B51" s="10">
        <f>IFERROR(INDEX('Review Items'!$D:$D,MATCH(A51,'Review Items'!$B:$B,0)),IFERROR(INDEX('Rule Updates'!$B:$B,MATCH(A51,'Rule Updates'!$A:$A,0)),"Uncategorised"))</f>
        <v/>
      </c>
      <c r="C51" s="10">
        <f>IFERROR(INDEX('Review Items'!$E:$E,MATCH(A51,'Review Items'!$B:$B,0)),IFERROR(INDEX('Rule Updates'!$C:$C,MATCH(A51,'Rule Updates'!$A:$A,0)),"Review"))</f>
        <v/>
      </c>
      <c r="D51" s="10">
        <f>COUNTIF('Amex Transactions'!$C:$C,A51)</f>
        <v/>
      </c>
      <c r="E51" s="10">
        <f>SUMIFS('Amex Transactions'!$G:$G,'Amex Transactions'!$C:$C,A51,'Amex Transactions'!$G:$G,"&gt;0")</f>
        <v/>
      </c>
      <c r="F51" s="11" t="n">
        <v>45958</v>
      </c>
      <c r="G51" s="10">
        <f>IF(COUNTIFS('Amex Transactions'!$C:$C,A51,'Amex Transactions'!$I:$I,"Check")&gt;0,"Check","")</f>
        <v/>
      </c>
    </row>
    <row r="52">
      <c r="A52" s="10" t="inlineStr">
        <is>
          <t>RESERVEPS.COM EL SEGUNDO</t>
        </is>
      </c>
      <c r="B52" s="10">
        <f>IFERROR(INDEX('Review Items'!$D:$D,MATCH(A52,'Review Items'!$B:$B,0)),IFERROR(INDEX('Rule Updates'!$B:$B,MATCH(A52,'Rule Updates'!$A:$A,0)),"Uncategorised"))</f>
        <v/>
      </c>
      <c r="C52" s="10">
        <f>IFERROR(INDEX('Review Items'!$E:$E,MATCH(A52,'Review Items'!$B:$B,0)),IFERROR(INDEX('Rule Updates'!$C:$C,MATCH(A52,'Rule Updates'!$A:$A,0)),"Review"))</f>
        <v/>
      </c>
      <c r="D52" s="10">
        <f>COUNTIF('Amex Transactions'!$C:$C,A52)</f>
        <v/>
      </c>
      <c r="E52" s="10">
        <f>SUMIFS('Amex Transactions'!$G:$G,'Amex Transactions'!$C:$C,A52,'Amex Transactions'!$G:$G,"&gt;0")</f>
        <v/>
      </c>
      <c r="F52" s="11" t="n">
        <v>46098</v>
      </c>
      <c r="G52" s="10">
        <f>IF(COUNTIFS('Amex Transactions'!$C:$C,A52,'Amex Transactions'!$I:$I,"Check")&gt;0,"Check","")</f>
        <v/>
      </c>
    </row>
    <row r="53">
      <c r="A53" s="10" t="inlineStr">
        <is>
          <t>PENINSULA NE WYORK HOTE NE WYORK</t>
        </is>
      </c>
      <c r="B53" s="10">
        <f>IFERROR(INDEX('Review Items'!$D:$D,MATCH(A53,'Review Items'!$B:$B,0)),IFERROR(INDEX('Rule Updates'!$B:$B,MATCH(A53,'Rule Updates'!$A:$A,0)),"Uncategorised"))</f>
        <v/>
      </c>
      <c r="C53" s="10">
        <f>IFERROR(INDEX('Review Items'!$E:$E,MATCH(A53,'Review Items'!$B:$B,0)),IFERROR(INDEX('Rule Updates'!$C:$C,MATCH(A53,'Rule Updates'!$A:$A,0)),"Review"))</f>
        <v/>
      </c>
      <c r="D53" s="10">
        <f>COUNTIF('Amex Transactions'!$C:$C,A53)</f>
        <v/>
      </c>
      <c r="E53" s="10">
        <f>SUMIFS('Amex Transactions'!$G:$G,'Amex Transactions'!$C:$C,A53,'Amex Transactions'!$G:$G,"&gt;0")</f>
        <v/>
      </c>
      <c r="F53" s="11" t="n">
        <v>46061</v>
      </c>
      <c r="G53" s="10">
        <f>IF(COUNTIFS('Amex Transactions'!$C:$C,A53,'Amex Transactions'!$I:$I,"Check")&gt;0,"Check","")</f>
        <v/>
      </c>
    </row>
    <row r="54">
      <c r="A54" s="10" t="inlineStr">
        <is>
          <t>SATOYAMAJ U JOU NIGATA</t>
        </is>
      </c>
      <c r="B54" s="10">
        <f>IFERROR(INDEX('Review Items'!$D:$D,MATCH(A54,'Review Items'!$B:$B,0)),IFERROR(INDEX('Rule Updates'!$B:$B,MATCH(A54,'Rule Updates'!$A:$A,0)),"Uncategorised"))</f>
        <v/>
      </c>
      <c r="C54" s="10">
        <f>IFERROR(INDEX('Review Items'!$E:$E,MATCH(A54,'Review Items'!$B:$B,0)),IFERROR(INDEX('Rule Updates'!$C:$C,MATCH(A54,'Rule Updates'!$A:$A,0)),"Review"))</f>
        <v/>
      </c>
      <c r="D54" s="10">
        <f>COUNTIF('Amex Transactions'!$C:$C,A54)</f>
        <v/>
      </c>
      <c r="E54" s="10">
        <f>SUMIFS('Amex Transactions'!$G:$G,'Amex Transactions'!$C:$C,A54,'Amex Transactions'!$G:$G,"&gt;0")</f>
        <v/>
      </c>
      <c r="F54" s="11" t="n">
        <v>45981</v>
      </c>
      <c r="G54" s="10">
        <f>IF(COUNTIFS('Amex Transactions'!$C:$C,A54,'Amex Transactions'!$I:$I,"Check")&gt;0,"Check","")</f>
        <v/>
      </c>
    </row>
    <row r="55">
      <c r="A55" s="10" t="inlineStr">
        <is>
          <t>Setsu Niseko HOKKAIDO</t>
        </is>
      </c>
      <c r="B55" s="10">
        <f>IFERROR(INDEX('Review Items'!$D:$D,MATCH(A55,'Review Items'!$B:$B,0)),IFERROR(INDEX('Rule Updates'!$B:$B,MATCH(A55,'Rule Updates'!$A:$A,0)),"Uncategorised"))</f>
        <v/>
      </c>
      <c r="C55" s="10">
        <f>IFERROR(INDEX('Review Items'!$E:$E,MATCH(A55,'Review Items'!$B:$B,0)),IFERROR(INDEX('Rule Updates'!$C:$C,MATCH(A55,'Rule Updates'!$A:$A,0)),"Review"))</f>
        <v/>
      </c>
      <c r="D55" s="10">
        <f>COUNTIF('Amex Transactions'!$C:$C,A55)</f>
        <v/>
      </c>
      <c r="E55" s="10">
        <f>SUMIFS('Amex Transactions'!$G:$G,'Amex Transactions'!$C:$C,A55,'Amex Transactions'!$G:$G,"&gt;0")</f>
        <v/>
      </c>
      <c r="F55" s="11" t="n">
        <v>46087</v>
      </c>
      <c r="G55" s="10">
        <f>IF(COUNTIFS('Amex Transactions'!$C:$C,A55,'Amex Transactions'!$I:$I,"Check")&gt;0,"Check","")</f>
        <v/>
      </c>
    </row>
    <row r="56">
      <c r="A56" s="10" t="inlineStr">
        <is>
          <t>LIMITLESS SNOWSPORTS ABUTAGUN</t>
        </is>
      </c>
      <c r="B56" s="10">
        <f>IFERROR(INDEX('Review Items'!$D:$D,MATCH(A56,'Review Items'!$B:$B,0)),IFERROR(INDEX('Rule Updates'!$B:$B,MATCH(A56,'Rule Updates'!$A:$A,0)),"Uncategorised"))</f>
        <v/>
      </c>
      <c r="C56" s="10">
        <f>IFERROR(INDEX('Review Items'!$E:$E,MATCH(A56,'Review Items'!$B:$B,0)),IFERROR(INDEX('Rule Updates'!$C:$C,MATCH(A56,'Rule Updates'!$A:$A,0)),"Review"))</f>
        <v/>
      </c>
      <c r="D56" s="10">
        <f>COUNTIF('Amex Transactions'!$C:$C,A56)</f>
        <v/>
      </c>
      <c r="E56" s="10">
        <f>SUMIFS('Amex Transactions'!$G:$G,'Amex Transactions'!$C:$C,A56,'Amex Transactions'!$G:$G,"&gt;0")</f>
        <v/>
      </c>
      <c r="F56" s="11" t="n">
        <v>45791</v>
      </c>
      <c r="G56" s="10">
        <f>IF(COUNTIFS('Amex Transactions'!$C:$C,A56,'Amex Transactions'!$I:$I,"Check")&gt;0,"Check","")</f>
        <v/>
      </c>
    </row>
    <row r="57">
      <c r="A57" s="10" t="inlineStr">
        <is>
          <t>BRITISH AIRWAYS GB DIRE WEST DRAYTON</t>
        </is>
      </c>
      <c r="B57" s="10">
        <f>IFERROR(INDEX('Review Items'!$D:$D,MATCH(A57,'Review Items'!$B:$B,0)),IFERROR(INDEX('Rule Updates'!$B:$B,MATCH(A57,'Rule Updates'!$A:$A,0)),"Uncategorised"))</f>
        <v/>
      </c>
      <c r="C57" s="10">
        <f>IFERROR(INDEX('Review Items'!$E:$E,MATCH(A57,'Review Items'!$B:$B,0)),IFERROR(INDEX('Rule Updates'!$C:$C,MATCH(A57,'Rule Updates'!$A:$A,0)),"Review"))</f>
        <v/>
      </c>
      <c r="D57" s="10">
        <f>COUNTIF('Amex Transactions'!$C:$C,A57)</f>
        <v/>
      </c>
      <c r="E57" s="10">
        <f>SUMIFS('Amex Transactions'!$G:$G,'Amex Transactions'!$C:$C,A57,'Amex Transactions'!$G:$G,"&gt;0")</f>
        <v/>
      </c>
      <c r="F57" s="11" t="n">
        <v>45747</v>
      </c>
      <c r="G57" s="10">
        <f>IF(COUNTIFS('Amex Transactions'!$C:$C,A57,'Amex Transactions'!$I:$I,"Check")&gt;0,"Check","")</f>
        <v/>
      </c>
    </row>
    <row r="58">
      <c r="A58" s="10" t="inlineStr">
        <is>
          <t>BASSIKE RETAIL PTY LTD PADDINGTON</t>
        </is>
      </c>
      <c r="B58" s="10">
        <f>IFERROR(INDEX('Review Items'!$D:$D,MATCH(A58,'Review Items'!$B:$B,0)),IFERROR(INDEX('Rule Updates'!$B:$B,MATCH(A58,'Rule Updates'!$A:$A,0)),"Uncategorised"))</f>
        <v/>
      </c>
      <c r="C58" s="10">
        <f>IFERROR(INDEX('Review Items'!$E:$E,MATCH(A58,'Review Items'!$B:$B,0)),IFERROR(INDEX('Rule Updates'!$C:$C,MATCH(A58,'Rule Updates'!$A:$A,0)),"Review"))</f>
        <v/>
      </c>
      <c r="D58" s="10">
        <f>COUNTIF('Amex Transactions'!$C:$C,A58)</f>
        <v/>
      </c>
      <c r="E58" s="10">
        <f>SUMIFS('Amex Transactions'!$G:$G,'Amex Transactions'!$C:$C,A58,'Amex Transactions'!$G:$G,"&gt;0")</f>
        <v/>
      </c>
      <c r="F58" s="11" t="n">
        <v>46015</v>
      </c>
      <c r="G58" s="10">
        <f>IF(COUNTIFS('Amex Transactions'!$C:$C,A58,'Amex Transactions'!$I:$I,"Check")&gt;0,"Check","")</f>
        <v/>
      </c>
    </row>
    <row r="59">
      <c r="A59" s="10" t="inlineStr">
        <is>
          <t>SP LOUISE JACKSON LONDON</t>
        </is>
      </c>
      <c r="B59" s="10">
        <f>IFERROR(INDEX('Review Items'!$D:$D,MATCH(A59,'Review Items'!$B:$B,0)),IFERROR(INDEX('Rule Updates'!$B:$B,MATCH(A59,'Rule Updates'!$A:$A,0)),"Uncategorised"))</f>
        <v/>
      </c>
      <c r="C59" s="10">
        <f>IFERROR(INDEX('Review Items'!$E:$E,MATCH(A59,'Review Items'!$B:$B,0)),IFERROR(INDEX('Rule Updates'!$C:$C,MATCH(A59,'Rule Updates'!$A:$A,0)),"Review"))</f>
        <v/>
      </c>
      <c r="D59" s="10">
        <f>COUNTIF('Amex Transactions'!$C:$C,A59)</f>
        <v/>
      </c>
      <c r="E59" s="10">
        <f>SUMIFS('Amex Transactions'!$G:$G,'Amex Transactions'!$C:$C,A59,'Amex Transactions'!$G:$G,"&gt;0")</f>
        <v/>
      </c>
      <c r="F59" s="11" t="n">
        <v>45806</v>
      </c>
      <c r="G59" s="10">
        <f>IF(COUNTIFS('Amex Transactions'!$C:$C,A59,'Amex Transactions'!$I:$I,"Check")&gt;0,"Check","")</f>
        <v/>
      </c>
    </row>
    <row r="60">
      <c r="A60" s="10" t="inlineStr">
        <is>
          <t>ROMEO ALBERGHI NAPOLI</t>
        </is>
      </c>
      <c r="B60" s="10">
        <f>IFERROR(INDEX('Review Items'!$D:$D,MATCH(A60,'Review Items'!$B:$B,0)),IFERROR(INDEX('Rule Updates'!$B:$B,MATCH(A60,'Rule Updates'!$A:$A,0)),"Uncategorised"))</f>
        <v/>
      </c>
      <c r="C60" s="10">
        <f>IFERROR(INDEX('Review Items'!$E:$E,MATCH(A60,'Review Items'!$B:$B,0)),IFERROR(INDEX('Rule Updates'!$C:$C,MATCH(A60,'Rule Updates'!$A:$A,0)),"Review"))</f>
        <v/>
      </c>
      <c r="D60" s="10">
        <f>COUNTIF('Amex Transactions'!$C:$C,A60)</f>
        <v/>
      </c>
      <c r="E60" s="10">
        <f>SUMIFS('Amex Transactions'!$G:$G,'Amex Transactions'!$C:$C,A60,'Amex Transactions'!$G:$G,"&gt;0")</f>
        <v/>
      </c>
      <c r="F60" s="11" t="n">
        <v>45825</v>
      </c>
      <c r="G60" s="10">
        <f>IF(COUNTIFS('Amex Transactions'!$C:$C,A60,'Amex Transactions'!$I:$I,"Check")&gt;0,"Check","")</f>
        <v/>
      </c>
    </row>
    <row r="61">
      <c r="A61" s="10" t="inlineStr">
        <is>
          <t>Rh yt hm J apa n me ng ti a n j un j</t>
        </is>
      </c>
      <c r="B61" s="10">
        <f>IFERROR(INDEX('Review Items'!$D:$D,MATCH(A61,'Review Items'!$B:$B,0)),IFERROR(INDEX('Rule Updates'!$B:$B,MATCH(A61,'Rule Updates'!$A:$A,0)),"Uncategorised"))</f>
        <v/>
      </c>
      <c r="C61" s="10">
        <f>IFERROR(INDEX('Review Items'!$E:$E,MATCH(A61,'Review Items'!$B:$B,0)),IFERROR(INDEX('Rule Updates'!$C:$C,MATCH(A61,'Rule Updates'!$A:$A,0)),"Review"))</f>
        <v/>
      </c>
      <c r="D61" s="10">
        <f>COUNTIF('Amex Transactions'!$C:$C,A61)</f>
        <v/>
      </c>
      <c r="E61" s="10">
        <f>SUMIFS('Amex Transactions'!$G:$G,'Amex Transactions'!$C:$C,A61,'Amex Transactions'!$G:$G,"&gt;0")</f>
        <v/>
      </c>
      <c r="F61" s="11" t="n">
        <v>46077</v>
      </c>
      <c r="G61" s="10">
        <f>IF(COUNTIFS('Amex Transactions'!$C:$C,A61,'Amex Transactions'!$I:$I,"Check")&gt;0,"Check","")</f>
        <v/>
      </c>
    </row>
    <row r="62">
      <c r="A62" s="10" t="inlineStr">
        <is>
          <t>COMO METROPOLITAN SINGA SINGAPORE</t>
        </is>
      </c>
      <c r="B62" s="10">
        <f>IFERROR(INDEX('Review Items'!$D:$D,MATCH(A62,'Review Items'!$B:$B,0)),IFERROR(INDEX('Rule Updates'!$B:$B,MATCH(A62,'Rule Updates'!$A:$A,0)),"Uncategorised"))</f>
        <v/>
      </c>
      <c r="C62" s="10">
        <f>IFERROR(INDEX('Review Items'!$E:$E,MATCH(A62,'Review Items'!$B:$B,0)),IFERROR(INDEX('Rule Updates'!$C:$C,MATCH(A62,'Rule Updates'!$A:$A,0)),"Review"))</f>
        <v/>
      </c>
      <c r="D62" s="10">
        <f>COUNTIF('Amex Transactions'!$C:$C,A62)</f>
        <v/>
      </c>
      <c r="E62" s="10">
        <f>SUMIFS('Amex Transactions'!$G:$G,'Amex Transactions'!$C:$C,A62,'Amex Transactions'!$G:$G,"&gt;0")</f>
        <v/>
      </c>
      <c r="F62" s="11" t="n">
        <v>45986</v>
      </c>
      <c r="G62" s="10">
        <f>IF(COUNTIFS('Amex Transactions'!$C:$C,A62,'Amex Transactions'!$I:$I,"Check")&gt;0,"Check","")</f>
        <v/>
      </c>
    </row>
    <row r="63">
      <c r="A63" s="10" t="inlineStr">
        <is>
          <t>ST REGIS KUALA LUMPUR ( FKUALA LUMPUR</t>
        </is>
      </c>
      <c r="B63" s="10">
        <f>IFERROR(INDEX('Review Items'!$D:$D,MATCH(A63,'Review Items'!$B:$B,0)),IFERROR(INDEX('Rule Updates'!$B:$B,MATCH(A63,'Rule Updates'!$A:$A,0)),"Uncategorised"))</f>
        <v/>
      </c>
      <c r="C63" s="10">
        <f>IFERROR(INDEX('Review Items'!$E:$E,MATCH(A63,'Review Items'!$B:$B,0)),IFERROR(INDEX('Rule Updates'!$C:$C,MATCH(A63,'Rule Updates'!$A:$A,0)),"Review"))</f>
        <v/>
      </c>
      <c r="D63" s="10">
        <f>COUNTIF('Amex Transactions'!$C:$C,A63)</f>
        <v/>
      </c>
      <c r="E63" s="10">
        <f>SUMIFS('Amex Transactions'!$G:$G,'Amex Transactions'!$C:$C,A63,'Amex Transactions'!$G:$G,"&gt;0")</f>
        <v/>
      </c>
      <c r="F63" s="11" t="n">
        <v>46071</v>
      </c>
      <c r="G63" s="10">
        <f>IF(COUNTIFS('Amex Transactions'!$C:$C,A63,'Amex Transactions'!$I:$I,"Check")&gt;0,"Check","")</f>
        <v/>
      </c>
    </row>
    <row r="64">
      <c r="A64" s="10" t="inlineStr">
        <is>
          <t>COHIBA CIGAR DIVAN HONG KONG</t>
        </is>
      </c>
      <c r="B64" s="10">
        <f>IFERROR(INDEX('Review Items'!$D:$D,MATCH(A64,'Review Items'!$B:$B,0)),IFERROR(INDEX('Rule Updates'!$B:$B,MATCH(A64,'Rule Updates'!$A:$A,0)),"Uncategorised"))</f>
        <v/>
      </c>
      <c r="C64" s="10">
        <f>IFERROR(INDEX('Review Items'!$E:$E,MATCH(A64,'Review Items'!$B:$B,0)),IFERROR(INDEX('Rule Updates'!$C:$C,MATCH(A64,'Rule Updates'!$A:$A,0)),"Review"))</f>
        <v/>
      </c>
      <c r="D64" s="10">
        <f>COUNTIF('Amex Transactions'!$C:$C,A64)</f>
        <v/>
      </c>
      <c r="E64" s="10">
        <f>SUMIFS('Amex Transactions'!$G:$G,'Amex Transactions'!$C:$C,A64,'Amex Transactions'!$G:$G,"&gt;0")</f>
        <v/>
      </c>
      <c r="F64" s="11" t="n">
        <v>45801</v>
      </c>
      <c r="G64" s="10">
        <f>IF(COUNTIFS('Amex Transactions'!$C:$C,A64,'Amex Transactions'!$I:$I,"Check")&gt;0,"Check","")</f>
        <v/>
      </c>
    </row>
    <row r="65">
      <c r="A65" s="10" t="inlineStr">
        <is>
          <t>KPAY * GALLERY TETE HONG HONG KONG</t>
        </is>
      </c>
      <c r="B65" s="10">
        <f>IFERROR(INDEX('Review Items'!$D:$D,MATCH(A65,'Review Items'!$B:$B,0)),IFERROR(INDEX('Rule Updates'!$B:$B,MATCH(A65,'Rule Updates'!$A:$A,0)),"Uncategorised"))</f>
        <v/>
      </c>
      <c r="C65" s="10">
        <f>IFERROR(INDEX('Review Items'!$E:$E,MATCH(A65,'Review Items'!$B:$B,0)),IFERROR(INDEX('Rule Updates'!$C:$C,MATCH(A65,'Rule Updates'!$A:$A,0)),"Review"))</f>
        <v/>
      </c>
      <c r="D65" s="10">
        <f>COUNTIF('Amex Transactions'!$C:$C,A65)</f>
        <v/>
      </c>
      <c r="E65" s="10">
        <f>SUMIFS('Amex Transactions'!$G:$G,'Amex Transactions'!$C:$C,A65,'Amex Transactions'!$G:$G,"&gt;0")</f>
        <v/>
      </c>
      <c r="F65" s="11" t="n">
        <v>45940</v>
      </c>
      <c r="G65" s="10">
        <f>IF(COUNTIFS('Amex Transactions'!$C:$C,A65,'Amex Transactions'!$I:$I,"Check")&gt;0,"Check","")</f>
        <v/>
      </c>
    </row>
    <row r="66">
      <c r="A66" s="10" t="inlineStr">
        <is>
          <t>3CPAYMENT*SIX SENSES IB PORTINATX</t>
        </is>
      </c>
      <c r="B66" s="10">
        <f>IFERROR(INDEX('Review Items'!$D:$D,MATCH(A66,'Review Items'!$B:$B,0)),IFERROR(INDEX('Rule Updates'!$B:$B,MATCH(A66,'Rule Updates'!$A:$A,0)),"Uncategorised"))</f>
        <v/>
      </c>
      <c r="C66" s="10">
        <f>IFERROR(INDEX('Review Items'!$E:$E,MATCH(A66,'Review Items'!$B:$B,0)),IFERROR(INDEX('Rule Updates'!$C:$C,MATCH(A66,'Rule Updates'!$A:$A,0)),"Review"))</f>
        <v/>
      </c>
      <c r="D66" s="10">
        <f>COUNTIF('Amex Transactions'!$C:$C,A66)</f>
        <v/>
      </c>
      <c r="E66" s="10">
        <f>SUMIFS('Amex Transactions'!$G:$G,'Amex Transactions'!$C:$C,A66,'Amex Transactions'!$G:$G,"&gt;0")</f>
        <v/>
      </c>
      <c r="F66" s="11" t="n">
        <v>45836</v>
      </c>
      <c r="G66" s="10">
        <f>IF(COUNTIFS('Amex Transactions'!$C:$C,A66,'Amex Transactions'!$I:$I,"Check")&gt;0,"Check","")</f>
        <v/>
      </c>
    </row>
    <row r="67">
      <c r="A67" s="10" t="inlineStr">
        <is>
          <t>FORTRESS - 205 CENTRAL</t>
        </is>
      </c>
      <c r="B67" s="10">
        <f>IFERROR(INDEX('Review Items'!$D:$D,MATCH(A67,'Review Items'!$B:$B,0)),IFERROR(INDEX('Rule Updates'!$B:$B,MATCH(A67,'Rule Updates'!$A:$A,0)),"Uncategorised"))</f>
        <v/>
      </c>
      <c r="C67" s="10">
        <f>IFERROR(INDEX('Review Items'!$E:$E,MATCH(A67,'Review Items'!$B:$B,0)),IFERROR(INDEX('Rule Updates'!$C:$C,MATCH(A67,'Rule Updates'!$A:$A,0)),"Review"))</f>
        <v/>
      </c>
      <c r="D67" s="10">
        <f>COUNTIF('Amex Transactions'!$C:$C,A67)</f>
        <v/>
      </c>
      <c r="E67" s="10">
        <f>SUMIFS('Amex Transactions'!$G:$G,'Amex Transactions'!$C:$C,A67,'Amex Transactions'!$G:$G,"&gt;0")</f>
        <v/>
      </c>
      <c r="F67" s="11" t="n">
        <v>45996</v>
      </c>
      <c r="G67" s="10">
        <f>IF(COUNTIFS('Amex Transactions'!$C:$C,A67,'Amex Transactions'!$I:$I,"Check")&gt;0,"Check","")</f>
        <v/>
      </c>
    </row>
    <row r="68">
      <c r="A68" s="10" t="inlineStr">
        <is>
          <t>SINGAPOREAIR HONGKONG HONGKONG</t>
        </is>
      </c>
      <c r="B68" s="10">
        <f>IFERROR(INDEX('Review Items'!$D:$D,MATCH(A68,'Review Items'!$B:$B,0)),IFERROR(INDEX('Rule Updates'!$B:$B,MATCH(A68,'Rule Updates'!$A:$A,0)),"Uncategorised"))</f>
        <v/>
      </c>
      <c r="C68" s="10">
        <f>IFERROR(INDEX('Review Items'!$E:$E,MATCH(A68,'Review Items'!$B:$B,0)),IFERROR(INDEX('Rule Updates'!$C:$C,MATCH(A68,'Rule Updates'!$A:$A,0)),"Review"))</f>
        <v/>
      </c>
      <c r="D68" s="10">
        <f>COUNTIF('Amex Transactions'!$C:$C,A68)</f>
        <v/>
      </c>
      <c r="E68" s="10">
        <f>SUMIFS('Amex Transactions'!$G:$G,'Amex Transactions'!$C:$C,A68,'Amex Transactions'!$G:$G,"&gt;0")</f>
        <v/>
      </c>
      <c r="F68" s="11" t="n">
        <v>45898</v>
      </c>
      <c r="G68" s="10">
        <f>IF(COUNTIFS('Amex Transactions'!$C:$C,A68,'Amex Transactions'!$I:$I,"Check")&gt;0,"Check","")</f>
        <v/>
      </c>
    </row>
    <row r="69">
      <c r="A69" s="10" t="inlineStr">
        <is>
          <t>THE DIPLOMAT CENTRAL</t>
        </is>
      </c>
      <c r="B69" s="10">
        <f>IFERROR(INDEX('Review Items'!$D:$D,MATCH(A69,'Review Items'!$B:$B,0)),IFERROR(INDEX('Rule Updates'!$B:$B,MATCH(A69,'Rule Updates'!$A:$A,0)),"Uncategorised"))</f>
        <v/>
      </c>
      <c r="C69" s="10">
        <f>IFERROR(INDEX('Review Items'!$E:$E,MATCH(A69,'Review Items'!$B:$B,0)),IFERROR(INDEX('Rule Updates'!$C:$C,MATCH(A69,'Rule Updates'!$A:$A,0)),"Review"))</f>
        <v/>
      </c>
      <c r="D69" s="10">
        <f>COUNTIF('Amex Transactions'!$C:$C,A69)</f>
        <v/>
      </c>
      <c r="E69" s="10">
        <f>SUMIFS('Amex Transactions'!$G:$G,'Amex Transactions'!$C:$C,A69,'Amex Transactions'!$G:$G,"&gt;0")</f>
        <v/>
      </c>
      <c r="F69" s="11" t="n">
        <v>45876</v>
      </c>
      <c r="G69" s="10">
        <f>IF(COUNTIFS('Amex Transactions'!$C:$C,A69,'Amex Transactions'!$I:$I,"Check")&gt;0,"Check","")</f>
        <v/>
      </c>
    </row>
    <row r="70">
      <c r="A70" s="10" t="inlineStr">
        <is>
          <t>CAMPOS POLANCO MIGUEL HIDALG</t>
        </is>
      </c>
      <c r="B70" s="10">
        <f>IFERROR(INDEX('Review Items'!$D:$D,MATCH(A70,'Review Items'!$B:$B,0)),IFERROR(INDEX('Rule Updates'!$B:$B,MATCH(A70,'Rule Updates'!$A:$A,0)),"Uncategorised"))</f>
        <v/>
      </c>
      <c r="C70" s="10">
        <f>IFERROR(INDEX('Review Items'!$E:$E,MATCH(A70,'Review Items'!$B:$B,0)),IFERROR(INDEX('Rule Updates'!$C:$C,MATCH(A70,'Rule Updates'!$A:$A,0)),"Review"))</f>
        <v/>
      </c>
      <c r="D70" s="10">
        <f>COUNTIF('Amex Transactions'!$C:$C,A70)</f>
        <v/>
      </c>
      <c r="E70" s="10">
        <f>SUMIFS('Amex Transactions'!$G:$G,'Amex Transactions'!$C:$C,A70,'Amex Transactions'!$G:$G,"&gt;0")</f>
        <v/>
      </c>
      <c r="F70" s="11" t="n">
        <v>45811</v>
      </c>
      <c r="G70" s="10">
        <f>IF(COUNTIFS('Amex Transactions'!$C:$C,A70,'Amex Transactions'!$I:$I,"Check")&gt;0,"Check","")</f>
        <v/>
      </c>
    </row>
    <row r="71">
      <c r="A71" s="10" t="inlineStr">
        <is>
          <t>PEKING GARDEN - ALE XAND CENTRAL</t>
        </is>
      </c>
      <c r="B71" s="10">
        <f>IFERROR(INDEX('Review Items'!$D:$D,MATCH(A71,'Review Items'!$B:$B,0)),IFERROR(INDEX('Rule Updates'!$B:$B,MATCH(A71,'Rule Updates'!$A:$A,0)),"Uncategorised"))</f>
        <v/>
      </c>
      <c r="C71" s="10">
        <f>IFERROR(INDEX('Review Items'!$E:$E,MATCH(A71,'Review Items'!$B:$B,0)),IFERROR(INDEX('Rule Updates'!$C:$C,MATCH(A71,'Rule Updates'!$A:$A,0)),"Review"))</f>
        <v/>
      </c>
      <c r="D71" s="10">
        <f>COUNTIF('Amex Transactions'!$C:$C,A71)</f>
        <v/>
      </c>
      <c r="E71" s="10">
        <f>SUMIFS('Amex Transactions'!$G:$G,'Amex Transactions'!$C:$C,A71,'Amex Transactions'!$G:$G,"&gt;0")</f>
        <v/>
      </c>
      <c r="F71" s="11" t="n">
        <v>46001</v>
      </c>
      <c r="G71" s="10">
        <f>IF(COUNTIFS('Amex Transactions'!$C:$C,A71,'Amex Transactions'!$I:$I,"Check")&gt;0,"Check","")</f>
        <v/>
      </c>
    </row>
    <row r="72">
      <c r="A72" s="10" t="inlineStr">
        <is>
          <t>CITY ' SUPER CENTRAL</t>
        </is>
      </c>
      <c r="B72" s="10">
        <f>IFERROR(INDEX('Review Items'!$D:$D,MATCH(A72,'Review Items'!$B:$B,0)),IFERROR(INDEX('Rule Updates'!$B:$B,MATCH(A72,'Rule Updates'!$A:$A,0)),"Uncategorised"))</f>
        <v/>
      </c>
      <c r="C72" s="10">
        <f>IFERROR(INDEX('Review Items'!$E:$E,MATCH(A72,'Review Items'!$B:$B,0)),IFERROR(INDEX('Rule Updates'!$C:$C,MATCH(A72,'Rule Updates'!$A:$A,0)),"Review"))</f>
        <v/>
      </c>
      <c r="D72" s="10">
        <f>COUNTIF('Amex Transactions'!$C:$C,A72)</f>
        <v/>
      </c>
      <c r="E72" s="10">
        <f>SUMIFS('Amex Transactions'!$G:$G,'Amex Transactions'!$C:$C,A72,'Amex Transactions'!$G:$G,"&gt;0")</f>
        <v/>
      </c>
      <c r="F72" s="11" t="n">
        <v>46066</v>
      </c>
      <c r="G72" s="10">
        <f>IF(COUNTIFS('Amex Transactions'!$C:$C,A72,'Amex Transactions'!$I:$I,"Check")&gt;0,"Check","")</f>
        <v/>
      </c>
    </row>
    <row r="73">
      <c r="A73" s="10" t="inlineStr">
        <is>
          <t>HARVEY NICHOLS CENTRAL</t>
        </is>
      </c>
      <c r="B73" s="10">
        <f>IFERROR(INDEX('Review Items'!$D:$D,MATCH(A73,'Review Items'!$B:$B,0)),IFERROR(INDEX('Rule Updates'!$B:$B,MATCH(A73,'Rule Updates'!$A:$A,0)),"Uncategorised"))</f>
        <v/>
      </c>
      <c r="C73" s="10">
        <f>IFERROR(INDEX('Review Items'!$E:$E,MATCH(A73,'Review Items'!$B:$B,0)),IFERROR(INDEX('Rule Updates'!$C:$C,MATCH(A73,'Rule Updates'!$A:$A,0)),"Review"))</f>
        <v/>
      </c>
      <c r="D73" s="10">
        <f>COUNTIF('Amex Transactions'!$C:$C,A73)</f>
        <v/>
      </c>
      <c r="E73" s="10">
        <f>SUMIFS('Amex Transactions'!$G:$G,'Amex Transactions'!$C:$C,A73,'Amex Transactions'!$G:$G,"&gt;0")</f>
        <v/>
      </c>
      <c r="F73" s="11" t="n">
        <v>45989</v>
      </c>
      <c r="G73" s="10">
        <f>IF(COUNTIFS('Amex Transactions'!$C:$C,A73,'Amex Transactions'!$I:$I,"Check")&gt;0,"Check","")</f>
        <v/>
      </c>
    </row>
    <row r="74">
      <c r="A74" s="10" t="inlineStr">
        <is>
          <t>COMO METROPOLITAN HOTEL LONDON</t>
        </is>
      </c>
      <c r="B74" s="10">
        <f>IFERROR(INDEX('Review Items'!$D:$D,MATCH(A74,'Review Items'!$B:$B,0)),IFERROR(INDEX('Rule Updates'!$B:$B,MATCH(A74,'Rule Updates'!$A:$A,0)),"Uncategorised"))</f>
        <v/>
      </c>
      <c r="C74" s="10">
        <f>IFERROR(INDEX('Review Items'!$E:$E,MATCH(A74,'Review Items'!$B:$B,0)),IFERROR(INDEX('Rule Updates'!$C:$C,MATCH(A74,'Rule Updates'!$A:$A,0)),"Review"))</f>
        <v/>
      </c>
      <c r="D74" s="10">
        <f>COUNTIF('Amex Transactions'!$C:$C,A74)</f>
        <v/>
      </c>
      <c r="E74" s="10">
        <f>SUMIFS('Amex Transactions'!$G:$G,'Amex Transactions'!$C:$C,A74,'Amex Transactions'!$G:$G,"&gt;0")</f>
        <v/>
      </c>
      <c r="F74" s="11" t="n">
        <v>45823</v>
      </c>
      <c r="G74" s="10">
        <f>IF(COUNTIFS('Amex Transactions'!$C:$C,A74,'Amex Transactions'!$I:$I,"Check")&gt;0,"Check","")</f>
        <v/>
      </c>
    </row>
    <row r="75">
      <c r="A75" s="10" t="inlineStr">
        <is>
          <t>SP VIOLETGREYSTORE LOS ANGELES</t>
        </is>
      </c>
      <c r="B75" s="10">
        <f>IFERROR(INDEX('Review Items'!$D:$D,MATCH(A75,'Review Items'!$B:$B,0)),IFERROR(INDEX('Rule Updates'!$B:$B,MATCH(A75,'Rule Updates'!$A:$A,0)),"Uncategorised"))</f>
        <v/>
      </c>
      <c r="C75" s="10">
        <f>IFERROR(INDEX('Review Items'!$E:$E,MATCH(A75,'Review Items'!$B:$B,0)),IFERROR(INDEX('Rule Updates'!$C:$C,MATCH(A75,'Rule Updates'!$A:$A,0)),"Review"))</f>
        <v/>
      </c>
      <c r="D75" s="10">
        <f>COUNTIF('Amex Transactions'!$C:$C,A75)</f>
        <v/>
      </c>
      <c r="E75" s="10">
        <f>SUMIFS('Amex Transactions'!$G:$G,'Amex Transactions'!$C:$C,A75,'Amex Transactions'!$G:$G,"&gt;0")</f>
        <v/>
      </c>
      <c r="F75" s="11" t="n">
        <v>45992</v>
      </c>
      <c r="G75" s="10">
        <f>IF(COUNTIFS('Amex Transactions'!$C:$C,A75,'Amex Transactions'!$I:$I,"Check")&gt;0,"Check","")</f>
        <v/>
      </c>
    </row>
    <row r="76">
      <c r="A76" s="10" t="inlineStr">
        <is>
          <t>VINCE LLC NE WYORK</t>
        </is>
      </c>
      <c r="B76" s="10">
        <f>IFERROR(INDEX('Review Items'!$D:$D,MATCH(A76,'Review Items'!$B:$B,0)),IFERROR(INDEX('Rule Updates'!$B:$B,MATCH(A76,'Rule Updates'!$A:$A,0)),"Uncategorised"))</f>
        <v/>
      </c>
      <c r="C76" s="10">
        <f>IFERROR(INDEX('Review Items'!$E:$E,MATCH(A76,'Review Items'!$B:$B,0)),IFERROR(INDEX('Rule Updates'!$C:$C,MATCH(A76,'Rule Updates'!$A:$A,0)),"Review"))</f>
        <v/>
      </c>
      <c r="D76" s="10">
        <f>COUNTIF('Amex Transactions'!$C:$C,A76)</f>
        <v/>
      </c>
      <c r="E76" s="10">
        <f>SUMIFS('Amex Transactions'!$G:$G,'Amex Transactions'!$C:$C,A76,'Amex Transactions'!$G:$G,"&gt;0")</f>
        <v/>
      </c>
      <c r="F76" s="11" t="n">
        <v>45946</v>
      </c>
      <c r="G76" s="10">
        <f>IF(COUNTIFS('Amex Transactions'!$C:$C,A76,'Amex Transactions'!$I:$I,"Check")&gt;0,"Check","")</f>
        <v/>
      </c>
    </row>
    <row r="77">
      <c r="A77" s="10" t="inlineStr">
        <is>
          <t>Ocea n payme nt * hype rs he ll HK</t>
        </is>
      </c>
      <c r="B77" s="10">
        <f>IFERROR(INDEX('Review Items'!$D:$D,MATCH(A77,'Review Items'!$B:$B,0)),IFERROR(INDEX('Rule Updates'!$B:$B,MATCH(A77,'Rule Updates'!$A:$A,0)),"Uncategorised"))</f>
        <v/>
      </c>
      <c r="C77" s="10">
        <f>IFERROR(INDEX('Review Items'!$E:$E,MATCH(A77,'Review Items'!$B:$B,0)),IFERROR(INDEX('Rule Updates'!$C:$C,MATCH(A77,'Rule Updates'!$A:$A,0)),"Review"))</f>
        <v/>
      </c>
      <c r="D77" s="10">
        <f>COUNTIF('Amex Transactions'!$C:$C,A77)</f>
        <v/>
      </c>
      <c r="E77" s="10">
        <f>SUMIFS('Amex Transactions'!$G:$G,'Amex Transactions'!$C:$C,A77,'Amex Transactions'!$G:$G,"&gt;0")</f>
        <v/>
      </c>
      <c r="F77" s="11" t="n">
        <v>45994</v>
      </c>
      <c r="G77" s="10">
        <f>IF(COUNTIFS('Amex Transactions'!$C:$C,A77,'Amex Transactions'!$I:$I,"Check")&gt;0,"Check","")</f>
        <v/>
      </c>
    </row>
    <row r="78">
      <c r="A78" s="10" t="inlineStr">
        <is>
          <t>3CPAYMENT*PARK HZ OPCO BERN</t>
        </is>
      </c>
      <c r="B78" s="10">
        <f>IFERROR(INDEX('Review Items'!$D:$D,MATCH(A78,'Review Items'!$B:$B,0)),IFERROR(INDEX('Rule Updates'!$B:$B,MATCH(A78,'Rule Updates'!$A:$A,0)),"Uncategorised"))</f>
        <v/>
      </c>
      <c r="C78" s="10">
        <f>IFERROR(INDEX('Review Items'!$E:$E,MATCH(A78,'Review Items'!$B:$B,0)),IFERROR(INDEX('Rule Updates'!$C:$C,MATCH(A78,'Rule Updates'!$A:$A,0)),"Review"))</f>
        <v/>
      </c>
      <c r="D78" s="10">
        <f>COUNTIF('Amex Transactions'!$C:$C,A78)</f>
        <v/>
      </c>
      <c r="E78" s="10">
        <f>SUMIFS('Amex Transactions'!$G:$G,'Amex Transactions'!$C:$C,A78,'Amex Transactions'!$G:$G,"&gt;0")</f>
        <v/>
      </c>
      <c r="F78" s="11" t="n">
        <v>45777</v>
      </c>
      <c r="G78" s="10">
        <f>IF(COUNTIFS('Amex Transactions'!$C:$C,A78,'Amex Transactions'!$I:$I,"Check")&gt;0,"Check","")</f>
        <v/>
      </c>
    </row>
    <row r="79">
      <c r="A79" s="10" t="inlineStr">
        <is>
          <t>SUIT SUPPLY HK NHH LIMI HONG KONG</t>
        </is>
      </c>
      <c r="B79" s="10">
        <f>IFERROR(INDEX('Review Items'!$D:$D,MATCH(A79,'Review Items'!$B:$B,0)),IFERROR(INDEX('Rule Updates'!$B:$B,MATCH(A79,'Rule Updates'!$A:$A,0)),"Uncategorised"))</f>
        <v/>
      </c>
      <c r="C79" s="10">
        <f>IFERROR(INDEX('Review Items'!$E:$E,MATCH(A79,'Review Items'!$B:$B,0)),IFERROR(INDEX('Rule Updates'!$C:$C,MATCH(A79,'Rule Updates'!$A:$A,0)),"Review"))</f>
        <v/>
      </c>
      <c r="D79" s="10">
        <f>COUNTIF('Amex Transactions'!$C:$C,A79)</f>
        <v/>
      </c>
      <c r="E79" s="10">
        <f>SUMIFS('Amex Transactions'!$G:$G,'Amex Transactions'!$C:$C,A79,'Amex Transactions'!$G:$G,"&gt;0")</f>
        <v/>
      </c>
      <c r="F79" s="11" t="n">
        <v>45960</v>
      </c>
      <c r="G79" s="10">
        <f>IF(COUNTIFS('Amex Transactions'!$C:$C,A79,'Amex Transactions'!$I:$I,"Check")&gt;0,"Check","")</f>
        <v/>
      </c>
    </row>
    <row r="80">
      <c r="A80" s="10" t="inlineStr">
        <is>
          <t>SMCP UK LIMITED LONDON</t>
        </is>
      </c>
      <c r="B80" s="10">
        <f>IFERROR(INDEX('Review Items'!$D:$D,MATCH(A80,'Review Items'!$B:$B,0)),IFERROR(INDEX('Rule Updates'!$B:$B,MATCH(A80,'Rule Updates'!$A:$A,0)),"Uncategorised"))</f>
        <v/>
      </c>
      <c r="C80" s="10">
        <f>IFERROR(INDEX('Review Items'!$E:$E,MATCH(A80,'Review Items'!$B:$B,0)),IFERROR(INDEX('Rule Updates'!$C:$C,MATCH(A80,'Rule Updates'!$A:$A,0)),"Review"))</f>
        <v/>
      </c>
      <c r="D80" s="10">
        <f>COUNTIF('Amex Transactions'!$C:$C,A80)</f>
        <v/>
      </c>
      <c r="E80" s="10">
        <f>SUMIFS('Amex Transactions'!$G:$G,'Amex Transactions'!$C:$C,A80,'Amex Transactions'!$G:$G,"&gt;0")</f>
        <v/>
      </c>
      <c r="F80" s="11" t="n">
        <v>45751</v>
      </c>
      <c r="G80" s="10">
        <f>IF(COUNTIFS('Amex Transactions'!$C:$C,A80,'Amex Transactions'!$I:$I,"Check")&gt;0,"Check","")</f>
        <v/>
      </c>
    </row>
    <row r="81">
      <c r="A81" s="10" t="inlineStr">
        <is>
          <t>EIGHTH DAY SKINCA SANTA ANA</t>
        </is>
      </c>
      <c r="B81" s="10">
        <f>IFERROR(INDEX('Review Items'!$D:$D,MATCH(A81,'Review Items'!$B:$B,0)),IFERROR(INDEX('Rule Updates'!$B:$B,MATCH(A81,'Rule Updates'!$A:$A,0)),"Uncategorised"))</f>
        <v/>
      </c>
      <c r="C81" s="10">
        <f>IFERROR(INDEX('Review Items'!$E:$E,MATCH(A81,'Review Items'!$B:$B,0)),IFERROR(INDEX('Rule Updates'!$C:$C,MATCH(A81,'Rule Updates'!$A:$A,0)),"Review"))</f>
        <v/>
      </c>
      <c r="D81" s="10">
        <f>COUNTIF('Amex Transactions'!$C:$C,A81)</f>
        <v/>
      </c>
      <c r="E81" s="10">
        <f>SUMIFS('Amex Transactions'!$G:$G,'Amex Transactions'!$C:$C,A81,'Amex Transactions'!$G:$G,"&gt;0")</f>
        <v/>
      </c>
      <c r="F81" s="11" t="n">
        <v>45536</v>
      </c>
      <c r="G81" s="10">
        <f>IF(COUNTIFS('Amex Transactions'!$C:$C,A81,'Amex Transactions'!$I:$I,"Check")&gt;0,"Check","")</f>
        <v/>
      </c>
    </row>
    <row r="82">
      <c r="A82" s="10" t="inlineStr">
        <is>
          <t>Luke's Alpine Club meng tian jun</t>
        </is>
      </c>
      <c r="B82" s="10">
        <f>IFERROR(INDEX('Review Items'!$D:$D,MATCH(A82,'Review Items'!$B:$B,0)),IFERROR(INDEX('Rule Updates'!$B:$B,MATCH(A82,'Rule Updates'!$A:$A,0)),"Uncategorised"))</f>
        <v/>
      </c>
      <c r="C82" s="10">
        <f>IFERROR(INDEX('Review Items'!$E:$E,MATCH(A82,'Review Items'!$B:$B,0)),IFERROR(INDEX('Rule Updates'!$C:$C,MATCH(A82,'Rule Updates'!$A:$A,0)),"Review"))</f>
        <v/>
      </c>
      <c r="D82" s="10">
        <f>COUNTIF('Amex Transactions'!$C:$C,A82)</f>
        <v/>
      </c>
      <c r="E82" s="10">
        <f>SUMIFS('Amex Transactions'!$G:$G,'Amex Transactions'!$C:$C,A82,'Amex Transactions'!$G:$G,"&gt;0")</f>
        <v/>
      </c>
      <c r="F82" s="11" t="n">
        <v>45728</v>
      </c>
      <c r="G82" s="10">
        <f>IF(COUNTIFS('Amex Transactions'!$C:$C,A82,'Amex Transactions'!$I:$I,"Check")&gt;0,"Check","")</f>
        <v/>
      </c>
    </row>
    <row r="83">
      <c r="A83" s="10" t="inlineStr">
        <is>
          <t>REGENT HK STEAKHOUSE TSI MSHATSUI</t>
        </is>
      </c>
      <c r="B83" s="10">
        <f>IFERROR(INDEX('Review Items'!$D:$D,MATCH(A83,'Review Items'!$B:$B,0)),IFERROR(INDEX('Rule Updates'!$B:$B,MATCH(A83,'Rule Updates'!$A:$A,0)),"Uncategorised"))</f>
        <v/>
      </c>
      <c r="C83" s="10">
        <f>IFERROR(INDEX('Review Items'!$E:$E,MATCH(A83,'Review Items'!$B:$B,0)),IFERROR(INDEX('Rule Updates'!$C:$C,MATCH(A83,'Rule Updates'!$A:$A,0)),"Review"))</f>
        <v/>
      </c>
      <c r="D83" s="10">
        <f>COUNTIF('Amex Transactions'!$C:$C,A83)</f>
        <v/>
      </c>
      <c r="E83" s="10">
        <f>SUMIFS('Amex Transactions'!$G:$G,'Amex Transactions'!$C:$C,A83,'Amex Transactions'!$G:$G,"&gt;0")</f>
        <v/>
      </c>
      <c r="F83" s="11" t="n">
        <v>46002</v>
      </c>
      <c r="G83" s="10">
        <f>IF(COUNTIFS('Amex Transactions'!$C:$C,A83,'Amex Transactions'!$I:$I,"Check")&gt;0,"Check","")</f>
        <v/>
      </c>
    </row>
    <row r="84">
      <c r="A84" s="10" t="inlineStr">
        <is>
          <t>G.HEYWOOD HILL LTD LONDON</t>
        </is>
      </c>
      <c r="B84" s="10">
        <f>IFERROR(INDEX('Review Items'!$D:$D,MATCH(A84,'Review Items'!$B:$B,0)),IFERROR(INDEX('Rule Updates'!$B:$B,MATCH(A84,'Rule Updates'!$A:$A,0)),"Uncategorised"))</f>
        <v/>
      </c>
      <c r="C84" s="10">
        <f>IFERROR(INDEX('Review Items'!$E:$E,MATCH(A84,'Review Items'!$B:$B,0)),IFERROR(INDEX('Rule Updates'!$C:$C,MATCH(A84,'Rule Updates'!$A:$A,0)),"Review"))</f>
        <v/>
      </c>
      <c r="D84" s="10">
        <f>COUNTIF('Amex Transactions'!$C:$C,A84)</f>
        <v/>
      </c>
      <c r="E84" s="10">
        <f>SUMIFS('Amex Transactions'!$G:$G,'Amex Transactions'!$C:$C,A84,'Amex Transactions'!$G:$G,"&gt;0")</f>
        <v/>
      </c>
      <c r="F84" s="11" t="n">
        <v>45654</v>
      </c>
      <c r="G84" s="10">
        <f>IF(COUNTIFS('Amex Transactions'!$C:$C,A84,'Amex Transactions'!$I:$I,"Check")&gt;0,"Check","")</f>
        <v/>
      </c>
    </row>
    <row r="85">
      <c r="A85" s="10" t="inlineStr">
        <is>
          <t>GLO BAL-E * BSIDES JEANS LONDON</t>
        </is>
      </c>
      <c r="B85" s="10">
        <f>IFERROR(INDEX('Review Items'!$D:$D,MATCH(A85,'Review Items'!$B:$B,0)),IFERROR(INDEX('Rule Updates'!$B:$B,MATCH(A85,'Rule Updates'!$A:$A,0)),"Uncategorised"))</f>
        <v/>
      </c>
      <c r="C85" s="10">
        <f>IFERROR(INDEX('Review Items'!$E:$E,MATCH(A85,'Review Items'!$B:$B,0)),IFERROR(INDEX('Rule Updates'!$C:$C,MATCH(A85,'Rule Updates'!$A:$A,0)),"Review"))</f>
        <v/>
      </c>
      <c r="D85" s="10">
        <f>COUNTIF('Amex Transactions'!$C:$C,A85)</f>
        <v/>
      </c>
      <c r="E85" s="10">
        <f>SUMIFS('Amex Transactions'!$G:$G,'Amex Transactions'!$C:$C,A85,'Amex Transactions'!$G:$G,"&gt;0")</f>
        <v/>
      </c>
      <c r="F85" s="11" t="n">
        <v>45986</v>
      </c>
      <c r="G85" s="10">
        <f>IF(COUNTIFS('Amex Transactions'!$C:$C,A85,'Amex Transactions'!$I:$I,"Check")&gt;0,"Check","")</f>
        <v/>
      </c>
    </row>
    <row r="86">
      <c r="A86" s="10" t="inlineStr">
        <is>
          <t>RESTAURANTE NUDO 367354 SANT CARLESD</t>
        </is>
      </c>
      <c r="B86" s="10">
        <f>IFERROR(INDEX('Review Items'!$D:$D,MATCH(A86,'Review Items'!$B:$B,0)),IFERROR(INDEX('Rule Updates'!$B:$B,MATCH(A86,'Rule Updates'!$A:$A,0)),"Uncategorised"))</f>
        <v/>
      </c>
      <c r="C86" s="10">
        <f>IFERROR(INDEX('Review Items'!$E:$E,MATCH(A86,'Review Items'!$B:$B,0)),IFERROR(INDEX('Rule Updates'!$C:$C,MATCH(A86,'Rule Updates'!$A:$A,0)),"Review"))</f>
        <v/>
      </c>
      <c r="D86" s="10">
        <f>COUNTIF('Amex Transactions'!$C:$C,A86)</f>
        <v/>
      </c>
      <c r="E86" s="10">
        <f>SUMIFS('Amex Transactions'!$G:$G,'Amex Transactions'!$C:$C,A86,'Amex Transactions'!$G:$G,"&gt;0")</f>
        <v/>
      </c>
      <c r="F86" s="11" t="n">
        <v>45835</v>
      </c>
      <c r="G86" s="10">
        <f>IF(COUNTIFS('Amex Transactions'!$C:$C,A86,'Amex Transactions'!$I:$I,"Check")&gt;0,"Check","")</f>
        <v/>
      </c>
    </row>
    <row r="87">
      <c r="A87" s="10" t="inlineStr">
        <is>
          <t>skPinx Go l f C l u b J E J U-DO</t>
        </is>
      </c>
      <c r="B87" s="10">
        <f>IFERROR(INDEX('Review Items'!$D:$D,MATCH(A87,'Review Items'!$B:$B,0)),IFERROR(INDEX('Rule Updates'!$B:$B,MATCH(A87,'Rule Updates'!$A:$A,0)),"Uncategorised"))</f>
        <v/>
      </c>
      <c r="C87" s="10">
        <f>IFERROR(INDEX('Review Items'!$E:$E,MATCH(A87,'Review Items'!$B:$B,0)),IFERROR(INDEX('Rule Updates'!$C:$C,MATCH(A87,'Rule Updates'!$A:$A,0)),"Review"))</f>
        <v/>
      </c>
      <c r="D87" s="10">
        <f>COUNTIF('Amex Transactions'!$C:$C,A87)</f>
        <v/>
      </c>
      <c r="E87" s="10">
        <f>SUMIFS('Amex Transactions'!$G:$G,'Amex Transactions'!$C:$C,A87,'Amex Transactions'!$G:$G,"&gt;0")</f>
        <v/>
      </c>
      <c r="F87" s="11" t="n">
        <v>45973</v>
      </c>
      <c r="G87" s="10">
        <f>IF(COUNTIFS('Amex Transactions'!$C:$C,A87,'Amex Transactions'!$I:$I,"Check")&gt;0,"Check","")</f>
        <v/>
      </c>
    </row>
    <row r="88">
      <c r="A88" s="10" t="inlineStr">
        <is>
          <t>RACINES SHEUNG WAN</t>
        </is>
      </c>
      <c r="B88" s="10">
        <f>IFERROR(INDEX('Review Items'!$D:$D,MATCH(A88,'Review Items'!$B:$B,0)),IFERROR(INDEX('Rule Updates'!$B:$B,MATCH(A88,'Rule Updates'!$A:$A,0)),"Uncategorised"))</f>
        <v/>
      </c>
      <c r="C88" s="10">
        <f>IFERROR(INDEX('Review Items'!$E:$E,MATCH(A88,'Review Items'!$B:$B,0)),IFERROR(INDEX('Rule Updates'!$C:$C,MATCH(A88,'Rule Updates'!$A:$A,0)),"Review"))</f>
        <v/>
      </c>
      <c r="D88" s="10">
        <f>COUNTIF('Amex Transactions'!$C:$C,A88)</f>
        <v/>
      </c>
      <c r="E88" s="10">
        <f>SUMIFS('Amex Transactions'!$G:$G,'Amex Transactions'!$C:$C,A88,'Amex Transactions'!$G:$G,"&gt;0")</f>
        <v/>
      </c>
      <c r="F88" s="11" t="n">
        <v>45637</v>
      </c>
      <c r="G88" s="10">
        <f>IF(COUNTIFS('Amex Transactions'!$C:$C,A88,'Amex Transactions'!$I:$I,"Check")&gt;0,"Check","")</f>
        <v/>
      </c>
    </row>
    <row r="89">
      <c r="A89" s="10" t="inlineStr">
        <is>
          <t>SP VIOLETGREYSTORE WILMINGTON</t>
        </is>
      </c>
      <c r="B89" s="10">
        <f>IFERROR(INDEX('Review Items'!$D:$D,MATCH(A89,'Review Items'!$B:$B,0)),IFERROR(INDEX('Rule Updates'!$B:$B,MATCH(A89,'Rule Updates'!$A:$A,0)),"Uncategorised"))</f>
        <v/>
      </c>
      <c r="C89" s="10">
        <f>IFERROR(INDEX('Review Items'!$E:$E,MATCH(A89,'Review Items'!$B:$B,0)),IFERROR(INDEX('Rule Updates'!$C:$C,MATCH(A89,'Rule Updates'!$A:$A,0)),"Review"))</f>
        <v/>
      </c>
      <c r="D89" s="10">
        <f>COUNTIF('Amex Transactions'!$C:$C,A89)</f>
        <v/>
      </c>
      <c r="E89" s="10">
        <f>SUMIFS('Amex Transactions'!$G:$G,'Amex Transactions'!$C:$C,A89,'Amex Transactions'!$G:$G,"&gt;0")</f>
        <v/>
      </c>
      <c r="F89" s="11" t="n">
        <v>45901</v>
      </c>
      <c r="G89" s="10">
        <f>IF(COUNTIFS('Amex Transactions'!$C:$C,A89,'Amex Transactions'!$I:$I,"Check")&gt;0,"Check","")</f>
        <v/>
      </c>
    </row>
    <row r="90">
      <c r="A90" s="10" t="inlineStr">
        <is>
          <t>GARRAFEIRA NACIONAL LISBOA</t>
        </is>
      </c>
      <c r="B90" s="10">
        <f>IFERROR(INDEX('Review Items'!$D:$D,MATCH(A90,'Review Items'!$B:$B,0)),IFERROR(INDEX('Rule Updates'!$B:$B,MATCH(A90,'Rule Updates'!$A:$A,0)),"Uncategorised"))</f>
        <v/>
      </c>
      <c r="C90" s="10">
        <f>IFERROR(INDEX('Review Items'!$E:$E,MATCH(A90,'Review Items'!$B:$B,0)),IFERROR(INDEX('Rule Updates'!$C:$C,MATCH(A90,'Rule Updates'!$A:$A,0)),"Review"))</f>
        <v/>
      </c>
      <c r="D90" s="10">
        <f>COUNTIF('Amex Transactions'!$C:$C,A90)</f>
        <v/>
      </c>
      <c r="E90" s="10">
        <f>SUMIFS('Amex Transactions'!$G:$G,'Amex Transactions'!$C:$C,A90,'Amex Transactions'!$G:$G,"&gt;0")</f>
        <v/>
      </c>
      <c r="F90" s="11" t="n">
        <v>45750</v>
      </c>
      <c r="G90" s="10">
        <f>IF(COUNTIFS('Amex Transactions'!$C:$C,A90,'Amex Transactions'!$I:$I,"Check")&gt;0,"Check","")</f>
        <v/>
      </c>
    </row>
    <row r="91">
      <c r="A91" s="10" t="inlineStr">
        <is>
          <t>RIMOWA - ECOMMERCE 832 DALLAS</t>
        </is>
      </c>
      <c r="B91" s="10">
        <f>IFERROR(INDEX('Review Items'!$D:$D,MATCH(A91,'Review Items'!$B:$B,0)),IFERROR(INDEX('Rule Updates'!$B:$B,MATCH(A91,'Rule Updates'!$A:$A,0)),"Uncategorised"))</f>
        <v/>
      </c>
      <c r="C91" s="10">
        <f>IFERROR(INDEX('Review Items'!$E:$E,MATCH(A91,'Review Items'!$B:$B,0)),IFERROR(INDEX('Rule Updates'!$C:$C,MATCH(A91,'Rule Updates'!$A:$A,0)),"Review"))</f>
        <v/>
      </c>
      <c r="D91" s="10">
        <f>COUNTIF('Amex Transactions'!$C:$C,A91)</f>
        <v/>
      </c>
      <c r="E91" s="10">
        <f>SUMIFS('Amex Transactions'!$G:$G,'Amex Transactions'!$C:$C,A91,'Amex Transactions'!$G:$G,"&gt;0")</f>
        <v/>
      </c>
      <c r="F91" s="11" t="n">
        <v>45808</v>
      </c>
      <c r="G91" s="10">
        <f>IF(COUNTIFS('Amex Transactions'!$C:$C,A91,'Amex Transactions'!$I:$I,"Check")&gt;0,"Check","")</f>
        <v/>
      </c>
    </row>
    <row r="92">
      <c r="A92" s="10" t="inlineStr">
        <is>
          <t>THE MANDARIN SALON CENTRAL</t>
        </is>
      </c>
      <c r="B92" s="10">
        <f>IFERROR(INDEX('Review Items'!$D:$D,MATCH(A92,'Review Items'!$B:$B,0)),IFERROR(INDEX('Rule Updates'!$B:$B,MATCH(A92,'Rule Updates'!$A:$A,0)),"Uncategorised"))</f>
        <v/>
      </c>
      <c r="C92" s="10">
        <f>IFERROR(INDEX('Review Items'!$E:$E,MATCH(A92,'Review Items'!$B:$B,0)),IFERROR(INDEX('Rule Updates'!$C:$C,MATCH(A92,'Rule Updates'!$A:$A,0)),"Review"))</f>
        <v/>
      </c>
      <c r="D92" s="10">
        <f>COUNTIF('Amex Transactions'!$C:$C,A92)</f>
        <v/>
      </c>
      <c r="E92" s="10">
        <f>SUMIFS('Amex Transactions'!$G:$G,'Amex Transactions'!$C:$C,A92,'Amex Transactions'!$G:$G,"&gt;0")</f>
        <v/>
      </c>
      <c r="F92" s="11" t="n">
        <v>46105</v>
      </c>
      <c r="G92" s="10">
        <f>IF(COUNTIFS('Amex Transactions'!$C:$C,A92,'Amex Transactions'!$I:$I,"Check")&gt;0,"Check","")</f>
        <v/>
      </c>
    </row>
    <row r="93">
      <c r="A93" s="10" t="inlineStr">
        <is>
          <t>ERES FASHION UK LTD LONDON</t>
        </is>
      </c>
      <c r="B93" s="10">
        <f>IFERROR(INDEX('Review Items'!$D:$D,MATCH(A93,'Review Items'!$B:$B,0)),IFERROR(INDEX('Rule Updates'!$B:$B,MATCH(A93,'Rule Updates'!$A:$A,0)),"Uncategorised"))</f>
        <v/>
      </c>
      <c r="C93" s="10">
        <f>IFERROR(INDEX('Review Items'!$E:$E,MATCH(A93,'Review Items'!$B:$B,0)),IFERROR(INDEX('Rule Updates'!$C:$C,MATCH(A93,'Rule Updates'!$A:$A,0)),"Review"))</f>
        <v/>
      </c>
      <c r="D93" s="10">
        <f>COUNTIF('Amex Transactions'!$C:$C,A93)</f>
        <v/>
      </c>
      <c r="E93" s="10">
        <f>SUMIFS('Amex Transactions'!$G:$G,'Amex Transactions'!$C:$C,A93,'Amex Transactions'!$G:$G,"&gt;0")</f>
        <v/>
      </c>
      <c r="F93" s="11" t="n">
        <v>45819</v>
      </c>
      <c r="G93" s="10">
        <f>IF(COUNTIFS('Amex Transactions'!$C:$C,A93,'Amex Transactions'!$I:$I,"Check")&gt;0,"Check","")</f>
        <v/>
      </c>
    </row>
    <row r="94">
      <c r="A94" s="10" t="inlineStr">
        <is>
          <t>NANZENJI OGATA KYOTO</t>
        </is>
      </c>
      <c r="B94" s="10">
        <f>IFERROR(INDEX('Review Items'!$D:$D,MATCH(A94,'Review Items'!$B:$B,0)),IFERROR(INDEX('Rule Updates'!$B:$B,MATCH(A94,'Rule Updates'!$A:$A,0)),"Uncategorised"))</f>
        <v/>
      </c>
      <c r="C94" s="10">
        <f>IFERROR(INDEX('Review Items'!$E:$E,MATCH(A94,'Review Items'!$B:$B,0)),IFERROR(INDEX('Rule Updates'!$C:$C,MATCH(A94,'Rule Updates'!$A:$A,0)),"Review"))</f>
        <v/>
      </c>
      <c r="D94" s="10">
        <f>COUNTIF('Amex Transactions'!$C:$C,A94)</f>
        <v/>
      </c>
      <c r="E94" s="10">
        <f>SUMIFS('Amex Transactions'!$G:$G,'Amex Transactions'!$C:$C,A94,'Amex Transactions'!$G:$G,"&gt;0")</f>
        <v/>
      </c>
      <c r="F94" s="11" t="n">
        <v>45640</v>
      </c>
      <c r="G94" s="10">
        <f>IF(COUNTIFS('Amex Transactions'!$C:$C,A94,'Amex Transactions'!$I:$I,"Check")&gt;0,"Check","")</f>
        <v/>
      </c>
    </row>
    <row r="95">
      <c r="A95" s="10" t="inlineStr">
        <is>
          <t>SP FARM RIO LONDON</t>
        </is>
      </c>
      <c r="B95" s="10">
        <f>IFERROR(INDEX('Review Items'!$D:$D,MATCH(A95,'Review Items'!$B:$B,0)),IFERROR(INDEX('Rule Updates'!$B:$B,MATCH(A95,'Rule Updates'!$A:$A,0)),"Uncategorised"))</f>
        <v/>
      </c>
      <c r="C95" s="10">
        <f>IFERROR(INDEX('Review Items'!$E:$E,MATCH(A95,'Review Items'!$B:$B,0)),IFERROR(INDEX('Rule Updates'!$C:$C,MATCH(A95,'Rule Updates'!$A:$A,0)),"Review"))</f>
        <v/>
      </c>
      <c r="D95" s="10">
        <f>COUNTIF('Amex Transactions'!$C:$C,A95)</f>
        <v/>
      </c>
      <c r="E95" s="10">
        <f>SUMIFS('Amex Transactions'!$G:$G,'Amex Transactions'!$C:$C,A95,'Amex Transactions'!$G:$G,"&gt;0")</f>
        <v/>
      </c>
      <c r="F95" s="11" t="n">
        <v>45751</v>
      </c>
      <c r="G95" s="10">
        <f>IF(COUNTIFS('Amex Transactions'!$C:$C,A95,'Amex Transactions'!$I:$I,"Check")&gt;0,"Check","")</f>
        <v/>
      </c>
    </row>
    <row r="96">
      <c r="A96" s="10" t="inlineStr">
        <is>
          <t>FOUR SEASONS RESORT LOS LOS CA BOS</t>
        </is>
      </c>
      <c r="B96" s="10">
        <f>IFERROR(INDEX('Review Items'!$D:$D,MATCH(A96,'Review Items'!$B:$B,0)),IFERROR(INDEX('Rule Updates'!$B:$B,MATCH(A96,'Rule Updates'!$A:$A,0)),"Uncategorised"))</f>
        <v/>
      </c>
      <c r="C96" s="10">
        <f>IFERROR(INDEX('Review Items'!$E:$E,MATCH(A96,'Review Items'!$B:$B,0)),IFERROR(INDEX('Rule Updates'!$C:$C,MATCH(A96,'Rule Updates'!$A:$A,0)),"Review"))</f>
        <v/>
      </c>
      <c r="D96" s="10">
        <f>COUNTIF('Amex Transactions'!$C:$C,A96)</f>
        <v/>
      </c>
      <c r="E96" s="10">
        <f>SUMIFS('Amex Transactions'!$G:$G,'Amex Transactions'!$C:$C,A96,'Amex Transactions'!$G:$G,"&gt;0")</f>
        <v/>
      </c>
      <c r="F96" s="11" t="n">
        <v>45957</v>
      </c>
      <c r="G96" s="10">
        <f>IF(COUNTIFS('Amex Transactions'!$C:$C,A96,'Amex Transactions'!$I:$I,"Check")&gt;0,"Check","")</f>
        <v/>
      </c>
    </row>
    <row r="97">
      <c r="A97" s="10" t="inlineStr">
        <is>
          <t>BB MSL * FLE XSTUDIO HK</t>
        </is>
      </c>
      <c r="B97" s="10">
        <f>IFERROR(INDEX('Review Items'!$D:$D,MATCH(A97,'Review Items'!$B:$B,0)),IFERROR(INDEX('Rule Updates'!$B:$B,MATCH(A97,'Rule Updates'!$A:$A,0)),"Uncategorised"))</f>
        <v/>
      </c>
      <c r="C97" s="10">
        <f>IFERROR(INDEX('Review Items'!$E:$E,MATCH(A97,'Review Items'!$B:$B,0)),IFERROR(INDEX('Rule Updates'!$C:$C,MATCH(A97,'Rule Updates'!$A:$A,0)),"Review"))</f>
        <v/>
      </c>
      <c r="D97" s="10">
        <f>COUNTIF('Amex Transactions'!$C:$C,A97)</f>
        <v/>
      </c>
      <c r="E97" s="10">
        <f>SUMIFS('Amex Transactions'!$G:$G,'Amex Transactions'!$C:$C,A97,'Amex Transactions'!$G:$G,"&gt;0")</f>
        <v/>
      </c>
      <c r="F97" s="11" t="n">
        <v>45939</v>
      </c>
      <c r="G97" s="10">
        <f>IF(COUNTIFS('Amex Transactions'!$C:$C,A97,'Amex Transactions'!$I:$I,"Check")&gt;0,"Check","")</f>
        <v/>
      </c>
    </row>
    <row r="98">
      <c r="A98" s="10" t="inlineStr">
        <is>
          <t>XIAN JING FU YUAN CAN YSHANGHAI</t>
        </is>
      </c>
      <c r="B98" s="10">
        <f>IFERROR(INDEX('Review Items'!$D:$D,MATCH(A98,'Review Items'!$B:$B,0)),IFERROR(INDEX('Rule Updates'!$B:$B,MATCH(A98,'Rule Updates'!$A:$A,0)),"Uncategorised"))</f>
        <v/>
      </c>
      <c r="C98" s="10">
        <f>IFERROR(INDEX('Review Items'!$E:$E,MATCH(A98,'Review Items'!$B:$B,0)),IFERROR(INDEX('Rule Updates'!$C:$C,MATCH(A98,'Rule Updates'!$A:$A,0)),"Review"))</f>
        <v/>
      </c>
      <c r="D98" s="10">
        <f>COUNTIF('Amex Transactions'!$C:$C,A98)</f>
        <v/>
      </c>
      <c r="E98" s="10">
        <f>SUMIFS('Amex Transactions'!$G:$G,'Amex Transactions'!$C:$C,A98,'Amex Transactions'!$G:$G,"&gt;0")</f>
        <v/>
      </c>
      <c r="F98" s="11" t="n">
        <v>46033</v>
      </c>
      <c r="G98" s="10">
        <f>IF(COUNTIFS('Amex Transactions'!$C:$C,A98,'Amex Transactions'!$I:$I,"Check")&gt;0,"Check","")</f>
        <v/>
      </c>
    </row>
    <row r="99">
      <c r="A99" s="10" t="inlineStr">
        <is>
          <t>SP TOAST UK LONDON</t>
        </is>
      </c>
      <c r="B99" s="10">
        <f>IFERROR(INDEX('Review Items'!$D:$D,MATCH(A99,'Review Items'!$B:$B,0)),IFERROR(INDEX('Rule Updates'!$B:$B,MATCH(A99,'Rule Updates'!$A:$A,0)),"Uncategorised"))</f>
        <v/>
      </c>
      <c r="C99" s="10">
        <f>IFERROR(INDEX('Review Items'!$E:$E,MATCH(A99,'Review Items'!$B:$B,0)),IFERROR(INDEX('Rule Updates'!$C:$C,MATCH(A99,'Rule Updates'!$A:$A,0)),"Review"))</f>
        <v/>
      </c>
      <c r="D99" s="10">
        <f>COUNTIF('Amex Transactions'!$C:$C,A99)</f>
        <v/>
      </c>
      <c r="E99" s="10">
        <f>SUMIFS('Amex Transactions'!$G:$G,'Amex Transactions'!$C:$C,A99,'Amex Transactions'!$G:$G,"&gt;0")</f>
        <v/>
      </c>
      <c r="F99" s="11" t="n">
        <v>45799</v>
      </c>
      <c r="G99" s="10">
        <f>IF(COUNTIFS('Amex Transactions'!$C:$C,A99,'Amex Transactions'!$I:$I,"Check")&gt;0,"Check","")</f>
        <v/>
      </c>
    </row>
    <row r="100">
      <c r="A100" s="10" t="inlineStr">
        <is>
          <t>CLARINS LIMITED CENTRAL</t>
        </is>
      </c>
      <c r="B100" s="10">
        <f>IFERROR(INDEX('Review Items'!$D:$D,MATCH(A100,'Review Items'!$B:$B,0)),IFERROR(INDEX('Rule Updates'!$B:$B,MATCH(A100,'Rule Updates'!$A:$A,0)),"Uncategorised"))</f>
        <v/>
      </c>
      <c r="C100" s="10">
        <f>IFERROR(INDEX('Review Items'!$E:$E,MATCH(A100,'Review Items'!$B:$B,0)),IFERROR(INDEX('Rule Updates'!$C:$C,MATCH(A100,'Rule Updates'!$A:$A,0)),"Review"))</f>
        <v/>
      </c>
      <c r="D100" s="10">
        <f>COUNTIF('Amex Transactions'!$C:$C,A100)</f>
        <v/>
      </c>
      <c r="E100" s="10">
        <f>SUMIFS('Amex Transactions'!$G:$G,'Amex Transactions'!$C:$C,A100,'Amex Transactions'!$G:$G,"&gt;0")</f>
        <v/>
      </c>
      <c r="F100" s="11" t="n">
        <v>45944</v>
      </c>
      <c r="G100" s="10">
        <f>IF(COUNTIFS('Amex Transactions'!$C:$C,A100,'Amex Transactions'!$I:$I,"Check")&gt;0,"Check","")</f>
        <v/>
      </c>
    </row>
    <row r="101">
      <c r="A101" s="10" t="inlineStr">
        <is>
          <t>5 HERTFORD STREET LIMIT LONDON</t>
        </is>
      </c>
      <c r="B101" s="10">
        <f>IFERROR(INDEX('Review Items'!$D:$D,MATCH(A101,'Review Items'!$B:$B,0)),IFERROR(INDEX('Rule Updates'!$B:$B,MATCH(A101,'Rule Updates'!$A:$A,0)),"Uncategorised"))</f>
        <v/>
      </c>
      <c r="C101" s="10">
        <f>IFERROR(INDEX('Review Items'!$E:$E,MATCH(A101,'Review Items'!$B:$B,0)),IFERROR(INDEX('Rule Updates'!$C:$C,MATCH(A101,'Rule Updates'!$A:$A,0)),"Review"))</f>
        <v/>
      </c>
      <c r="D101" s="10">
        <f>COUNTIF('Amex Transactions'!$C:$C,A101)</f>
        <v/>
      </c>
      <c r="E101" s="10">
        <f>SUMIFS('Amex Transactions'!$G:$G,'Amex Transactions'!$C:$C,A101,'Amex Transactions'!$G:$G,"&gt;0")</f>
        <v/>
      </c>
      <c r="F101" s="11" t="n">
        <v>45819</v>
      </c>
      <c r="G101" s="10">
        <f>IF(COUNTIFS('Amex Transactions'!$C:$C,A101,'Amex Transactions'!$I:$I,"Check")&gt;0,"Check","")</f>
        <v/>
      </c>
    </row>
    <row r="102">
      <c r="A102" s="10" t="inlineStr">
        <is>
          <t>LIU YUAN PAVILION WAN CHAI</t>
        </is>
      </c>
      <c r="B102" s="10">
        <f>IFERROR(INDEX('Review Items'!$D:$D,MATCH(A102,'Review Items'!$B:$B,0)),IFERROR(INDEX('Rule Updates'!$B:$B,MATCH(A102,'Rule Updates'!$A:$A,0)),"Uncategorised"))</f>
        <v/>
      </c>
      <c r="C102" s="10">
        <f>IFERROR(INDEX('Review Items'!$E:$E,MATCH(A102,'Review Items'!$B:$B,0)),IFERROR(INDEX('Rule Updates'!$C:$C,MATCH(A102,'Rule Updates'!$A:$A,0)),"Review"))</f>
        <v/>
      </c>
      <c r="D102" s="10">
        <f>COUNTIF('Amex Transactions'!$C:$C,A102)</f>
        <v/>
      </c>
      <c r="E102" s="10">
        <f>SUMIFS('Amex Transactions'!$G:$G,'Amex Transactions'!$C:$C,A102,'Amex Transactions'!$G:$G,"&gt;0")</f>
        <v/>
      </c>
      <c r="F102" s="11" t="n">
        <v>46000</v>
      </c>
      <c r="G102" s="10">
        <f>IF(COUNTIFS('Amex Transactions'!$C:$C,A102,'Amex Transactions'!$I:$I,"Check")&gt;0,"Check","")</f>
        <v/>
      </c>
    </row>
    <row r="103">
      <c r="A103" s="10" t="inlineStr">
        <is>
          <t>52 GAGE CENTRAL</t>
        </is>
      </c>
      <c r="B103" s="10">
        <f>IFERROR(INDEX('Review Items'!$D:$D,MATCH(A103,'Review Items'!$B:$B,0)),IFERROR(INDEX('Rule Updates'!$B:$B,MATCH(A103,'Rule Updates'!$A:$A,0)),"Uncategorised"))</f>
        <v/>
      </c>
      <c r="C103" s="10">
        <f>IFERROR(INDEX('Review Items'!$E:$E,MATCH(A103,'Review Items'!$B:$B,0)),IFERROR(INDEX('Rule Updates'!$C:$C,MATCH(A103,'Rule Updates'!$A:$A,0)),"Review"))</f>
        <v/>
      </c>
      <c r="D103" s="10">
        <f>COUNTIF('Amex Transactions'!$C:$C,A103)</f>
        <v/>
      </c>
      <c r="E103" s="10">
        <f>SUMIFS('Amex Transactions'!$G:$G,'Amex Transactions'!$C:$C,A103,'Amex Transactions'!$G:$G,"&gt;0")</f>
        <v/>
      </c>
      <c r="F103" s="11" t="n">
        <v>45669</v>
      </c>
      <c r="G103" s="10">
        <f>IF(COUNTIFS('Amex Transactions'!$C:$C,A103,'Amex Transactions'!$I:$I,"Check")&gt;0,"Check","")</f>
        <v/>
      </c>
    </row>
    <row r="104">
      <c r="A104" s="10" t="inlineStr">
        <is>
          <t>SHSSFSCYGLY XGS s ha n g ha i</t>
        </is>
      </c>
      <c r="B104" s="10">
        <f>IFERROR(INDEX('Review Items'!$D:$D,MATCH(A104,'Review Items'!$B:$B,0)),IFERROR(INDEX('Rule Updates'!$B:$B,MATCH(A104,'Rule Updates'!$A:$A,0)),"Uncategorised"))</f>
        <v/>
      </c>
      <c r="C104" s="10">
        <f>IFERROR(INDEX('Review Items'!$E:$E,MATCH(A104,'Review Items'!$B:$B,0)),IFERROR(INDEX('Rule Updates'!$C:$C,MATCH(A104,'Rule Updates'!$A:$A,0)),"Review"))</f>
        <v/>
      </c>
      <c r="D104" s="10">
        <f>COUNTIF('Amex Transactions'!$C:$C,A104)</f>
        <v/>
      </c>
      <c r="E104" s="10">
        <f>SUMIFS('Amex Transactions'!$G:$G,'Amex Transactions'!$C:$C,A104,'Amex Transactions'!$G:$G,"&gt;0")</f>
        <v/>
      </c>
      <c r="F104" s="11" t="n">
        <v>46032</v>
      </c>
      <c r="G104" s="10">
        <f>IF(COUNTIFS('Amex Transactions'!$C:$C,A104,'Amex Transactions'!$I:$I,"Check")&gt;0,"Check","")</f>
        <v/>
      </c>
    </row>
    <row r="105">
      <c r="A105" s="10" t="inlineStr">
        <is>
          <t>THE NEWT IN SOMERSET SOMERSET</t>
        </is>
      </c>
      <c r="B105" s="10">
        <f>IFERROR(INDEX('Review Items'!$D:$D,MATCH(A105,'Review Items'!$B:$B,0)),IFERROR(INDEX('Rule Updates'!$B:$B,MATCH(A105,'Rule Updates'!$A:$A,0)),"Uncategorised"))</f>
        <v/>
      </c>
      <c r="C105" s="10">
        <f>IFERROR(INDEX('Review Items'!$E:$E,MATCH(A105,'Review Items'!$B:$B,0)),IFERROR(INDEX('Rule Updates'!$C:$C,MATCH(A105,'Rule Updates'!$A:$A,0)),"Review"))</f>
        <v/>
      </c>
      <c r="D105" s="10">
        <f>COUNTIF('Amex Transactions'!$C:$C,A105)</f>
        <v/>
      </c>
      <c r="E105" s="10">
        <f>SUMIFS('Amex Transactions'!$G:$G,'Amex Transactions'!$C:$C,A105,'Amex Transactions'!$G:$G,"&gt;0")</f>
        <v/>
      </c>
      <c r="F105" s="11" t="n">
        <v>45745</v>
      </c>
      <c r="G105" s="10">
        <f>IF(COUNTIFS('Amex Transactions'!$C:$C,A105,'Amex Transactions'!$I:$I,"Check")&gt;0,"Check","")</f>
        <v/>
      </c>
    </row>
    <row r="106">
      <c r="A106" s="10" t="inlineStr">
        <is>
          <t>PUYI OPTICAL LIMITED CENTRAL</t>
        </is>
      </c>
      <c r="B106" s="10">
        <f>IFERROR(INDEX('Review Items'!$D:$D,MATCH(A106,'Review Items'!$B:$B,0)),IFERROR(INDEX('Rule Updates'!$B:$B,MATCH(A106,'Rule Updates'!$A:$A,0)),"Uncategorised"))</f>
        <v/>
      </c>
      <c r="C106" s="10">
        <f>IFERROR(INDEX('Review Items'!$E:$E,MATCH(A106,'Review Items'!$B:$B,0)),IFERROR(INDEX('Rule Updates'!$C:$C,MATCH(A106,'Rule Updates'!$A:$A,0)),"Review"))</f>
        <v/>
      </c>
      <c r="D106" s="10">
        <f>COUNTIF('Amex Transactions'!$C:$C,A106)</f>
        <v/>
      </c>
      <c r="E106" s="10">
        <f>SUMIFS('Amex Transactions'!$G:$G,'Amex Transactions'!$C:$C,A106,'Amex Transactions'!$G:$G,"&gt;0")</f>
        <v/>
      </c>
      <c r="F106" s="11" t="n">
        <v>45785</v>
      </c>
      <c r="G106" s="10">
        <f>IF(COUNTIFS('Amex Transactions'!$C:$C,A106,'Amex Transactions'!$I:$I,"Check")&gt;0,"Check","")</f>
        <v/>
      </c>
    </row>
    <row r="107">
      <c r="A107" s="10" t="inlineStr">
        <is>
          <t>KPAY*GALLERY TETE HONG HONG KONG</t>
        </is>
      </c>
      <c r="B107" s="10">
        <f>IFERROR(INDEX('Review Items'!$D:$D,MATCH(A107,'Review Items'!$B:$B,0)),IFERROR(INDEX('Rule Updates'!$B:$B,MATCH(A107,'Rule Updates'!$A:$A,0)),"Uncategorised"))</f>
        <v/>
      </c>
      <c r="C107" s="10">
        <f>IFERROR(INDEX('Review Items'!$E:$E,MATCH(A107,'Review Items'!$B:$B,0)),IFERROR(INDEX('Rule Updates'!$C:$C,MATCH(A107,'Rule Updates'!$A:$A,0)),"Review"))</f>
        <v/>
      </c>
      <c r="D107" s="10">
        <f>COUNTIF('Amex Transactions'!$C:$C,A107)</f>
        <v/>
      </c>
      <c r="E107" s="10">
        <f>SUMIFS('Amex Transactions'!$G:$G,'Amex Transactions'!$C:$C,A107,'Amex Transactions'!$G:$G,"&gt;0")</f>
        <v/>
      </c>
      <c r="F107" s="11" t="n">
        <v>46066</v>
      </c>
      <c r="G107" s="10">
        <f>IF(COUNTIFS('Amex Transactions'!$C:$C,A107,'Amex Transactions'!$I:$I,"Check")&gt;0,"Check","")</f>
        <v/>
      </c>
    </row>
    <row r="108">
      <c r="A108" s="10" t="inlineStr">
        <is>
          <t>ORIENTAL Club (HOTEL / LONDON</t>
        </is>
      </c>
      <c r="B108" s="10">
        <f>IFERROR(INDEX('Review Items'!$D:$D,MATCH(A108,'Review Items'!$B:$B,0)),IFERROR(INDEX('Rule Updates'!$B:$B,MATCH(A108,'Rule Updates'!$A:$A,0)),"Uncategorised"))</f>
        <v/>
      </c>
      <c r="C108" s="10">
        <f>IFERROR(INDEX('Review Items'!$E:$E,MATCH(A108,'Review Items'!$B:$B,0)),IFERROR(INDEX('Rule Updates'!$C:$C,MATCH(A108,'Rule Updates'!$A:$A,0)),"Review"))</f>
        <v/>
      </c>
      <c r="D108" s="10">
        <f>COUNTIF('Amex Transactions'!$C:$C,A108)</f>
        <v/>
      </c>
      <c r="E108" s="10">
        <f>SUMIFS('Amex Transactions'!$G:$G,'Amex Transactions'!$C:$C,A108,'Amex Transactions'!$G:$G,"&gt;0")</f>
        <v/>
      </c>
      <c r="F108" s="11" t="n">
        <v>45589</v>
      </c>
      <c r="G108" s="10">
        <f>IF(COUNTIFS('Amex Transactions'!$C:$C,A108,'Amex Transactions'!$I:$I,"Check")&gt;0,"Check","")</f>
        <v/>
      </c>
    </row>
    <row r="109">
      <c r="A109" s="10" t="inlineStr">
        <is>
          <t>Apple Store 9815038161 HongKong</t>
        </is>
      </c>
      <c r="B109" s="10">
        <f>IFERROR(INDEX('Review Items'!$D:$D,MATCH(A109,'Review Items'!$B:$B,0)),IFERROR(INDEX('Rule Updates'!$B:$B,MATCH(A109,'Rule Updates'!$A:$A,0)),"Uncategorised"))</f>
        <v/>
      </c>
      <c r="C109" s="10">
        <f>IFERROR(INDEX('Review Items'!$E:$E,MATCH(A109,'Review Items'!$B:$B,0)),IFERROR(INDEX('Rule Updates'!$C:$C,MATCH(A109,'Rule Updates'!$A:$A,0)),"Review"))</f>
        <v/>
      </c>
      <c r="D109" s="10">
        <f>COUNTIF('Amex Transactions'!$C:$C,A109)</f>
        <v/>
      </c>
      <c r="E109" s="10">
        <f>SUMIFS('Amex Transactions'!$G:$G,'Amex Transactions'!$C:$C,A109,'Amex Transactions'!$G:$G,"&gt;0")</f>
        <v/>
      </c>
      <c r="F109" s="11" t="n">
        <v>45781</v>
      </c>
      <c r="G109" s="10">
        <f>IF(COUNTIFS('Amex Transactions'!$C:$C,A109,'Amex Transactions'!$I:$I,"Check")&gt;0,"Check","")</f>
        <v/>
      </c>
    </row>
    <row r="110">
      <c r="A110" s="10" t="inlineStr">
        <is>
          <t>TABLECHECK ONLINE PAY TOKYO</t>
        </is>
      </c>
      <c r="B110" s="10">
        <f>IFERROR(INDEX('Review Items'!$D:$D,MATCH(A110,'Review Items'!$B:$B,0)),IFERROR(INDEX('Rule Updates'!$B:$B,MATCH(A110,'Rule Updates'!$A:$A,0)),"Uncategorised"))</f>
        <v/>
      </c>
      <c r="C110" s="10">
        <f>IFERROR(INDEX('Review Items'!$E:$E,MATCH(A110,'Review Items'!$B:$B,0)),IFERROR(INDEX('Rule Updates'!$C:$C,MATCH(A110,'Rule Updates'!$A:$A,0)),"Review"))</f>
        <v/>
      </c>
      <c r="D110" s="10">
        <f>COUNTIF('Amex Transactions'!$C:$C,A110)</f>
        <v/>
      </c>
      <c r="E110" s="10">
        <f>SUMIFS('Amex Transactions'!$G:$G,'Amex Transactions'!$C:$C,A110,'Amex Transactions'!$G:$G,"&gt;0")</f>
        <v/>
      </c>
      <c r="F110" s="11" t="n">
        <v>46059</v>
      </c>
      <c r="G110" s="10">
        <f>IF(COUNTIFS('Amex Transactions'!$C:$C,A110,'Amex Transactions'!$I:$I,"Check")&gt;0,"Check","")</f>
        <v/>
      </c>
    </row>
    <row r="111">
      <c r="A111" s="10" t="inlineStr">
        <is>
          <t>AMERICAN VINTAGE SIGNES</t>
        </is>
      </c>
      <c r="B111" s="10">
        <f>IFERROR(INDEX('Review Items'!$D:$D,MATCH(A111,'Review Items'!$B:$B,0)),IFERROR(INDEX('Rule Updates'!$B:$B,MATCH(A111,'Rule Updates'!$A:$A,0)),"Uncategorised"))</f>
        <v/>
      </c>
      <c r="C111" s="10">
        <f>IFERROR(INDEX('Review Items'!$E:$E,MATCH(A111,'Review Items'!$B:$B,0)),IFERROR(INDEX('Rule Updates'!$C:$C,MATCH(A111,'Rule Updates'!$A:$A,0)),"Review"))</f>
        <v/>
      </c>
      <c r="D111" s="10">
        <f>COUNTIF('Amex Transactions'!$C:$C,A111)</f>
        <v/>
      </c>
      <c r="E111" s="10">
        <f>SUMIFS('Amex Transactions'!$G:$G,'Amex Transactions'!$C:$C,A111,'Amex Transactions'!$G:$G,"&gt;0")</f>
        <v/>
      </c>
      <c r="F111" s="11" t="n">
        <v>45736</v>
      </c>
      <c r="G111" s="10">
        <f>IF(COUNTIFS('Amex Transactions'!$C:$C,A111,'Amex Transactions'!$I:$I,"Check")&gt;0,"Check","")</f>
        <v/>
      </c>
    </row>
    <row r="112">
      <c r="A112" s="10" t="inlineStr">
        <is>
          <t>SP SIRTHELA BEL.CO MTA MARAM A</t>
        </is>
      </c>
      <c r="B112" s="10">
        <f>IFERROR(INDEX('Review Items'!$D:$D,MATCH(A112,'Review Items'!$B:$B,0)),IFERROR(INDEX('Rule Updates'!$B:$B,MATCH(A112,'Rule Updates'!$A:$A,0)),"Uncategorised"))</f>
        <v/>
      </c>
      <c r="C112" s="10">
        <f>IFERROR(INDEX('Review Items'!$E:$E,MATCH(A112,'Review Items'!$B:$B,0)),IFERROR(INDEX('Rule Updates'!$C:$C,MATCH(A112,'Rule Updates'!$A:$A,0)),"Review"))</f>
        <v/>
      </c>
      <c r="D112" s="10">
        <f>COUNTIF('Amex Transactions'!$C:$C,A112)</f>
        <v/>
      </c>
      <c r="E112" s="10">
        <f>SUMIFS('Amex Transactions'!$G:$G,'Amex Transactions'!$C:$C,A112,'Amex Transactions'!$G:$G,"&gt;0")</f>
        <v/>
      </c>
      <c r="F112" s="11" t="n">
        <v>46013</v>
      </c>
      <c r="G112" s="10">
        <f>IF(COUNTIFS('Amex Transactions'!$C:$C,A112,'Amex Transactions'!$I:$I,"Check")&gt;0,"Check","")</f>
        <v/>
      </c>
    </row>
    <row r="113">
      <c r="A113" s="10" t="inlineStr">
        <is>
          <t>SEROJA SINGAPORE</t>
        </is>
      </c>
      <c r="B113" s="10">
        <f>IFERROR(INDEX('Review Items'!$D:$D,MATCH(A113,'Review Items'!$B:$B,0)),IFERROR(INDEX('Rule Updates'!$B:$B,MATCH(A113,'Rule Updates'!$A:$A,0)),"Uncategorised"))</f>
        <v/>
      </c>
      <c r="C113" s="10">
        <f>IFERROR(INDEX('Review Items'!$E:$E,MATCH(A113,'Review Items'!$B:$B,0)),IFERROR(INDEX('Rule Updates'!$C:$C,MATCH(A113,'Rule Updates'!$A:$A,0)),"Review"))</f>
        <v/>
      </c>
      <c r="D113" s="10">
        <f>COUNTIF('Amex Transactions'!$C:$C,A113)</f>
        <v/>
      </c>
      <c r="E113" s="10">
        <f>SUMIFS('Amex Transactions'!$G:$G,'Amex Transactions'!$C:$C,A113,'Amex Transactions'!$G:$G,"&gt;0")</f>
        <v/>
      </c>
      <c r="F113" s="11" t="n">
        <v>45548</v>
      </c>
      <c r="G113" s="10">
        <f>IF(COUNTIFS('Amex Transactions'!$C:$C,A113,'Amex Transactions'!$I:$I,"Check")&gt;0,"Check","")</f>
        <v/>
      </c>
    </row>
    <row r="114">
      <c r="A114" s="10" t="inlineStr">
        <is>
          <t>HAY FEVER FLORAL &amp; GIFT MONGKOK</t>
        </is>
      </c>
      <c r="B114" s="10">
        <f>IFERROR(INDEX('Review Items'!$D:$D,MATCH(A114,'Review Items'!$B:$B,0)),IFERROR(INDEX('Rule Updates'!$B:$B,MATCH(A114,'Rule Updates'!$A:$A,0)),"Uncategorised"))</f>
        <v/>
      </c>
      <c r="C114" s="10">
        <f>IFERROR(INDEX('Review Items'!$E:$E,MATCH(A114,'Review Items'!$B:$B,0)),IFERROR(INDEX('Rule Updates'!$C:$C,MATCH(A114,'Rule Updates'!$A:$A,0)),"Review"))</f>
        <v/>
      </c>
      <c r="D114" s="10">
        <f>COUNTIF('Amex Transactions'!$C:$C,A114)</f>
        <v/>
      </c>
      <c r="E114" s="10">
        <f>SUMIFS('Amex Transactions'!$G:$G,'Amex Transactions'!$C:$C,A114,'Amex Transactions'!$G:$G,"&gt;0")</f>
        <v/>
      </c>
      <c r="F114" s="11" t="n">
        <v>46060</v>
      </c>
      <c r="G114" s="10">
        <f>IF(COUNTIFS('Amex Transactions'!$C:$C,A114,'Amex Transactions'!$I:$I,"Check")&gt;0,"Check","")</f>
        <v/>
      </c>
    </row>
    <row r="115">
      <c r="A115" s="10" t="inlineStr">
        <is>
          <t>SALOMON CAUSE WAY BAY</t>
        </is>
      </c>
      <c r="B115" s="10">
        <f>IFERROR(INDEX('Review Items'!$D:$D,MATCH(A115,'Review Items'!$B:$B,0)),IFERROR(INDEX('Rule Updates'!$B:$B,MATCH(A115,'Rule Updates'!$A:$A,0)),"Uncategorised"))</f>
        <v/>
      </c>
      <c r="C115" s="10">
        <f>IFERROR(INDEX('Review Items'!$E:$E,MATCH(A115,'Review Items'!$B:$B,0)),IFERROR(INDEX('Rule Updates'!$C:$C,MATCH(A115,'Rule Updates'!$A:$A,0)),"Review"))</f>
        <v/>
      </c>
      <c r="D115" s="10">
        <f>COUNTIF('Amex Transactions'!$C:$C,A115)</f>
        <v/>
      </c>
      <c r="E115" s="10">
        <f>SUMIFS('Amex Transactions'!$G:$G,'Amex Transactions'!$C:$C,A115,'Amex Transactions'!$G:$G,"&gt;0")</f>
        <v/>
      </c>
      <c r="F115" s="11" t="n">
        <v>45960</v>
      </c>
      <c r="G115" s="10">
        <f>IF(COUNTIFS('Amex Transactions'!$C:$C,A115,'Amex Transactions'!$I:$I,"Check")&gt;0,"Check","")</f>
        <v/>
      </c>
    </row>
    <row r="116">
      <c r="A116" s="10" t="inlineStr">
        <is>
          <t>EVENTBK*EVENT TICKET HONG KONG</t>
        </is>
      </c>
      <c r="B116" s="10">
        <f>IFERROR(INDEX('Review Items'!$D:$D,MATCH(A116,'Review Items'!$B:$B,0)),IFERROR(INDEX('Rule Updates'!$B:$B,MATCH(A116,'Rule Updates'!$A:$A,0)),"Uncategorised"))</f>
        <v/>
      </c>
      <c r="C116" s="10">
        <f>IFERROR(INDEX('Review Items'!$E:$E,MATCH(A116,'Review Items'!$B:$B,0)),IFERROR(INDEX('Rule Updates'!$C:$C,MATCH(A116,'Rule Updates'!$A:$A,0)),"Review"))</f>
        <v/>
      </c>
      <c r="D116" s="10">
        <f>COUNTIF('Amex Transactions'!$C:$C,A116)</f>
        <v/>
      </c>
      <c r="E116" s="10">
        <f>SUMIFS('Amex Transactions'!$G:$G,'Amex Transactions'!$C:$C,A116,'Amex Transactions'!$G:$G,"&gt;0")</f>
        <v/>
      </c>
      <c r="F116" s="11" t="n">
        <v>46066</v>
      </c>
      <c r="G116" s="10">
        <f>IF(COUNTIFS('Amex Transactions'!$C:$C,A116,'Amex Transactions'!$I:$I,"Check")&gt;0,"Check","")</f>
        <v/>
      </c>
    </row>
    <row r="117">
      <c r="A117" s="10" t="inlineStr">
        <is>
          <t>STUDIO AL MPTY LTD WOOLLAHRA</t>
        </is>
      </c>
      <c r="B117" s="10">
        <f>IFERROR(INDEX('Review Items'!$D:$D,MATCH(A117,'Review Items'!$B:$B,0)),IFERROR(INDEX('Rule Updates'!$B:$B,MATCH(A117,'Rule Updates'!$A:$A,0)),"Uncategorised"))</f>
        <v/>
      </c>
      <c r="C117" s="10">
        <f>IFERROR(INDEX('Review Items'!$E:$E,MATCH(A117,'Review Items'!$B:$B,0)),IFERROR(INDEX('Rule Updates'!$C:$C,MATCH(A117,'Rule Updates'!$A:$A,0)),"Review"))</f>
        <v/>
      </c>
      <c r="D117" s="10">
        <f>COUNTIF('Amex Transactions'!$C:$C,A117)</f>
        <v/>
      </c>
      <c r="E117" s="10">
        <f>SUMIFS('Amex Transactions'!$G:$G,'Amex Transactions'!$C:$C,A117,'Amex Transactions'!$G:$G,"&gt;0")</f>
        <v/>
      </c>
      <c r="F117" s="11" t="n">
        <v>46013</v>
      </c>
      <c r="G117" s="10">
        <f>IF(COUNTIFS('Amex Transactions'!$C:$C,A117,'Amex Transactions'!$I:$I,"Check")&gt;0,"Check","")</f>
        <v/>
      </c>
    </row>
    <row r="118">
      <c r="A118" s="10" t="inlineStr">
        <is>
          <t>AVIDA PORTUGUESA LISBOA</t>
        </is>
      </c>
      <c r="B118" s="10">
        <f>IFERROR(INDEX('Review Items'!$D:$D,MATCH(A118,'Review Items'!$B:$B,0)),IFERROR(INDEX('Rule Updates'!$B:$B,MATCH(A118,'Rule Updates'!$A:$A,0)),"Uncategorised"))</f>
        <v/>
      </c>
      <c r="C118" s="10">
        <f>IFERROR(INDEX('Review Items'!$E:$E,MATCH(A118,'Review Items'!$B:$B,0)),IFERROR(INDEX('Rule Updates'!$C:$C,MATCH(A118,'Rule Updates'!$A:$A,0)),"Review"))</f>
        <v/>
      </c>
      <c r="D118" s="10">
        <f>COUNTIF('Amex Transactions'!$C:$C,A118)</f>
        <v/>
      </c>
      <c r="E118" s="10">
        <f>SUMIFS('Amex Transactions'!$G:$G,'Amex Transactions'!$C:$C,A118,'Amex Transactions'!$G:$G,"&gt;0")</f>
        <v/>
      </c>
      <c r="F118" s="11" t="n">
        <v>45750</v>
      </c>
      <c r="G118" s="10">
        <f>IF(COUNTIFS('Amex Transactions'!$C:$C,A118,'Amex Transactions'!$I:$I,"Check")&gt;0,"Check","")</f>
        <v/>
      </c>
    </row>
    <row r="119">
      <c r="A119" s="10" t="inlineStr">
        <is>
          <t>PATHLAB MEDICAL LA BORAT CENTRAL</t>
        </is>
      </c>
      <c r="B119" s="10">
        <f>IFERROR(INDEX('Review Items'!$D:$D,MATCH(A119,'Review Items'!$B:$B,0)),IFERROR(INDEX('Rule Updates'!$B:$B,MATCH(A119,'Rule Updates'!$A:$A,0)),"Uncategorised"))</f>
        <v/>
      </c>
      <c r="C119" s="10">
        <f>IFERROR(INDEX('Review Items'!$E:$E,MATCH(A119,'Review Items'!$B:$B,0)),IFERROR(INDEX('Rule Updates'!$C:$C,MATCH(A119,'Rule Updates'!$A:$A,0)),"Review"))</f>
        <v/>
      </c>
      <c r="D119" s="10">
        <f>COUNTIF('Amex Transactions'!$C:$C,A119)</f>
        <v/>
      </c>
      <c r="E119" s="10">
        <f>SUMIFS('Amex Transactions'!$G:$G,'Amex Transactions'!$C:$C,A119,'Amex Transactions'!$G:$G,"&gt;0")</f>
        <v/>
      </c>
      <c r="F119" s="11" t="n">
        <v>45993</v>
      </c>
      <c r="G119" s="10">
        <f>IF(COUNTIFS('Amex Transactions'!$C:$C,A119,'Amex Transactions'!$I:$I,"Check")&gt;0,"Check","")</f>
        <v/>
      </c>
    </row>
    <row r="120">
      <c r="A120" s="10" t="inlineStr">
        <is>
          <t>DOJO*WILTONS LONDON</t>
        </is>
      </c>
      <c r="B120" s="10">
        <f>IFERROR(INDEX('Review Items'!$D:$D,MATCH(A120,'Review Items'!$B:$B,0)),IFERROR(INDEX('Rule Updates'!$B:$B,MATCH(A120,'Rule Updates'!$A:$A,0)),"Uncategorised"))</f>
        <v/>
      </c>
      <c r="C120" s="10">
        <f>IFERROR(INDEX('Review Items'!$E:$E,MATCH(A120,'Review Items'!$B:$B,0)),IFERROR(INDEX('Rule Updates'!$C:$C,MATCH(A120,'Rule Updates'!$A:$A,0)),"Review"))</f>
        <v/>
      </c>
      <c r="D120" s="10">
        <f>COUNTIF('Amex Transactions'!$C:$C,A120)</f>
        <v/>
      </c>
      <c r="E120" s="10">
        <f>SUMIFS('Amex Transactions'!$G:$G,'Amex Transactions'!$C:$C,A120,'Amex Transactions'!$G:$G,"&gt;0")</f>
        <v/>
      </c>
      <c r="F120" s="11" t="n">
        <v>45842</v>
      </c>
      <c r="G120" s="10">
        <f>IF(COUNTIFS('Amex Transactions'!$C:$C,A120,'Amex Transactions'!$I:$I,"Check")&gt;0,"Check","")</f>
        <v/>
      </c>
    </row>
    <row r="121">
      <c r="A121" s="10" t="inlineStr">
        <is>
          <t>SUITSUPPLYPOS_LACENTURY WILMINGTON</t>
        </is>
      </c>
      <c r="B121" s="10">
        <f>IFERROR(INDEX('Review Items'!$D:$D,MATCH(A121,'Review Items'!$B:$B,0)),IFERROR(INDEX('Rule Updates'!$B:$B,MATCH(A121,'Rule Updates'!$A:$A,0)),"Uncategorised"))</f>
        <v/>
      </c>
      <c r="C121" s="10">
        <f>IFERROR(INDEX('Review Items'!$E:$E,MATCH(A121,'Review Items'!$B:$B,0)),IFERROR(INDEX('Rule Updates'!$C:$C,MATCH(A121,'Rule Updates'!$A:$A,0)),"Review"))</f>
        <v/>
      </c>
      <c r="D121" s="10">
        <f>COUNTIF('Amex Transactions'!$C:$C,A121)</f>
        <v/>
      </c>
      <c r="E121" s="10">
        <f>SUMIFS('Amex Transactions'!$G:$G,'Amex Transactions'!$C:$C,A121,'Amex Transactions'!$G:$G,"&gt;0")</f>
        <v/>
      </c>
      <c r="F121" s="11" t="n">
        <v>45813</v>
      </c>
      <c r="G121" s="10">
        <f>IF(COUNTIFS('Amex Transactions'!$C:$C,A121,'Amex Transactions'!$I:$I,"Check")&gt;0,"Check","")</f>
        <v/>
      </c>
    </row>
    <row r="122">
      <c r="A122" s="10" t="inlineStr">
        <is>
          <t>BAR LEONE SHEUNG WAN</t>
        </is>
      </c>
      <c r="B122" s="10">
        <f>IFERROR(INDEX('Review Items'!$D:$D,MATCH(A122,'Review Items'!$B:$B,0)),IFERROR(INDEX('Rule Updates'!$B:$B,MATCH(A122,'Rule Updates'!$A:$A,0)),"Uncategorised"))</f>
        <v/>
      </c>
      <c r="C122" s="10">
        <f>IFERROR(INDEX('Review Items'!$E:$E,MATCH(A122,'Review Items'!$B:$B,0)),IFERROR(INDEX('Rule Updates'!$C:$C,MATCH(A122,'Rule Updates'!$A:$A,0)),"Review"))</f>
        <v/>
      </c>
      <c r="D122" s="10">
        <f>COUNTIF('Amex Transactions'!$C:$C,A122)</f>
        <v/>
      </c>
      <c r="E122" s="10">
        <f>SUMIFS('Amex Transactions'!$G:$G,'Amex Transactions'!$C:$C,A122,'Amex Transactions'!$G:$G,"&gt;0")</f>
        <v/>
      </c>
      <c r="F122" s="11" t="n">
        <v>45935</v>
      </c>
      <c r="G122" s="10">
        <f>IF(COUNTIFS('Amex Transactions'!$C:$C,A122,'Amex Transactions'!$I:$I,"Check")&gt;0,"Check","")</f>
        <v/>
      </c>
    </row>
    <row r="123">
      <c r="A123" s="10" t="inlineStr">
        <is>
          <t>COTE SINGAPORE SINGAPORE</t>
        </is>
      </c>
      <c r="B123" s="10">
        <f>IFERROR(INDEX('Review Items'!$D:$D,MATCH(A123,'Review Items'!$B:$B,0)),IFERROR(INDEX('Rule Updates'!$B:$B,MATCH(A123,'Rule Updates'!$A:$A,0)),"Uncategorised"))</f>
        <v/>
      </c>
      <c r="C123" s="10">
        <f>IFERROR(INDEX('Review Items'!$E:$E,MATCH(A123,'Review Items'!$B:$B,0)),IFERROR(INDEX('Rule Updates'!$C:$C,MATCH(A123,'Rule Updates'!$A:$A,0)),"Review"))</f>
        <v/>
      </c>
      <c r="D123" s="10">
        <f>COUNTIF('Amex Transactions'!$C:$C,A123)</f>
        <v/>
      </c>
      <c r="E123" s="10">
        <f>SUMIFS('Amex Transactions'!$G:$G,'Amex Transactions'!$C:$C,A123,'Amex Transactions'!$G:$G,"&gt;0")</f>
        <v/>
      </c>
      <c r="F123" s="11" t="n">
        <v>46071</v>
      </c>
      <c r="G123" s="10">
        <f>IF(COUNTIFS('Amex Transactions'!$C:$C,A123,'Amex Transactions'!$I:$I,"Check")&gt;0,"Check","")</f>
        <v/>
      </c>
    </row>
    <row r="124">
      <c r="A124" s="10" t="inlineStr">
        <is>
          <t>KPAY * ASTA CLINIC LIMITE HONG KONG</t>
        </is>
      </c>
      <c r="B124" s="10">
        <f>IFERROR(INDEX('Review Items'!$D:$D,MATCH(A124,'Review Items'!$B:$B,0)),IFERROR(INDEX('Rule Updates'!$B:$B,MATCH(A124,'Rule Updates'!$A:$A,0)),"Uncategorised"))</f>
        <v/>
      </c>
      <c r="C124" s="10">
        <f>IFERROR(INDEX('Review Items'!$E:$E,MATCH(A124,'Review Items'!$B:$B,0)),IFERROR(INDEX('Rule Updates'!$C:$C,MATCH(A124,'Rule Updates'!$A:$A,0)),"Review"))</f>
        <v/>
      </c>
      <c r="D124" s="10">
        <f>COUNTIF('Amex Transactions'!$C:$C,A124)</f>
        <v/>
      </c>
      <c r="E124" s="10">
        <f>SUMIFS('Amex Transactions'!$G:$G,'Amex Transactions'!$C:$C,A124,'Amex Transactions'!$G:$G,"&gt;0")</f>
        <v/>
      </c>
      <c r="F124" s="11" t="n">
        <v>46037</v>
      </c>
      <c r="G124" s="10">
        <f>IF(COUNTIFS('Amex Transactions'!$C:$C,A124,'Amex Transactions'!$I:$I,"Check")&gt;0,"Check","")</f>
        <v/>
      </c>
    </row>
    <row r="125">
      <c r="A125" s="10" t="inlineStr">
        <is>
          <t>TUMI ASIA LIMITED CENTRAL</t>
        </is>
      </c>
      <c r="B125" s="10">
        <f>IFERROR(INDEX('Review Items'!$D:$D,MATCH(A125,'Review Items'!$B:$B,0)),IFERROR(INDEX('Rule Updates'!$B:$B,MATCH(A125,'Rule Updates'!$A:$A,0)),"Uncategorised"))</f>
        <v/>
      </c>
      <c r="C125" s="10">
        <f>IFERROR(INDEX('Review Items'!$E:$E,MATCH(A125,'Review Items'!$B:$B,0)),IFERROR(INDEX('Rule Updates'!$C:$C,MATCH(A125,'Rule Updates'!$A:$A,0)),"Review"))</f>
        <v/>
      </c>
      <c r="D125" s="10">
        <f>COUNTIF('Amex Transactions'!$C:$C,A125)</f>
        <v/>
      </c>
      <c r="E125" s="10">
        <f>SUMIFS('Amex Transactions'!$G:$G,'Amex Transactions'!$C:$C,A125,'Amex Transactions'!$G:$G,"&gt;0")</f>
        <v/>
      </c>
      <c r="F125" s="11" t="n">
        <v>46076</v>
      </c>
      <c r="G125" s="10">
        <f>IF(COUNTIFS('Amex Transactions'!$C:$C,A125,'Amex Transactions'!$I:$I,"Check")&gt;0,"Check","")</f>
        <v/>
      </c>
    </row>
    <row r="126">
      <c r="A126" s="10" t="inlineStr">
        <is>
          <t>GLO BALE * /ISA BEL MARANT LONDON</t>
        </is>
      </c>
      <c r="B126" s="10">
        <f>IFERROR(INDEX('Review Items'!$D:$D,MATCH(A126,'Review Items'!$B:$B,0)),IFERROR(INDEX('Rule Updates'!$B:$B,MATCH(A126,'Rule Updates'!$A:$A,0)),"Uncategorised"))</f>
        <v/>
      </c>
      <c r="C126" s="10">
        <f>IFERROR(INDEX('Review Items'!$E:$E,MATCH(A126,'Review Items'!$B:$B,0)),IFERROR(INDEX('Rule Updates'!$C:$C,MATCH(A126,'Rule Updates'!$A:$A,0)),"Review"))</f>
        <v/>
      </c>
      <c r="D126" s="10">
        <f>COUNTIF('Amex Transactions'!$C:$C,A126)</f>
        <v/>
      </c>
      <c r="E126" s="10">
        <f>SUMIFS('Amex Transactions'!$G:$G,'Amex Transactions'!$C:$C,A126,'Amex Transactions'!$G:$G,"&gt;0")</f>
        <v/>
      </c>
      <c r="F126" s="11" t="n">
        <v>45978</v>
      </c>
      <c r="G126" s="10">
        <f>IF(COUNTIFS('Amex Transactions'!$C:$C,A126,'Amex Transactions'!$I:$I,"Check")&gt;0,"Check","")</f>
        <v/>
      </c>
    </row>
    <row r="127">
      <c r="A127" s="10" t="inlineStr">
        <is>
          <t>351 LIS BOA LIS BOA</t>
        </is>
      </c>
      <c r="B127" s="10">
        <f>IFERROR(INDEX('Review Items'!$D:$D,MATCH(A127,'Review Items'!$B:$B,0)),IFERROR(INDEX('Rule Updates'!$B:$B,MATCH(A127,'Rule Updates'!$A:$A,0)),"Uncategorised"))</f>
        <v/>
      </c>
      <c r="C127" s="10">
        <f>IFERROR(INDEX('Review Items'!$E:$E,MATCH(A127,'Review Items'!$B:$B,0)),IFERROR(INDEX('Rule Updates'!$C:$C,MATCH(A127,'Rule Updates'!$A:$A,0)),"Review"))</f>
        <v/>
      </c>
      <c r="D127" s="10">
        <f>COUNTIF('Amex Transactions'!$C:$C,A127)</f>
        <v/>
      </c>
      <c r="E127" s="10">
        <f>SUMIFS('Amex Transactions'!$G:$G,'Amex Transactions'!$C:$C,A127,'Amex Transactions'!$G:$G,"&gt;0")</f>
        <v/>
      </c>
      <c r="F127" s="11" t="n">
        <v>46045</v>
      </c>
      <c r="G127" s="10">
        <f>IF(COUNTIFS('Amex Transactions'!$C:$C,A127,'Amex Transactions'!$I:$I,"Check")&gt;0,"Check","")</f>
        <v/>
      </c>
    </row>
    <row r="128">
      <c r="A128" s="10" t="inlineStr">
        <is>
          <t>WP - CHEF TAM SSEASONS MACAO</t>
        </is>
      </c>
      <c r="B128" s="10">
        <f>IFERROR(INDEX('Review Items'!$D:$D,MATCH(A128,'Review Items'!$B:$B,0)),IFERROR(INDEX('Rule Updates'!$B:$B,MATCH(A128,'Rule Updates'!$A:$A,0)),"Uncategorised"))</f>
        <v/>
      </c>
      <c r="C128" s="10">
        <f>IFERROR(INDEX('Review Items'!$E:$E,MATCH(A128,'Review Items'!$B:$B,0)),IFERROR(INDEX('Rule Updates'!$C:$C,MATCH(A128,'Rule Updates'!$A:$A,0)),"Review"))</f>
        <v/>
      </c>
      <c r="D128" s="10">
        <f>COUNTIF('Amex Transactions'!$C:$C,A128)</f>
        <v/>
      </c>
      <c r="E128" s="10">
        <f>SUMIFS('Amex Transactions'!$G:$G,'Amex Transactions'!$C:$C,A128,'Amex Transactions'!$G:$G,"&gt;0")</f>
        <v/>
      </c>
      <c r="F128" s="11" t="n">
        <v>45633</v>
      </c>
      <c r="G128" s="10">
        <f>IF(COUNTIFS('Amex Transactions'!$C:$C,A128,'Amex Transactions'!$I:$I,"Check")&gt;0,"Check","")</f>
        <v/>
      </c>
    </row>
    <row r="129">
      <c r="A129" s="10" t="inlineStr">
        <is>
          <t>LIYUAN s ha n gha is h i</t>
        </is>
      </c>
      <c r="B129" s="10">
        <f>IFERROR(INDEX('Review Items'!$D:$D,MATCH(A129,'Review Items'!$B:$B,0)),IFERROR(INDEX('Rule Updates'!$B:$B,MATCH(A129,'Rule Updates'!$A:$A,0)),"Uncategorised"))</f>
        <v/>
      </c>
      <c r="C129" s="10">
        <f>IFERROR(INDEX('Review Items'!$E:$E,MATCH(A129,'Review Items'!$B:$B,0)),IFERROR(INDEX('Rule Updates'!$C:$C,MATCH(A129,'Rule Updates'!$A:$A,0)),"Review"))</f>
        <v/>
      </c>
      <c r="D129" s="10">
        <f>COUNTIF('Amex Transactions'!$C:$C,A129)</f>
        <v/>
      </c>
      <c r="E129" s="10">
        <f>SUMIFS('Amex Transactions'!$G:$G,'Amex Transactions'!$C:$C,A129,'Amex Transactions'!$G:$G,"&gt;0")</f>
        <v/>
      </c>
      <c r="F129" s="11" t="n">
        <v>46033</v>
      </c>
      <c r="G129" s="10">
        <f>IF(COUNTIFS('Amex Transactions'!$C:$C,A129,'Amex Transactions'!$I:$I,"Check")&gt;0,"Check","")</f>
        <v/>
      </c>
    </row>
    <row r="130">
      <c r="A130" s="10" t="inlineStr">
        <is>
          <t>RIKKA AIR HOKKAIDO</t>
        </is>
      </c>
      <c r="B130" s="10">
        <f>IFERROR(INDEX('Review Items'!$D:$D,MATCH(A130,'Review Items'!$B:$B,0)),IFERROR(INDEX('Rule Updates'!$B:$B,MATCH(A130,'Rule Updates'!$A:$A,0)),"Uncategorised"))</f>
        <v/>
      </c>
      <c r="C130" s="10">
        <f>IFERROR(INDEX('Review Items'!$E:$E,MATCH(A130,'Review Items'!$B:$B,0)),IFERROR(INDEX('Rule Updates'!$C:$C,MATCH(A130,'Rule Updates'!$A:$A,0)),"Review"))</f>
        <v/>
      </c>
      <c r="D130" s="10">
        <f>COUNTIF('Amex Transactions'!$C:$C,A130)</f>
        <v/>
      </c>
      <c r="E130" s="10">
        <f>SUMIFS('Amex Transactions'!$G:$G,'Amex Transactions'!$C:$C,A130,'Amex Transactions'!$G:$G,"&gt;0")</f>
        <v/>
      </c>
      <c r="F130" s="11" t="n">
        <v>46080</v>
      </c>
      <c r="G130" s="10">
        <f>IF(COUNTIFS('Amex Transactions'!$C:$C,A130,'Amex Transactions'!$I:$I,"Check")&gt;0,"Check","")</f>
        <v/>
      </c>
    </row>
    <row r="131">
      <c r="A131" s="10" t="inlineStr">
        <is>
          <t>PAYPAL *CHAPELIER 4029357733</t>
        </is>
      </c>
      <c r="B131" s="10">
        <f>IFERROR(INDEX('Review Items'!$D:$D,MATCH(A131,'Review Items'!$B:$B,0)),IFERROR(INDEX('Rule Updates'!$B:$B,MATCH(A131,'Rule Updates'!$A:$A,0)),"Uncategorised"))</f>
        <v/>
      </c>
      <c r="C131" s="10">
        <f>IFERROR(INDEX('Review Items'!$E:$E,MATCH(A131,'Review Items'!$B:$B,0)),IFERROR(INDEX('Rule Updates'!$C:$C,MATCH(A131,'Rule Updates'!$A:$A,0)),"Review"))</f>
        <v/>
      </c>
      <c r="D131" s="10">
        <f>COUNTIF('Amex Transactions'!$C:$C,A131)</f>
        <v/>
      </c>
      <c r="E131" s="10">
        <f>SUMIFS('Amex Transactions'!$G:$G,'Amex Transactions'!$C:$C,A131,'Amex Transactions'!$G:$G,"&gt;0")</f>
        <v/>
      </c>
      <c r="F131" s="11" t="n">
        <v>45789</v>
      </c>
      <c r="G131" s="10">
        <f>IF(COUNTIFS('Amex Transactions'!$C:$C,A131,'Amex Transactions'!$I:$I,"Check")&gt;0,"Check","")</f>
        <v/>
      </c>
    </row>
    <row r="132">
      <c r="A132" s="10" t="inlineStr">
        <is>
          <t>ZADIGVOLTAIRE US NEW YORK</t>
        </is>
      </c>
      <c r="B132" s="10">
        <f>IFERROR(INDEX('Review Items'!$D:$D,MATCH(A132,'Review Items'!$B:$B,0)),IFERROR(INDEX('Rule Updates'!$B:$B,MATCH(A132,'Rule Updates'!$A:$A,0)),"Uncategorised"))</f>
        <v/>
      </c>
      <c r="C132" s="10">
        <f>IFERROR(INDEX('Review Items'!$E:$E,MATCH(A132,'Review Items'!$B:$B,0)),IFERROR(INDEX('Rule Updates'!$C:$C,MATCH(A132,'Rule Updates'!$A:$A,0)),"Review"))</f>
        <v/>
      </c>
      <c r="D132" s="10">
        <f>COUNTIF('Amex Transactions'!$C:$C,A132)</f>
        <v/>
      </c>
      <c r="E132" s="10">
        <f>SUMIFS('Amex Transactions'!$G:$G,'Amex Transactions'!$C:$C,A132,'Amex Transactions'!$G:$G,"&gt;0")</f>
        <v/>
      </c>
      <c r="F132" s="11" t="n">
        <v>45799</v>
      </c>
      <c r="G132" s="10">
        <f>IF(COUNTIFS('Amex Transactions'!$C:$C,A132,'Amex Transactions'!$I:$I,"Check")&gt;0,"Check","")</f>
        <v/>
      </c>
    </row>
    <row r="133">
      <c r="A133" s="10" t="inlineStr">
        <is>
          <t>AMV RETAIL ASIA HONG KO ADMIRALTY</t>
        </is>
      </c>
      <c r="B133" s="10">
        <f>IFERROR(INDEX('Review Items'!$D:$D,MATCH(A133,'Review Items'!$B:$B,0)),IFERROR(INDEX('Rule Updates'!$B:$B,MATCH(A133,'Rule Updates'!$A:$A,0)),"Uncategorised"))</f>
        <v/>
      </c>
      <c r="C133" s="10">
        <f>IFERROR(INDEX('Review Items'!$E:$E,MATCH(A133,'Review Items'!$B:$B,0)),IFERROR(INDEX('Rule Updates'!$C:$C,MATCH(A133,'Rule Updates'!$A:$A,0)),"Review"))</f>
        <v/>
      </c>
      <c r="D133" s="10">
        <f>COUNTIF('Amex Transactions'!$C:$C,A133)</f>
        <v/>
      </c>
      <c r="E133" s="10">
        <f>SUMIFS('Amex Transactions'!$G:$G,'Amex Transactions'!$C:$C,A133,'Amex Transactions'!$G:$G,"&gt;0")</f>
        <v/>
      </c>
      <c r="F133" s="11" t="n">
        <v>45799</v>
      </c>
      <c r="G133" s="10">
        <f>IF(COUNTIFS('Amex Transactions'!$C:$C,A133,'Amex Transactions'!$I:$I,"Check")&gt;0,"Check","")</f>
        <v/>
      </c>
    </row>
    <row r="134">
      <c r="A134" s="10" t="inlineStr">
        <is>
          <t>IL COLPO PACIFIC PLACE AD MIRALTY</t>
        </is>
      </c>
      <c r="B134" s="10">
        <f>IFERROR(INDEX('Review Items'!$D:$D,MATCH(A134,'Review Items'!$B:$B,0)),IFERROR(INDEX('Rule Updates'!$B:$B,MATCH(A134,'Rule Updates'!$A:$A,0)),"Uncategorised"))</f>
        <v/>
      </c>
      <c r="C134" s="10">
        <f>IFERROR(INDEX('Review Items'!$E:$E,MATCH(A134,'Review Items'!$B:$B,0)),IFERROR(INDEX('Rule Updates'!$C:$C,MATCH(A134,'Rule Updates'!$A:$A,0)),"Review"))</f>
        <v/>
      </c>
      <c r="D134" s="10">
        <f>COUNTIF('Amex Transactions'!$C:$C,A134)</f>
        <v/>
      </c>
      <c r="E134" s="10">
        <f>SUMIFS('Amex Transactions'!$G:$G,'Amex Transactions'!$C:$C,A134,'Amex Transactions'!$G:$G,"&gt;0")</f>
        <v/>
      </c>
      <c r="F134" s="11" t="n">
        <v>46006</v>
      </c>
      <c r="G134" s="10">
        <f>IF(COUNTIFS('Amex Transactions'!$C:$C,A134,'Amex Transactions'!$I:$I,"Check")&gt;0,"Check","")</f>
        <v/>
      </c>
    </row>
    <row r="135">
      <c r="A135" s="10" t="inlineStr">
        <is>
          <t>3CPAYMENT*ISABEL MARANT LONDON</t>
        </is>
      </c>
      <c r="B135" s="10">
        <f>IFERROR(INDEX('Review Items'!$D:$D,MATCH(A135,'Review Items'!$B:$B,0)),IFERROR(INDEX('Rule Updates'!$B:$B,MATCH(A135,'Rule Updates'!$A:$A,0)),"Uncategorised"))</f>
        <v/>
      </c>
      <c r="C135" s="10">
        <f>IFERROR(INDEX('Review Items'!$E:$E,MATCH(A135,'Review Items'!$B:$B,0)),IFERROR(INDEX('Rule Updates'!$C:$C,MATCH(A135,'Rule Updates'!$A:$A,0)),"Review"))</f>
        <v/>
      </c>
      <c r="D135" s="10">
        <f>COUNTIF('Amex Transactions'!$C:$C,A135)</f>
        <v/>
      </c>
      <c r="E135" s="10">
        <f>SUMIFS('Amex Transactions'!$G:$G,'Amex Transactions'!$C:$C,A135,'Amex Transactions'!$G:$G,"&gt;0")</f>
        <v/>
      </c>
      <c r="F135" s="11" t="n">
        <v>45819</v>
      </c>
      <c r="G135" s="10">
        <f>IF(COUNTIFS('Amex Transactions'!$C:$C,A135,'Amex Transactions'!$I:$I,"Check")&gt;0,"Check","")</f>
        <v/>
      </c>
    </row>
    <row r="136">
      <c r="A136" s="10" t="inlineStr">
        <is>
          <t>FORTRESS - 220 QUARRY BAY</t>
        </is>
      </c>
      <c r="B136" s="10">
        <f>IFERROR(INDEX('Review Items'!$D:$D,MATCH(A136,'Review Items'!$B:$B,0)),IFERROR(INDEX('Rule Updates'!$B:$B,MATCH(A136,'Rule Updates'!$A:$A,0)),"Uncategorised"))</f>
        <v/>
      </c>
      <c r="C136" s="10">
        <f>IFERROR(INDEX('Review Items'!$E:$E,MATCH(A136,'Review Items'!$B:$B,0)),IFERROR(INDEX('Rule Updates'!$C:$C,MATCH(A136,'Rule Updates'!$A:$A,0)),"Review"))</f>
        <v/>
      </c>
      <c r="D136" s="10">
        <f>COUNTIF('Amex Transactions'!$C:$C,A136)</f>
        <v/>
      </c>
      <c r="E136" s="10">
        <f>SUMIFS('Amex Transactions'!$G:$G,'Amex Transactions'!$C:$C,A136,'Amex Transactions'!$G:$G,"&gt;0")</f>
        <v/>
      </c>
      <c r="F136" s="11" t="n">
        <v>45991</v>
      </c>
      <c r="G136" s="10">
        <f>IF(COUNTIFS('Amex Transactions'!$C:$C,A136,'Amex Transactions'!$I:$I,"Check")&gt;0,"Check","")</f>
        <v/>
      </c>
    </row>
    <row r="137">
      <c r="A137" s="10" t="inlineStr">
        <is>
          <t>THE WING ON DEPARTMENT SHEUNG WAN</t>
        </is>
      </c>
      <c r="B137" s="10">
        <f>IFERROR(INDEX('Review Items'!$D:$D,MATCH(A137,'Review Items'!$B:$B,0)),IFERROR(INDEX('Rule Updates'!$B:$B,MATCH(A137,'Rule Updates'!$A:$A,0)),"Uncategorised"))</f>
        <v/>
      </c>
      <c r="C137" s="10">
        <f>IFERROR(INDEX('Review Items'!$E:$E,MATCH(A137,'Review Items'!$B:$B,0)),IFERROR(INDEX('Rule Updates'!$C:$C,MATCH(A137,'Rule Updates'!$A:$A,0)),"Review"))</f>
        <v/>
      </c>
      <c r="D137" s="10">
        <f>COUNTIF('Amex Transactions'!$C:$C,A137)</f>
        <v/>
      </c>
      <c r="E137" s="10">
        <f>SUMIFS('Amex Transactions'!$G:$G,'Amex Transactions'!$C:$C,A137,'Amex Transactions'!$G:$G,"&gt;0")</f>
        <v/>
      </c>
      <c r="F137" s="11" t="n">
        <v>45587</v>
      </c>
      <c r="G137" s="10">
        <f>IF(COUNTIFS('Amex Transactions'!$C:$C,A137,'Amex Transactions'!$I:$I,"Check")&gt;0,"Check","")</f>
        <v/>
      </c>
    </row>
    <row r="138">
      <c r="A138" s="10" t="inlineStr">
        <is>
          <t>LS POEPKE PADDINGTON</t>
        </is>
      </c>
      <c r="B138" s="10">
        <f>IFERROR(INDEX('Review Items'!$D:$D,MATCH(A138,'Review Items'!$B:$B,0)),IFERROR(INDEX('Rule Updates'!$B:$B,MATCH(A138,'Rule Updates'!$A:$A,0)),"Uncategorised"))</f>
        <v/>
      </c>
      <c r="C138" s="10">
        <f>IFERROR(INDEX('Review Items'!$E:$E,MATCH(A138,'Review Items'!$B:$B,0)),IFERROR(INDEX('Rule Updates'!$C:$C,MATCH(A138,'Rule Updates'!$A:$A,0)),"Review"))</f>
        <v/>
      </c>
      <c r="D138" s="10">
        <f>COUNTIF('Amex Transactions'!$C:$C,A138)</f>
        <v/>
      </c>
      <c r="E138" s="10">
        <f>SUMIFS('Amex Transactions'!$G:$G,'Amex Transactions'!$C:$C,A138,'Amex Transactions'!$G:$G,"&gt;0")</f>
        <v/>
      </c>
      <c r="F138" s="11" t="n">
        <v>45866</v>
      </c>
      <c r="G138" s="10">
        <f>IF(COUNTIFS('Amex Transactions'!$C:$C,A138,'Amex Transactions'!$I:$I,"Check")&gt;0,"Check","")</f>
        <v/>
      </c>
    </row>
    <row r="139">
      <c r="A139" s="10" t="inlineStr">
        <is>
          <t>HK SANATORIUM &amp; HOSP - HAPPY VALLEY</t>
        </is>
      </c>
      <c r="B139" s="10">
        <f>IFERROR(INDEX('Review Items'!$D:$D,MATCH(A139,'Review Items'!$B:$B,0)),IFERROR(INDEX('Rule Updates'!$B:$B,MATCH(A139,'Rule Updates'!$A:$A,0)),"Uncategorised"))</f>
        <v/>
      </c>
      <c r="C139" s="10">
        <f>IFERROR(INDEX('Review Items'!$E:$E,MATCH(A139,'Review Items'!$B:$B,0)),IFERROR(INDEX('Rule Updates'!$C:$C,MATCH(A139,'Rule Updates'!$A:$A,0)),"Review"))</f>
        <v/>
      </c>
      <c r="D139" s="10">
        <f>COUNTIF('Amex Transactions'!$C:$C,A139)</f>
        <v/>
      </c>
      <c r="E139" s="10">
        <f>SUMIFS('Amex Transactions'!$G:$G,'Amex Transactions'!$C:$C,A139,'Amex Transactions'!$G:$G,"&gt;0")</f>
        <v/>
      </c>
      <c r="F139" s="11" t="n">
        <v>45911</v>
      </c>
      <c r="G139" s="10">
        <f>IF(COUNTIFS('Amex Transactions'!$C:$C,A139,'Amex Transactions'!$I:$I,"Check")&gt;0,"Check","")</f>
        <v/>
      </c>
    </row>
    <row r="140">
      <c r="A140" s="10" t="inlineStr">
        <is>
          <t>SP HEALF MANCHESTER</t>
        </is>
      </c>
      <c r="B140" s="10">
        <f>IFERROR(INDEX('Review Items'!$D:$D,MATCH(A140,'Review Items'!$B:$B,0)),IFERROR(INDEX('Rule Updates'!$B:$B,MATCH(A140,'Rule Updates'!$A:$A,0)),"Uncategorised"))</f>
        <v/>
      </c>
      <c r="C140" s="10">
        <f>IFERROR(INDEX('Review Items'!$E:$E,MATCH(A140,'Review Items'!$B:$B,0)),IFERROR(INDEX('Rule Updates'!$C:$C,MATCH(A140,'Rule Updates'!$A:$A,0)),"Review"))</f>
        <v/>
      </c>
      <c r="D140" s="10">
        <f>COUNTIF('Amex Transactions'!$C:$C,A140)</f>
        <v/>
      </c>
      <c r="E140" s="10">
        <f>SUMIFS('Amex Transactions'!$G:$G,'Amex Transactions'!$C:$C,A140,'Amex Transactions'!$G:$G,"&gt;0")</f>
        <v/>
      </c>
      <c r="F140" s="11" t="n">
        <v>45763</v>
      </c>
      <c r="G140" s="10">
        <f>IF(COUNTIFS('Amex Transactions'!$C:$C,A140,'Amex Transactions'!$I:$I,"Check")&gt;0,"Check","")</f>
        <v/>
      </c>
    </row>
    <row r="141">
      <c r="A141" s="10" t="inlineStr">
        <is>
          <t>SAINT PETER PADDINGTON</t>
        </is>
      </c>
      <c r="B141" s="10">
        <f>IFERROR(INDEX('Review Items'!$D:$D,MATCH(A141,'Review Items'!$B:$B,0)),IFERROR(INDEX('Rule Updates'!$B:$B,MATCH(A141,'Rule Updates'!$A:$A,0)),"Uncategorised"))</f>
        <v/>
      </c>
      <c r="C141" s="10">
        <f>IFERROR(INDEX('Review Items'!$E:$E,MATCH(A141,'Review Items'!$B:$B,0)),IFERROR(INDEX('Rule Updates'!$C:$C,MATCH(A141,'Rule Updates'!$A:$A,0)),"Review"))</f>
        <v/>
      </c>
      <c r="D141" s="10">
        <f>COUNTIF('Amex Transactions'!$C:$C,A141)</f>
        <v/>
      </c>
      <c r="E141" s="10">
        <f>SUMIFS('Amex Transactions'!$G:$G,'Amex Transactions'!$C:$C,A141,'Amex Transactions'!$G:$G,"&gt;0")</f>
        <v/>
      </c>
      <c r="F141" s="11" t="n">
        <v>46001</v>
      </c>
      <c r="G141" s="10">
        <f>IF(COUNTIFS('Amex Transactions'!$C:$C,A141,'Amex Transactions'!$I:$I,"Check")&gt;0,"Check","")</f>
        <v/>
      </c>
    </row>
    <row r="142">
      <c r="A142" s="10" t="inlineStr">
        <is>
          <t>CIPRIANI ORIENTAL LIMIT CENTRAL</t>
        </is>
      </c>
      <c r="B142" s="10">
        <f>IFERROR(INDEX('Review Items'!$D:$D,MATCH(A142,'Review Items'!$B:$B,0)),IFERROR(INDEX('Rule Updates'!$B:$B,MATCH(A142,'Rule Updates'!$A:$A,0)),"Uncategorised"))</f>
        <v/>
      </c>
      <c r="C142" s="10">
        <f>IFERROR(INDEX('Review Items'!$E:$E,MATCH(A142,'Review Items'!$B:$B,0)),IFERROR(INDEX('Rule Updates'!$C:$C,MATCH(A142,'Rule Updates'!$A:$A,0)),"Review"))</f>
        <v/>
      </c>
      <c r="D142" s="10">
        <f>COUNTIF('Amex Transactions'!$C:$C,A142)</f>
        <v/>
      </c>
      <c r="E142" s="10">
        <f>SUMIFS('Amex Transactions'!$G:$G,'Amex Transactions'!$C:$C,A142,'Amex Transactions'!$G:$G,"&gt;0")</f>
        <v/>
      </c>
      <c r="F142" s="11" t="n">
        <v>45654</v>
      </c>
      <c r="G142" s="10">
        <f>IF(COUNTIFS('Amex Transactions'!$C:$C,A142,'Amex Transactions'!$I:$I,"Check")&gt;0,"Check","")</f>
        <v/>
      </c>
    </row>
    <row r="143">
      <c r="A143" s="10" t="inlineStr">
        <is>
          <t>GLOBAL-E.45R GLOBAL-EUNITED KINGDOM</t>
        </is>
      </c>
      <c r="B143" s="10">
        <f>IFERROR(INDEX('Review Items'!$D:$D,MATCH(A143,'Review Items'!$B:$B,0)),IFERROR(INDEX('Rule Updates'!$B:$B,MATCH(A143,'Rule Updates'!$A:$A,0)),"Uncategorised"))</f>
        <v/>
      </c>
      <c r="C143" s="10">
        <f>IFERROR(INDEX('Review Items'!$E:$E,MATCH(A143,'Review Items'!$B:$B,0)),IFERROR(INDEX('Rule Updates'!$C:$C,MATCH(A143,'Rule Updates'!$A:$A,0)),"Review"))</f>
        <v/>
      </c>
      <c r="D143" s="10">
        <f>COUNTIF('Amex Transactions'!$C:$C,A143)</f>
        <v/>
      </c>
      <c r="E143" s="10">
        <f>SUMIFS('Amex Transactions'!$G:$G,'Amex Transactions'!$C:$C,A143,'Amex Transactions'!$G:$G,"&gt;0")</f>
        <v/>
      </c>
      <c r="F143" s="11" t="n">
        <v>45644</v>
      </c>
      <c r="G143" s="10">
        <f>IF(COUNTIFS('Amex Transactions'!$C:$C,A143,'Amex Transactions'!$I:$I,"Check")&gt;0,"Check","")</f>
        <v/>
      </c>
    </row>
    <row r="144">
      <c r="A144" s="10" t="inlineStr">
        <is>
          <t>OLD PARSONAGE HOTELO X FORD</t>
        </is>
      </c>
      <c r="B144" s="10">
        <f>IFERROR(INDEX('Review Items'!$D:$D,MATCH(A144,'Review Items'!$B:$B,0)),IFERROR(INDEX('Rule Updates'!$B:$B,MATCH(A144,'Rule Updates'!$A:$A,0)),"Uncategorised"))</f>
        <v/>
      </c>
      <c r="C144" s="10">
        <f>IFERROR(INDEX('Review Items'!$E:$E,MATCH(A144,'Review Items'!$B:$B,0)),IFERROR(INDEX('Rule Updates'!$C:$C,MATCH(A144,'Rule Updates'!$A:$A,0)),"Review"))</f>
        <v/>
      </c>
      <c r="D144" s="10">
        <f>COUNTIF('Amex Transactions'!$C:$C,A144)</f>
        <v/>
      </c>
      <c r="E144" s="10">
        <f>SUMIFS('Amex Transactions'!$G:$G,'Amex Transactions'!$C:$C,A144,'Amex Transactions'!$G:$G,"&gt;0")</f>
        <v/>
      </c>
      <c r="F144" s="11" t="n">
        <v>45978</v>
      </c>
      <c r="G144" s="10">
        <f>IF(COUNTIFS('Amex Transactions'!$C:$C,A144,'Amex Transactions'!$I:$I,"Check")&gt;0,"Check","")</f>
        <v/>
      </c>
    </row>
    <row r="145">
      <c r="A145" s="10" t="inlineStr">
        <is>
          <t>45 RCENTRAL</t>
        </is>
      </c>
      <c r="B145" s="10">
        <f>IFERROR(INDEX('Review Items'!$D:$D,MATCH(A145,'Review Items'!$B:$B,0)),IFERROR(INDEX('Rule Updates'!$B:$B,MATCH(A145,'Rule Updates'!$A:$A,0)),"Uncategorised"))</f>
        <v/>
      </c>
      <c r="C145" s="10">
        <f>IFERROR(INDEX('Review Items'!$E:$E,MATCH(A145,'Review Items'!$B:$B,0)),IFERROR(INDEX('Rule Updates'!$C:$C,MATCH(A145,'Rule Updates'!$A:$A,0)),"Review"))</f>
        <v/>
      </c>
      <c r="D145" s="10">
        <f>COUNTIF('Amex Transactions'!$C:$C,A145)</f>
        <v/>
      </c>
      <c r="E145" s="10">
        <f>SUMIFS('Amex Transactions'!$G:$G,'Amex Transactions'!$C:$C,A145,'Amex Transactions'!$G:$G,"&gt;0")</f>
        <v/>
      </c>
      <c r="F145" s="11" t="n">
        <v>45904</v>
      </c>
      <c r="G145" s="10">
        <f>IF(COUNTIFS('Amex Transactions'!$C:$C,A145,'Amex Transactions'!$I:$I,"Check")&gt;0,"Check","")</f>
        <v/>
      </c>
    </row>
    <row r="146">
      <c r="A146" s="10" t="inlineStr">
        <is>
          <t>SP SUMMERILLBISHOP LONDON</t>
        </is>
      </c>
      <c r="B146" s="10">
        <f>IFERROR(INDEX('Review Items'!$D:$D,MATCH(A146,'Review Items'!$B:$B,0)),IFERROR(INDEX('Rule Updates'!$B:$B,MATCH(A146,'Rule Updates'!$A:$A,0)),"Uncategorised"))</f>
        <v/>
      </c>
      <c r="C146" s="10">
        <f>IFERROR(INDEX('Review Items'!$E:$E,MATCH(A146,'Review Items'!$B:$B,0)),IFERROR(INDEX('Rule Updates'!$C:$C,MATCH(A146,'Rule Updates'!$A:$A,0)),"Review"))</f>
        <v/>
      </c>
      <c r="D146" s="10">
        <f>COUNTIF('Amex Transactions'!$C:$C,A146)</f>
        <v/>
      </c>
      <c r="E146" s="10">
        <f>SUMIFS('Amex Transactions'!$G:$G,'Amex Transactions'!$C:$C,A146,'Amex Transactions'!$G:$G,"&gt;0")</f>
        <v/>
      </c>
      <c r="F146" s="11" t="n">
        <v>45806</v>
      </c>
      <c r="G146" s="10">
        <f>IF(COUNTIFS('Amex Transactions'!$C:$C,A146,'Amex Transactions'!$I:$I,"Check")&gt;0,"Check","")</f>
        <v/>
      </c>
    </row>
    <row r="147">
      <c r="A147" s="10" t="inlineStr">
        <is>
          <t>ZETTLE *BECKFORD BOTTLE TISBURY</t>
        </is>
      </c>
      <c r="B147" s="10">
        <f>IFERROR(INDEX('Review Items'!$D:$D,MATCH(A147,'Review Items'!$B:$B,0)),IFERROR(INDEX('Rule Updates'!$B:$B,MATCH(A147,'Rule Updates'!$A:$A,0)),"Uncategorised"))</f>
        <v/>
      </c>
      <c r="C147" s="10">
        <f>IFERROR(INDEX('Review Items'!$E:$E,MATCH(A147,'Review Items'!$B:$B,0)),IFERROR(INDEX('Rule Updates'!$C:$C,MATCH(A147,'Rule Updates'!$A:$A,0)),"Review"))</f>
        <v/>
      </c>
      <c r="D147" s="10">
        <f>COUNTIF('Amex Transactions'!$C:$C,A147)</f>
        <v/>
      </c>
      <c r="E147" s="10">
        <f>SUMIFS('Amex Transactions'!$G:$G,'Amex Transactions'!$C:$C,A147,'Amex Transactions'!$G:$G,"&gt;0")</f>
        <v/>
      </c>
      <c r="F147" s="11" t="n">
        <v>45744</v>
      </c>
      <c r="G147" s="10">
        <f>IF(COUNTIFS('Amex Transactions'!$C:$C,A147,'Amex Transactions'!$I:$I,"Check")&gt;0,"Check","")</f>
        <v/>
      </c>
    </row>
    <row r="148">
      <c r="A148" s="10" t="inlineStr">
        <is>
          <t>A MONGE QUALS BRONTE</t>
        </is>
      </c>
      <c r="B148" s="10">
        <f>IFERROR(INDEX('Review Items'!$D:$D,MATCH(A148,'Review Items'!$B:$B,0)),IFERROR(INDEX('Rule Updates'!$B:$B,MATCH(A148,'Rule Updates'!$A:$A,0)),"Uncategorised"))</f>
        <v/>
      </c>
      <c r="C148" s="10">
        <f>IFERROR(INDEX('Review Items'!$E:$E,MATCH(A148,'Review Items'!$B:$B,0)),IFERROR(INDEX('Rule Updates'!$C:$C,MATCH(A148,'Rule Updates'!$A:$A,0)),"Review"))</f>
        <v/>
      </c>
      <c r="D148" s="10">
        <f>COUNTIF('Amex Transactions'!$C:$C,A148)</f>
        <v/>
      </c>
      <c r="E148" s="10">
        <f>SUMIFS('Amex Transactions'!$G:$G,'Amex Transactions'!$C:$C,A148,'Amex Transactions'!$G:$G,"&gt;0")</f>
        <v/>
      </c>
      <c r="F148" s="11" t="n">
        <v>46013</v>
      </c>
      <c r="G148" s="10">
        <f>IF(COUNTIFS('Amex Transactions'!$C:$C,A148,'Amex Transactions'!$I:$I,"Check")&gt;0,"Check","")</f>
        <v/>
      </c>
    </row>
    <row r="149">
      <c r="A149" s="10" t="inlineStr">
        <is>
          <t>EL RAIS 335128740 MAO</t>
        </is>
      </c>
      <c r="B149" s="10">
        <f>IFERROR(INDEX('Review Items'!$D:$D,MATCH(A149,'Review Items'!$B:$B,0)),IFERROR(INDEX('Rule Updates'!$B:$B,MATCH(A149,'Rule Updates'!$A:$A,0)),"Uncategorised"))</f>
        <v/>
      </c>
      <c r="C149" s="10">
        <f>IFERROR(INDEX('Review Items'!$E:$E,MATCH(A149,'Review Items'!$B:$B,0)),IFERROR(INDEX('Rule Updates'!$C:$C,MATCH(A149,'Rule Updates'!$A:$A,0)),"Review"))</f>
        <v/>
      </c>
      <c r="D149" s="10">
        <f>COUNTIF('Amex Transactions'!$C:$C,A149)</f>
        <v/>
      </c>
      <c r="E149" s="10">
        <f>SUMIFS('Amex Transactions'!$G:$G,'Amex Transactions'!$C:$C,A149,'Amex Transactions'!$G:$G,"&gt;0")</f>
        <v/>
      </c>
      <c r="F149" s="11" t="n">
        <v>45831</v>
      </c>
      <c r="G149" s="10">
        <f>IF(COUNTIFS('Amex Transactions'!$C:$C,A149,'Amex Transactions'!$I:$I,"Check")&gt;0,"Check","")</f>
        <v/>
      </c>
    </row>
    <row r="150">
      <c r="A150" s="10" t="inlineStr">
        <is>
          <t>ISA BEL MARANT - LANDMAR CENTRAL</t>
        </is>
      </c>
      <c r="B150" s="10">
        <f>IFERROR(INDEX('Review Items'!$D:$D,MATCH(A150,'Review Items'!$B:$B,0)),IFERROR(INDEX('Rule Updates'!$B:$B,MATCH(A150,'Rule Updates'!$A:$A,0)),"Uncategorised"))</f>
        <v/>
      </c>
      <c r="C150" s="10">
        <f>IFERROR(INDEX('Review Items'!$E:$E,MATCH(A150,'Review Items'!$B:$B,0)),IFERROR(INDEX('Rule Updates'!$C:$C,MATCH(A150,'Rule Updates'!$A:$A,0)),"Review"))</f>
        <v/>
      </c>
      <c r="D150" s="10">
        <f>COUNTIF('Amex Transactions'!$C:$C,A150)</f>
        <v/>
      </c>
      <c r="E150" s="10">
        <f>SUMIFS('Amex Transactions'!$G:$G,'Amex Transactions'!$C:$C,A150,'Amex Transactions'!$G:$G,"&gt;0")</f>
        <v/>
      </c>
      <c r="F150" s="11" t="n">
        <v>45903</v>
      </c>
      <c r="G150" s="10">
        <f>IF(COUNTIFS('Amex Transactions'!$C:$C,A150,'Amex Transactions'!$I:$I,"Check")&gt;0,"Check","")</f>
        <v/>
      </c>
    </row>
    <row r="151">
      <c r="A151" s="10" t="inlineStr">
        <is>
          <t>EAST CAPE CO PESOS LOS CABOS</t>
        </is>
      </c>
      <c r="B151" s="10">
        <f>IFERROR(INDEX('Review Items'!$D:$D,MATCH(A151,'Review Items'!$B:$B,0)),IFERROR(INDEX('Rule Updates'!$B:$B,MATCH(A151,'Rule Updates'!$A:$A,0)),"Uncategorised"))</f>
        <v/>
      </c>
      <c r="C151" s="10">
        <f>IFERROR(INDEX('Review Items'!$E:$E,MATCH(A151,'Review Items'!$B:$B,0)),IFERROR(INDEX('Rule Updates'!$C:$C,MATCH(A151,'Rule Updates'!$A:$A,0)),"Review"))</f>
        <v/>
      </c>
      <c r="D151" s="10">
        <f>COUNTIF('Amex Transactions'!$C:$C,A151)</f>
        <v/>
      </c>
      <c r="E151" s="10">
        <f>SUMIFS('Amex Transactions'!$G:$G,'Amex Transactions'!$C:$C,A151,'Amex Transactions'!$G:$G,"&gt;0")</f>
        <v/>
      </c>
      <c r="F151" s="11" t="n">
        <v>45812</v>
      </c>
      <c r="G151" s="10">
        <f>IF(COUNTIFS('Amex Transactions'!$C:$C,A151,'Amex Transactions'!$I:$I,"Check")&gt;0,"Check","")</f>
        <v/>
      </c>
    </row>
    <row r="152">
      <c r="A152" s="10" t="inlineStr">
        <is>
          <t>AMATHUS (Bath) Bath</t>
        </is>
      </c>
      <c r="B152" s="10">
        <f>IFERROR(INDEX('Review Items'!$D:$D,MATCH(A152,'Review Items'!$B:$B,0)),IFERROR(INDEX('Rule Updates'!$B:$B,MATCH(A152,'Rule Updates'!$A:$A,0)),"Uncategorised"))</f>
        <v/>
      </c>
      <c r="C152" s="10">
        <f>IFERROR(INDEX('Review Items'!$E:$E,MATCH(A152,'Review Items'!$B:$B,0)),IFERROR(INDEX('Rule Updates'!$C:$C,MATCH(A152,'Rule Updates'!$A:$A,0)),"Review"))</f>
        <v/>
      </c>
      <c r="D152" s="10">
        <f>COUNTIF('Amex Transactions'!$C:$C,A152)</f>
        <v/>
      </c>
      <c r="E152" s="10">
        <f>SUMIFS('Amex Transactions'!$G:$G,'Amex Transactions'!$C:$C,A152,'Amex Transactions'!$G:$G,"&gt;0")</f>
        <v/>
      </c>
      <c r="F152" s="11" t="n">
        <v>45838</v>
      </c>
      <c r="G152" s="10">
        <f>IF(COUNTIFS('Amex Transactions'!$C:$C,A152,'Amex Transactions'!$I:$I,"Check")&gt;0,"Check","")</f>
        <v/>
      </c>
    </row>
    <row r="153">
      <c r="A153" s="10" t="inlineStr">
        <is>
          <t>SPA.P.C. NE WYORK</t>
        </is>
      </c>
      <c r="B153" s="10">
        <f>IFERROR(INDEX('Review Items'!$D:$D,MATCH(A153,'Review Items'!$B:$B,0)),IFERROR(INDEX('Rule Updates'!$B:$B,MATCH(A153,'Rule Updates'!$A:$A,0)),"Uncategorised"))</f>
        <v/>
      </c>
      <c r="C153" s="10">
        <f>IFERROR(INDEX('Review Items'!$E:$E,MATCH(A153,'Review Items'!$B:$B,0)),IFERROR(INDEX('Rule Updates'!$C:$C,MATCH(A153,'Rule Updates'!$A:$A,0)),"Review"))</f>
        <v/>
      </c>
      <c r="D153" s="10">
        <f>COUNTIF('Amex Transactions'!$C:$C,A153)</f>
        <v/>
      </c>
      <c r="E153" s="10">
        <f>SUMIFS('Amex Transactions'!$G:$G,'Amex Transactions'!$C:$C,A153,'Amex Transactions'!$G:$G,"&gt;0")</f>
        <v/>
      </c>
      <c r="F153" s="11" t="n">
        <v>45948</v>
      </c>
      <c r="G153" s="10">
        <f>IF(COUNTIFS('Amex Transactions'!$C:$C,A153,'Amex Transactions'!$I:$I,"Check")&gt;0,"Check","")</f>
        <v/>
      </c>
    </row>
    <row r="154">
      <c r="A154" s="10" t="inlineStr">
        <is>
          <t>HARVEY NICHOLS KNIGHTSB LONDON</t>
        </is>
      </c>
      <c r="B154" s="10">
        <f>IFERROR(INDEX('Review Items'!$D:$D,MATCH(A154,'Review Items'!$B:$B,0)),IFERROR(INDEX('Rule Updates'!$B:$B,MATCH(A154,'Rule Updates'!$A:$A,0)),"Uncategorised"))</f>
        <v/>
      </c>
      <c r="C154" s="10">
        <f>IFERROR(INDEX('Review Items'!$E:$E,MATCH(A154,'Review Items'!$B:$B,0)),IFERROR(INDEX('Rule Updates'!$C:$C,MATCH(A154,'Rule Updates'!$A:$A,0)),"Review"))</f>
        <v/>
      </c>
      <c r="D154" s="10">
        <f>COUNTIF('Amex Transactions'!$C:$C,A154)</f>
        <v/>
      </c>
      <c r="E154" s="10">
        <f>SUMIFS('Amex Transactions'!$G:$G,'Amex Transactions'!$C:$C,A154,'Amex Transactions'!$G:$G,"&gt;0")</f>
        <v/>
      </c>
      <c r="F154" s="11" t="n">
        <v>45752</v>
      </c>
      <c r="G154" s="10">
        <f>IF(COUNTIFS('Amex Transactions'!$C:$C,A154,'Amex Transactions'!$I:$I,"Check")&gt;0,"Check","")</f>
        <v/>
      </c>
    </row>
    <row r="155">
      <c r="A155" s="10" t="inlineStr">
        <is>
          <t>SHANGHAI TANG - HKIA EA LANTAU</t>
        </is>
      </c>
      <c r="B155" s="10">
        <f>IFERROR(INDEX('Review Items'!$D:$D,MATCH(A155,'Review Items'!$B:$B,0)),IFERROR(INDEX('Rule Updates'!$B:$B,MATCH(A155,'Rule Updates'!$A:$A,0)),"Uncategorised"))</f>
        <v/>
      </c>
      <c r="C155" s="10">
        <f>IFERROR(INDEX('Review Items'!$E:$E,MATCH(A155,'Review Items'!$B:$B,0)),IFERROR(INDEX('Rule Updates'!$C:$C,MATCH(A155,'Rule Updates'!$A:$A,0)),"Review"))</f>
        <v/>
      </c>
      <c r="D155" s="10">
        <f>COUNTIF('Amex Transactions'!$C:$C,A155)</f>
        <v/>
      </c>
      <c r="E155" s="10">
        <f>SUMIFS('Amex Transactions'!$G:$G,'Amex Transactions'!$C:$C,A155,'Amex Transactions'!$G:$G,"&gt;0")</f>
        <v/>
      </c>
      <c r="F155" s="11" t="n">
        <v>45639</v>
      </c>
      <c r="G155" s="10">
        <f>IF(COUNTIFS('Amex Transactions'!$C:$C,A155,'Amex Transactions'!$I:$I,"Check")&gt;0,"Check","")</f>
        <v/>
      </c>
    </row>
    <row r="156">
      <c r="A156" s="10" t="inlineStr">
        <is>
          <t>TST* KABAW A 000763 4 3 NE WYORK</t>
        </is>
      </c>
      <c r="B156" s="10">
        <f>IFERROR(INDEX('Review Items'!$D:$D,MATCH(A156,'Review Items'!$B:$B,0)),IFERROR(INDEX('Rule Updates'!$B:$B,MATCH(A156,'Rule Updates'!$A:$A,0)),"Uncategorised"))</f>
        <v/>
      </c>
      <c r="C156" s="10">
        <f>IFERROR(INDEX('Review Items'!$E:$E,MATCH(A156,'Review Items'!$B:$B,0)),IFERROR(INDEX('Rule Updates'!$C:$C,MATCH(A156,'Rule Updates'!$A:$A,0)),"Review"))</f>
        <v/>
      </c>
      <c r="D156" s="10">
        <f>COUNTIF('Amex Transactions'!$C:$C,A156)</f>
        <v/>
      </c>
      <c r="E156" s="10">
        <f>SUMIFS('Amex Transactions'!$G:$G,'Amex Transactions'!$C:$C,A156,'Amex Transactions'!$G:$G,"&gt;0")</f>
        <v/>
      </c>
      <c r="F156" s="11" t="n">
        <v>46059</v>
      </c>
      <c r="G156" s="10">
        <f>IF(COUNTIFS('Amex Transactions'!$C:$C,A156,'Amex Transactions'!$I:$I,"Check")&gt;0,"Check","")</f>
        <v/>
      </c>
    </row>
    <row r="157">
      <c r="A157" s="10" t="inlineStr">
        <is>
          <t>LANE CRA WFORD ( FURNITUR AD MIRALTY</t>
        </is>
      </c>
      <c r="B157" s="10">
        <f>IFERROR(INDEX('Review Items'!$D:$D,MATCH(A157,'Review Items'!$B:$B,0)),IFERROR(INDEX('Rule Updates'!$B:$B,MATCH(A157,'Rule Updates'!$A:$A,0)),"Uncategorised"))</f>
        <v/>
      </c>
      <c r="C157" s="10">
        <f>IFERROR(INDEX('Review Items'!$E:$E,MATCH(A157,'Review Items'!$B:$B,0)),IFERROR(INDEX('Rule Updates'!$C:$C,MATCH(A157,'Rule Updates'!$A:$A,0)),"Review"))</f>
        <v/>
      </c>
      <c r="D157" s="10">
        <f>COUNTIF('Amex Transactions'!$C:$C,A157)</f>
        <v/>
      </c>
      <c r="E157" s="10">
        <f>SUMIFS('Amex Transactions'!$G:$G,'Amex Transactions'!$C:$C,A157,'Amex Transactions'!$G:$G,"&gt;0")</f>
        <v/>
      </c>
      <c r="F157" s="11" t="n">
        <v>46006</v>
      </c>
      <c r="G157" s="10">
        <f>IF(COUNTIFS('Amex Transactions'!$C:$C,A157,'Amex Transactions'!$I:$I,"Check")&gt;0,"Check","")</f>
        <v/>
      </c>
    </row>
    <row r="158">
      <c r="A158" s="10" t="inlineStr">
        <is>
          <t>LANE CRA WF ORD ( I F C ) CENTRAL</t>
        </is>
      </c>
      <c r="B158" s="10">
        <f>IFERROR(INDEX('Review Items'!$D:$D,MATCH(A158,'Review Items'!$B:$B,0)),IFERROR(INDEX('Rule Updates'!$B:$B,MATCH(A158,'Rule Updates'!$A:$A,0)),"Uncategorised"))</f>
        <v/>
      </c>
      <c r="C158" s="10">
        <f>IFERROR(INDEX('Review Items'!$E:$E,MATCH(A158,'Review Items'!$B:$B,0)),IFERROR(INDEX('Rule Updates'!$C:$C,MATCH(A158,'Rule Updates'!$A:$A,0)),"Review"))</f>
        <v/>
      </c>
      <c r="D158" s="10">
        <f>COUNTIF('Amex Transactions'!$C:$C,A158)</f>
        <v/>
      </c>
      <c r="E158" s="10">
        <f>SUMIFS('Amex Transactions'!$G:$G,'Amex Transactions'!$C:$C,A158,'Amex Transactions'!$G:$G,"&gt;0")</f>
        <v/>
      </c>
      <c r="F158" s="11" t="n">
        <v>45925</v>
      </c>
      <c r="G158" s="10">
        <f>IF(COUNTIFS('Amex Transactions'!$C:$C,A158,'Amex Transactions'!$I:$I,"Check")&gt;0,"Check","")</f>
        <v/>
      </c>
    </row>
    <row r="159">
      <c r="A159" s="10" t="inlineStr">
        <is>
          <t>Rhythm Niseko Setsu meng tian jun</t>
        </is>
      </c>
      <c r="B159" s="10">
        <f>IFERROR(INDEX('Review Items'!$D:$D,MATCH(A159,'Review Items'!$B:$B,0)),IFERROR(INDEX('Rule Updates'!$B:$B,MATCH(A159,'Rule Updates'!$A:$A,0)),"Uncategorised"))</f>
        <v/>
      </c>
      <c r="C159" s="10">
        <f>IFERROR(INDEX('Review Items'!$E:$E,MATCH(A159,'Review Items'!$B:$B,0)),IFERROR(INDEX('Rule Updates'!$C:$C,MATCH(A159,'Rule Updates'!$A:$A,0)),"Review"))</f>
        <v/>
      </c>
      <c r="D159" s="10">
        <f>COUNTIF('Amex Transactions'!$C:$C,A159)</f>
        <v/>
      </c>
      <c r="E159" s="10">
        <f>SUMIFS('Amex Transactions'!$G:$G,'Amex Transactions'!$C:$C,A159,'Amex Transactions'!$G:$G,"&gt;0")</f>
        <v/>
      </c>
      <c r="F159" s="11" t="n">
        <v>45727</v>
      </c>
      <c r="G159" s="10">
        <f>IF(COUNTIFS('Amex Transactions'!$C:$C,A159,'Amex Transactions'!$I:$I,"Check")&gt;0,"Check","")</f>
        <v/>
      </c>
    </row>
    <row r="160">
      <c r="A160" s="10" t="inlineStr">
        <is>
          <t>SOLACE LONDON LONDON</t>
        </is>
      </c>
      <c r="B160" s="10">
        <f>IFERROR(INDEX('Review Items'!$D:$D,MATCH(A160,'Review Items'!$B:$B,0)),IFERROR(INDEX('Rule Updates'!$B:$B,MATCH(A160,'Rule Updates'!$A:$A,0)),"Uncategorised"))</f>
        <v/>
      </c>
      <c r="C160" s="10">
        <f>IFERROR(INDEX('Review Items'!$E:$E,MATCH(A160,'Review Items'!$B:$B,0)),IFERROR(INDEX('Rule Updates'!$C:$C,MATCH(A160,'Rule Updates'!$A:$A,0)),"Review"))</f>
        <v/>
      </c>
      <c r="D160" s="10">
        <f>COUNTIF('Amex Transactions'!$C:$C,A160)</f>
        <v/>
      </c>
      <c r="E160" s="10">
        <f>SUMIFS('Amex Transactions'!$G:$G,'Amex Transactions'!$C:$C,A160,'Amex Transactions'!$G:$G,"&gt;0")</f>
        <v/>
      </c>
      <c r="F160" s="11" t="n">
        <v>45546</v>
      </c>
      <c r="G160" s="10">
        <f>IF(COUNTIFS('Amex Transactions'!$C:$C,A160,'Amex Transactions'!$I:$I,"Check")&gt;0,"Check","")</f>
        <v/>
      </c>
    </row>
    <row r="161">
      <c r="A161" s="10" t="inlineStr">
        <is>
          <t>ISABEL MARANT - LANDMAR CENTRAL</t>
        </is>
      </c>
      <c r="B161" s="10">
        <f>IFERROR(INDEX('Review Items'!$D:$D,MATCH(A161,'Review Items'!$B:$B,0)),IFERROR(INDEX('Rule Updates'!$B:$B,MATCH(A161,'Rule Updates'!$A:$A,0)),"Uncategorised"))</f>
        <v/>
      </c>
      <c r="C161" s="10">
        <f>IFERROR(INDEX('Review Items'!$E:$E,MATCH(A161,'Review Items'!$B:$B,0)),IFERROR(INDEX('Rule Updates'!$C:$C,MATCH(A161,'Rule Updates'!$A:$A,0)),"Review"))</f>
        <v/>
      </c>
      <c r="D161" s="10">
        <f>COUNTIF('Amex Transactions'!$C:$C,A161)</f>
        <v/>
      </c>
      <c r="E161" s="10">
        <f>SUMIFS('Amex Transactions'!$G:$G,'Amex Transactions'!$C:$C,A161,'Amex Transactions'!$G:$G,"&gt;0")</f>
        <v/>
      </c>
      <c r="F161" s="11" t="n">
        <v>45801</v>
      </c>
      <c r="G161" s="10">
        <f>IF(COUNTIFS('Amex Transactions'!$C:$C,A161,'Amex Transactions'!$I:$I,"Check")&gt;0,"Check","")</f>
        <v/>
      </c>
    </row>
    <row r="162">
      <c r="A162" s="10" t="inlineStr">
        <is>
          <t>HOMELOFT LEWES</t>
        </is>
      </c>
      <c r="B162" s="10">
        <f>IFERROR(INDEX('Review Items'!$D:$D,MATCH(A162,'Review Items'!$B:$B,0)),IFERROR(INDEX('Rule Updates'!$B:$B,MATCH(A162,'Rule Updates'!$A:$A,0)),"Uncategorised"))</f>
        <v/>
      </c>
      <c r="C162" s="10">
        <f>IFERROR(INDEX('Review Items'!$E:$E,MATCH(A162,'Review Items'!$B:$B,0)),IFERROR(INDEX('Rule Updates'!$C:$C,MATCH(A162,'Rule Updates'!$A:$A,0)),"Review"))</f>
        <v/>
      </c>
      <c r="D162" s="10">
        <f>COUNTIF('Amex Transactions'!$C:$C,A162)</f>
        <v/>
      </c>
      <c r="E162" s="10">
        <f>SUMIFS('Amex Transactions'!$G:$G,'Amex Transactions'!$C:$C,A162,'Amex Transactions'!$G:$G,"&gt;0")</f>
        <v/>
      </c>
      <c r="F162" s="11" t="n">
        <v>45586</v>
      </c>
      <c r="G162" s="10">
        <f>IF(COUNTIFS('Amex Transactions'!$C:$C,A162,'Amex Transactions'!$I:$I,"Check")&gt;0,"Check","")</f>
        <v/>
      </c>
    </row>
    <row r="163">
      <c r="A163" s="10" t="inlineStr">
        <is>
          <t>ON HONG KONG LTD. WAN CHAI</t>
        </is>
      </c>
      <c r="B163" s="10">
        <f>IFERROR(INDEX('Review Items'!$D:$D,MATCH(A163,'Review Items'!$B:$B,0)),IFERROR(INDEX('Rule Updates'!$B:$B,MATCH(A163,'Rule Updates'!$A:$A,0)),"Uncategorised"))</f>
        <v/>
      </c>
      <c r="C163" s="10">
        <f>IFERROR(INDEX('Review Items'!$E:$E,MATCH(A163,'Review Items'!$B:$B,0)),IFERROR(INDEX('Rule Updates'!$C:$C,MATCH(A163,'Rule Updates'!$A:$A,0)),"Review"))</f>
        <v/>
      </c>
      <c r="D163" s="10">
        <f>COUNTIF('Amex Transactions'!$C:$C,A163)</f>
        <v/>
      </c>
      <c r="E163" s="10">
        <f>SUMIFS('Amex Transactions'!$G:$G,'Amex Transactions'!$C:$C,A163,'Amex Transactions'!$G:$G,"&gt;0")</f>
        <v/>
      </c>
      <c r="F163" s="11" t="n">
        <v>45793</v>
      </c>
      <c r="G163" s="10">
        <f>IF(COUNTIFS('Amex Transactions'!$C:$C,A163,'Amex Transactions'!$I:$I,"Check")&gt;0,"Check","")</f>
        <v/>
      </c>
    </row>
    <row r="164">
      <c r="A164" s="10" t="inlineStr">
        <is>
          <t>LUCALE SAI YING PUN</t>
        </is>
      </c>
      <c r="B164" s="10">
        <f>IFERROR(INDEX('Review Items'!$D:$D,MATCH(A164,'Review Items'!$B:$B,0)),IFERROR(INDEX('Rule Updates'!$B:$B,MATCH(A164,'Rule Updates'!$A:$A,0)),"Uncategorised"))</f>
        <v/>
      </c>
      <c r="C164" s="10">
        <f>IFERROR(INDEX('Review Items'!$E:$E,MATCH(A164,'Review Items'!$B:$B,0)),IFERROR(INDEX('Rule Updates'!$C:$C,MATCH(A164,'Rule Updates'!$A:$A,0)),"Review"))</f>
        <v/>
      </c>
      <c r="D164" s="10">
        <f>COUNTIF('Amex Transactions'!$C:$C,A164)</f>
        <v/>
      </c>
      <c r="E164" s="10">
        <f>SUMIFS('Amex Transactions'!$G:$G,'Amex Transactions'!$C:$C,A164,'Amex Transactions'!$G:$G,"&gt;0")</f>
        <v/>
      </c>
      <c r="F164" s="11" t="n">
        <v>45577</v>
      </c>
      <c r="G164" s="10">
        <f>IF(COUNTIFS('Amex Transactions'!$C:$C,A164,'Amex Transactions'!$I:$I,"Check")&gt;0,"Check","")</f>
        <v/>
      </c>
    </row>
    <row r="165">
      <c r="A165" s="10" t="inlineStr">
        <is>
          <t>CITYSUPER STORE @ SOUTH WONG CHUK HANG</t>
        </is>
      </c>
      <c r="B165" s="10">
        <f>IFERROR(INDEX('Review Items'!$D:$D,MATCH(A165,'Review Items'!$B:$B,0)),IFERROR(INDEX('Rule Updates'!$B:$B,MATCH(A165,'Rule Updates'!$A:$A,0)),"Uncategorised"))</f>
        <v/>
      </c>
      <c r="C165" s="10">
        <f>IFERROR(INDEX('Review Items'!$E:$E,MATCH(A165,'Review Items'!$B:$B,0)),IFERROR(INDEX('Rule Updates'!$C:$C,MATCH(A165,'Rule Updates'!$A:$A,0)),"Review"))</f>
        <v/>
      </c>
      <c r="D165" s="10">
        <f>COUNTIF('Amex Transactions'!$C:$C,A165)</f>
        <v/>
      </c>
      <c r="E165" s="10">
        <f>SUMIFS('Amex Transactions'!$G:$G,'Amex Transactions'!$C:$C,A165,'Amex Transactions'!$G:$G,"&gt;0")</f>
        <v/>
      </c>
      <c r="F165" s="11" t="n">
        <v>45938</v>
      </c>
      <c r="G165" s="10">
        <f>IF(COUNTIFS('Amex Transactions'!$C:$C,A165,'Amex Transactions'!$I:$I,"Check")&gt;0,"Check","")</f>
        <v/>
      </c>
    </row>
    <row r="166">
      <c r="A166" s="10" t="inlineStr">
        <is>
          <t>L u ke ' s Alpine Club meng t ian j u n</t>
        </is>
      </c>
      <c r="B166" s="10">
        <f>IFERROR(INDEX('Review Items'!$D:$D,MATCH(A166,'Review Items'!$B:$B,0)),IFERROR(INDEX('Rule Updates'!$B:$B,MATCH(A166,'Rule Updates'!$A:$A,0)),"Uncategorised"))</f>
        <v/>
      </c>
      <c r="C166" s="10">
        <f>IFERROR(INDEX('Review Items'!$E:$E,MATCH(A166,'Review Items'!$B:$B,0)),IFERROR(INDEX('Rule Updates'!$C:$C,MATCH(A166,'Rule Updates'!$A:$A,0)),"Review"))</f>
        <v/>
      </c>
      <c r="D166" s="10">
        <f>COUNTIF('Amex Transactions'!$C:$C,A166)</f>
        <v/>
      </c>
      <c r="E166" s="10">
        <f>SUMIFS('Amex Transactions'!$G:$G,'Amex Transactions'!$C:$C,A166,'Amex Transactions'!$G:$G,"&gt;0")</f>
        <v/>
      </c>
      <c r="F166" s="11" t="n">
        <v>46084</v>
      </c>
      <c r="G166" s="10">
        <f>IF(COUNTIFS('Amex Transactions'!$C:$C,A166,'Amex Transactions'!$I:$I,"Check")&gt;0,"Check","")</f>
        <v/>
      </c>
    </row>
    <row r="167">
      <c r="A167" s="10" t="inlineStr">
        <is>
          <t>KANESAKA HONG KONG CENTRAL</t>
        </is>
      </c>
      <c r="B167" s="10">
        <f>IFERROR(INDEX('Review Items'!$D:$D,MATCH(A167,'Review Items'!$B:$B,0)),IFERROR(INDEX('Rule Updates'!$B:$B,MATCH(A167,'Rule Updates'!$A:$A,0)),"Uncategorised"))</f>
        <v/>
      </c>
      <c r="C167" s="10">
        <f>IFERROR(INDEX('Review Items'!$E:$E,MATCH(A167,'Review Items'!$B:$B,0)),IFERROR(INDEX('Rule Updates'!$C:$C,MATCH(A167,'Rule Updates'!$A:$A,0)),"Review"))</f>
        <v/>
      </c>
      <c r="D167" s="10">
        <f>COUNTIF('Amex Transactions'!$C:$C,A167)</f>
        <v/>
      </c>
      <c r="E167" s="10">
        <f>SUMIFS('Amex Transactions'!$G:$G,'Amex Transactions'!$C:$C,A167,'Amex Transactions'!$G:$G,"&gt;0")</f>
        <v/>
      </c>
      <c r="F167" s="11" t="n">
        <v>45801</v>
      </c>
      <c r="G167" s="10">
        <f>IF(COUNTIFS('Amex Transactions'!$C:$C,A167,'Amex Transactions'!$I:$I,"Check")&gt;0,"Check","")</f>
        <v/>
      </c>
    </row>
    <row r="168">
      <c r="A168" s="10" t="inlineStr">
        <is>
          <t>sus hia z a bu meng t ian j u n j</t>
        </is>
      </c>
      <c r="B168" s="10">
        <f>IFERROR(INDEX('Review Items'!$D:$D,MATCH(A168,'Review Items'!$B:$B,0)),IFERROR(INDEX('Rule Updates'!$B:$B,MATCH(A168,'Rule Updates'!$A:$A,0)),"Uncategorised"))</f>
        <v/>
      </c>
      <c r="C168" s="10">
        <f>IFERROR(INDEX('Review Items'!$E:$E,MATCH(A168,'Review Items'!$B:$B,0)),IFERROR(INDEX('Rule Updates'!$C:$C,MATCH(A168,'Rule Updates'!$A:$A,0)),"Review"))</f>
        <v/>
      </c>
      <c r="D168" s="10">
        <f>COUNTIF('Amex Transactions'!$C:$C,A168)</f>
        <v/>
      </c>
      <c r="E168" s="10">
        <f>SUMIFS('Amex Transactions'!$G:$G,'Amex Transactions'!$C:$C,A168,'Amex Transactions'!$G:$G,"&gt;0")</f>
        <v/>
      </c>
      <c r="F168" s="11" t="n">
        <v>46084</v>
      </c>
      <c r="G168" s="10">
        <f>IF(COUNTIFS('Amex Transactions'!$C:$C,A168,'Amex Transactions'!$I:$I,"Check")&gt;0,"Check","")</f>
        <v/>
      </c>
    </row>
    <row r="169">
      <c r="A169" s="10" t="inlineStr">
        <is>
          <t>JEAN MAY WAN CHAI</t>
        </is>
      </c>
      <c r="B169" s="10">
        <f>IFERROR(INDEX('Review Items'!$D:$D,MATCH(A169,'Review Items'!$B:$B,0)),IFERROR(INDEX('Rule Updates'!$B:$B,MATCH(A169,'Rule Updates'!$A:$A,0)),"Uncategorised"))</f>
        <v/>
      </c>
      <c r="C169" s="10">
        <f>IFERROR(INDEX('Review Items'!$E:$E,MATCH(A169,'Review Items'!$B:$B,0)),IFERROR(INDEX('Rule Updates'!$C:$C,MATCH(A169,'Rule Updates'!$A:$A,0)),"Review"))</f>
        <v/>
      </c>
      <c r="D169" s="10">
        <f>COUNTIF('Amex Transactions'!$C:$C,A169)</f>
        <v/>
      </c>
      <c r="E169" s="10">
        <f>SUMIFS('Amex Transactions'!$G:$G,'Amex Transactions'!$C:$C,A169,'Amex Transactions'!$G:$G,"&gt;0")</f>
        <v/>
      </c>
      <c r="F169" s="11" t="n">
        <v>46093</v>
      </c>
      <c r="G169" s="10">
        <f>IF(COUNTIFS('Amex Transactions'!$C:$C,A169,'Amex Transactions'!$I:$I,"Check")&gt;0,"Check","")</f>
        <v/>
      </c>
    </row>
    <row r="170">
      <c r="A170" s="10" t="inlineStr">
        <is>
          <t>( JOO ) HYEONDAI BAIKHOA JEO SEOUL</t>
        </is>
      </c>
      <c r="B170" s="10">
        <f>IFERROR(INDEX('Review Items'!$D:$D,MATCH(A170,'Review Items'!$B:$B,0)),IFERROR(INDEX('Rule Updates'!$B:$B,MATCH(A170,'Rule Updates'!$A:$A,0)),"Uncategorised"))</f>
        <v/>
      </c>
      <c r="C170" s="10">
        <f>IFERROR(INDEX('Review Items'!$E:$E,MATCH(A170,'Review Items'!$B:$B,0)),IFERROR(INDEX('Rule Updates'!$C:$C,MATCH(A170,'Rule Updates'!$A:$A,0)),"Review"))</f>
        <v/>
      </c>
      <c r="D170" s="10">
        <f>COUNTIF('Amex Transactions'!$C:$C,A170)</f>
        <v/>
      </c>
      <c r="E170" s="10">
        <f>SUMIFS('Amex Transactions'!$G:$G,'Amex Transactions'!$C:$C,A170,'Amex Transactions'!$G:$G,"&gt;0")</f>
        <v/>
      </c>
      <c r="F170" s="11" t="n">
        <v>45968</v>
      </c>
      <c r="G170" s="10">
        <f>IF(COUNTIFS('Amex Transactions'!$C:$C,A170,'Amex Transactions'!$I:$I,"Check")&gt;0,"Check","")</f>
        <v/>
      </c>
    </row>
    <row r="171">
      <c r="A171" s="10" t="inlineStr">
        <is>
          <t>ASIA MILES LIMITED HONG KONG</t>
        </is>
      </c>
      <c r="B171" s="10">
        <f>IFERROR(INDEX('Review Items'!$D:$D,MATCH(A171,'Review Items'!$B:$B,0)),IFERROR(INDEX('Rule Updates'!$B:$B,MATCH(A171,'Rule Updates'!$A:$A,0)),"Uncategorised"))</f>
        <v/>
      </c>
      <c r="C171" s="10">
        <f>IFERROR(INDEX('Review Items'!$E:$E,MATCH(A171,'Review Items'!$B:$B,0)),IFERROR(INDEX('Rule Updates'!$C:$C,MATCH(A171,'Rule Updates'!$A:$A,0)),"Review"))</f>
        <v/>
      </c>
      <c r="D171" s="10">
        <f>COUNTIF('Amex Transactions'!$C:$C,A171)</f>
        <v/>
      </c>
      <c r="E171" s="10">
        <f>SUMIFS('Amex Transactions'!$G:$G,'Amex Transactions'!$C:$C,A171,'Amex Transactions'!$G:$G,"&gt;0")</f>
        <v/>
      </c>
      <c r="F171" s="11" t="n">
        <v>46094</v>
      </c>
      <c r="G171" s="10">
        <f>IF(COUNTIFS('Amex Transactions'!$C:$C,A171,'Amex Transactions'!$I:$I,"Check")&gt;0,"Check","")</f>
        <v/>
      </c>
    </row>
    <row r="172">
      <c r="A172" s="10" t="inlineStr">
        <is>
          <t>RAG &amp; BONE HOLDINGS , LL NE WYORK</t>
        </is>
      </c>
      <c r="B172" s="10">
        <f>IFERROR(INDEX('Review Items'!$D:$D,MATCH(A172,'Review Items'!$B:$B,0)),IFERROR(INDEX('Rule Updates'!$B:$B,MATCH(A172,'Rule Updates'!$A:$A,0)),"Uncategorised"))</f>
        <v/>
      </c>
      <c r="C172" s="10">
        <f>IFERROR(INDEX('Review Items'!$E:$E,MATCH(A172,'Review Items'!$B:$B,0)),IFERROR(INDEX('Rule Updates'!$C:$C,MATCH(A172,'Rule Updates'!$A:$A,0)),"Review"))</f>
        <v/>
      </c>
      <c r="D172" s="10">
        <f>COUNTIF('Amex Transactions'!$C:$C,A172)</f>
        <v/>
      </c>
      <c r="E172" s="10">
        <f>SUMIFS('Amex Transactions'!$G:$G,'Amex Transactions'!$C:$C,A172,'Amex Transactions'!$G:$G,"&gt;0")</f>
        <v/>
      </c>
      <c r="F172" s="11" t="n">
        <v>45948</v>
      </c>
      <c r="G172" s="10">
        <f>IF(COUNTIFS('Amex Transactions'!$C:$C,A172,'Amex Transactions'!$I:$I,"Check")&gt;0,"Check","")</f>
        <v/>
      </c>
    </row>
    <row r="173">
      <c r="A173" s="10" t="inlineStr">
        <is>
          <t>BENNELONG SYDNEY</t>
        </is>
      </c>
      <c r="B173" s="10">
        <f>IFERROR(INDEX('Review Items'!$D:$D,MATCH(A173,'Review Items'!$B:$B,0)),IFERROR(INDEX('Rule Updates'!$B:$B,MATCH(A173,'Rule Updates'!$A:$A,0)),"Uncategorised"))</f>
        <v/>
      </c>
      <c r="C173" s="10">
        <f>IFERROR(INDEX('Review Items'!$E:$E,MATCH(A173,'Review Items'!$B:$B,0)),IFERROR(INDEX('Rule Updates'!$C:$C,MATCH(A173,'Rule Updates'!$A:$A,0)),"Review"))</f>
        <v/>
      </c>
      <c r="D173" s="10">
        <f>COUNTIF('Amex Transactions'!$C:$C,A173)</f>
        <v/>
      </c>
      <c r="E173" s="10">
        <f>SUMIFS('Amex Transactions'!$G:$G,'Amex Transactions'!$C:$C,A173,'Amex Transactions'!$G:$G,"&gt;0")</f>
        <v/>
      </c>
      <c r="F173" s="11" t="n">
        <v>45664</v>
      </c>
      <c r="G173" s="10">
        <f>IF(COUNTIFS('Amex Transactions'!$C:$C,A173,'Amex Transactions'!$I:$I,"Check")&gt;0,"Check","")</f>
        <v/>
      </c>
    </row>
    <row r="174">
      <c r="A174" s="10" t="inlineStr">
        <is>
          <t>45R CENTRAL</t>
        </is>
      </c>
      <c r="B174" s="10">
        <f>IFERROR(INDEX('Review Items'!$D:$D,MATCH(A174,'Review Items'!$B:$B,0)),IFERROR(INDEX('Rule Updates'!$B:$B,MATCH(A174,'Rule Updates'!$A:$A,0)),"Uncategorised"))</f>
        <v/>
      </c>
      <c r="C174" s="10">
        <f>IFERROR(INDEX('Review Items'!$E:$E,MATCH(A174,'Review Items'!$B:$B,0)),IFERROR(INDEX('Rule Updates'!$C:$C,MATCH(A174,'Rule Updates'!$A:$A,0)),"Review"))</f>
        <v/>
      </c>
      <c r="D174" s="10">
        <f>COUNTIF('Amex Transactions'!$C:$C,A174)</f>
        <v/>
      </c>
      <c r="E174" s="10">
        <f>SUMIFS('Amex Transactions'!$G:$G,'Amex Transactions'!$C:$C,A174,'Amex Transactions'!$G:$G,"&gt;0")</f>
        <v/>
      </c>
      <c r="F174" s="11" t="n">
        <v>45643</v>
      </c>
      <c r="G174" s="10">
        <f>IF(COUNTIFS('Amex Transactions'!$C:$C,A174,'Amex Transactions'!$I:$I,"Check")&gt;0,"Check","")</f>
        <v/>
      </c>
    </row>
    <row r="175">
      <c r="A175" s="10" t="inlineStr">
        <is>
          <t>NOBU LONDON LONDON</t>
        </is>
      </c>
      <c r="B175" s="10">
        <f>IFERROR(INDEX('Review Items'!$D:$D,MATCH(A175,'Review Items'!$B:$B,0)),IFERROR(INDEX('Rule Updates'!$B:$B,MATCH(A175,'Rule Updates'!$A:$A,0)),"Uncategorised"))</f>
        <v/>
      </c>
      <c r="C175" s="10">
        <f>IFERROR(INDEX('Review Items'!$E:$E,MATCH(A175,'Review Items'!$B:$B,0)),IFERROR(INDEX('Rule Updates'!$C:$C,MATCH(A175,'Rule Updates'!$A:$A,0)),"Review"))</f>
        <v/>
      </c>
      <c r="D175" s="10">
        <f>COUNTIF('Amex Transactions'!$C:$C,A175)</f>
        <v/>
      </c>
      <c r="E175" s="10">
        <f>SUMIFS('Amex Transactions'!$G:$G,'Amex Transactions'!$C:$C,A175,'Amex Transactions'!$G:$G,"&gt;0")</f>
        <v/>
      </c>
      <c r="F175" s="11" t="n">
        <v>45819</v>
      </c>
      <c r="G175" s="10">
        <f>IF(COUNTIFS('Amex Transactions'!$C:$C,A175,'Amex Transactions'!$I:$I,"Check")&gt;0,"Check","")</f>
        <v/>
      </c>
    </row>
    <row r="176">
      <c r="A176" s="10" t="inlineStr">
        <is>
          <t>ST REGIS MACAO - HOTEL MACAU</t>
        </is>
      </c>
      <c r="B176" s="10">
        <f>IFERROR(INDEX('Review Items'!$D:$D,MATCH(A176,'Review Items'!$B:$B,0)),IFERROR(INDEX('Rule Updates'!$B:$B,MATCH(A176,'Rule Updates'!$A:$A,0)),"Uncategorised"))</f>
        <v/>
      </c>
      <c r="C176" s="10">
        <f>IFERROR(INDEX('Review Items'!$E:$E,MATCH(A176,'Review Items'!$B:$B,0)),IFERROR(INDEX('Rule Updates'!$C:$C,MATCH(A176,'Rule Updates'!$A:$A,0)),"Review"))</f>
        <v/>
      </c>
      <c r="D176" s="10">
        <f>COUNTIF('Amex Transactions'!$C:$C,A176)</f>
        <v/>
      </c>
      <c r="E176" s="10">
        <f>SUMIFS('Amex Transactions'!$G:$G,'Amex Transactions'!$C:$C,A176,'Amex Transactions'!$G:$G,"&gt;0")</f>
        <v/>
      </c>
      <c r="F176" s="11" t="n">
        <v>45676</v>
      </c>
      <c r="G176" s="10">
        <f>IF(COUNTIFS('Amex Transactions'!$C:$C,A176,'Amex Transactions'!$I:$I,"Check")&gt;0,"Check","")</f>
        <v/>
      </c>
    </row>
    <row r="177">
      <c r="A177" s="10" t="inlineStr">
        <is>
          <t>SP SEOUL RECIPE HK TSEUN WAN</t>
        </is>
      </c>
      <c r="B177" s="10">
        <f>IFERROR(INDEX('Review Items'!$D:$D,MATCH(A177,'Review Items'!$B:$B,0)),IFERROR(INDEX('Rule Updates'!$B:$B,MATCH(A177,'Rule Updates'!$A:$A,0)),"Uncategorised"))</f>
        <v/>
      </c>
      <c r="C177" s="10">
        <f>IFERROR(INDEX('Review Items'!$E:$E,MATCH(A177,'Review Items'!$B:$B,0)),IFERROR(INDEX('Rule Updates'!$C:$C,MATCH(A177,'Rule Updates'!$A:$A,0)),"Review"))</f>
        <v/>
      </c>
      <c r="D177" s="10">
        <f>COUNTIF('Amex Transactions'!$C:$C,A177)</f>
        <v/>
      </c>
      <c r="E177" s="10">
        <f>SUMIFS('Amex Transactions'!$G:$G,'Amex Transactions'!$C:$C,A177,'Amex Transactions'!$G:$G,"&gt;0")</f>
        <v/>
      </c>
      <c r="F177" s="11" t="n">
        <v>45962</v>
      </c>
      <c r="G177" s="10">
        <f>IF(COUNTIFS('Amex Transactions'!$C:$C,A177,'Amex Transactions'!$I:$I,"Check")&gt;0,"Check","")</f>
        <v/>
      </c>
    </row>
    <row r="178">
      <c r="A178" s="10" t="inlineStr">
        <is>
          <t>GLOBALE*/ZADIGVOLTAIRE LONDON</t>
        </is>
      </c>
      <c r="B178" s="10">
        <f>IFERROR(INDEX('Review Items'!$D:$D,MATCH(A178,'Review Items'!$B:$B,0)),IFERROR(INDEX('Rule Updates'!$B:$B,MATCH(A178,'Rule Updates'!$A:$A,0)),"Uncategorised"))</f>
        <v/>
      </c>
      <c r="C178" s="10">
        <f>IFERROR(INDEX('Review Items'!$E:$E,MATCH(A178,'Review Items'!$B:$B,0)),IFERROR(INDEX('Rule Updates'!$C:$C,MATCH(A178,'Rule Updates'!$A:$A,0)),"Review"))</f>
        <v/>
      </c>
      <c r="D178" s="10">
        <f>COUNTIF('Amex Transactions'!$C:$C,A178)</f>
        <v/>
      </c>
      <c r="E178" s="10">
        <f>SUMIFS('Amex Transactions'!$G:$G,'Amex Transactions'!$C:$C,A178,'Amex Transactions'!$G:$G,"&gt;0")</f>
        <v/>
      </c>
      <c r="F178" s="11" t="n">
        <v>45824</v>
      </c>
      <c r="G178" s="10">
        <f>IF(COUNTIFS('Amex Transactions'!$C:$C,A178,'Amex Transactions'!$I:$I,"Check")&gt;0,"Check","")</f>
        <v/>
      </c>
    </row>
    <row r="179">
      <c r="A179" s="10" t="inlineStr">
        <is>
          <t>NisekoBion meng tian jun</t>
        </is>
      </c>
      <c r="B179" s="10">
        <f>IFERROR(INDEX('Review Items'!$D:$D,MATCH(A179,'Review Items'!$B:$B,0)),IFERROR(INDEX('Rule Updates'!$B:$B,MATCH(A179,'Rule Updates'!$A:$A,0)),"Uncategorised"))</f>
        <v/>
      </c>
      <c r="C179" s="10">
        <f>IFERROR(INDEX('Review Items'!$E:$E,MATCH(A179,'Review Items'!$B:$B,0)),IFERROR(INDEX('Rule Updates'!$C:$C,MATCH(A179,'Rule Updates'!$A:$A,0)),"Review"))</f>
        <v/>
      </c>
      <c r="D179" s="10">
        <f>COUNTIF('Amex Transactions'!$C:$C,A179)</f>
        <v/>
      </c>
      <c r="E179" s="10">
        <f>SUMIFS('Amex Transactions'!$G:$G,'Amex Transactions'!$C:$C,A179,'Amex Transactions'!$G:$G,"&gt;0")</f>
        <v/>
      </c>
      <c r="F179" s="11" t="n">
        <v>45718</v>
      </c>
      <c r="G179" s="10">
        <f>IF(COUNTIFS('Amex Transactions'!$C:$C,A179,'Amex Transactions'!$I:$I,"Check")&gt;0,"Check","")</f>
        <v/>
      </c>
    </row>
    <row r="180">
      <c r="A180" s="10" t="inlineStr">
        <is>
          <t>IKEA CAUSEWAY BAY</t>
        </is>
      </c>
      <c r="B180" s="10">
        <f>IFERROR(INDEX('Review Items'!$D:$D,MATCH(A180,'Review Items'!$B:$B,0)),IFERROR(INDEX('Rule Updates'!$B:$B,MATCH(A180,'Rule Updates'!$A:$A,0)),"Uncategorised"))</f>
        <v/>
      </c>
      <c r="C180" s="10">
        <f>IFERROR(INDEX('Review Items'!$E:$E,MATCH(A180,'Review Items'!$B:$B,0)),IFERROR(INDEX('Rule Updates'!$C:$C,MATCH(A180,'Rule Updates'!$A:$A,0)),"Review"))</f>
        <v/>
      </c>
      <c r="D180" s="10">
        <f>COUNTIF('Amex Transactions'!$C:$C,A180)</f>
        <v/>
      </c>
      <c r="E180" s="10">
        <f>SUMIFS('Amex Transactions'!$G:$G,'Amex Transactions'!$C:$C,A180,'Amex Transactions'!$G:$G,"&gt;0")</f>
        <v/>
      </c>
      <c r="F180" s="11" t="n">
        <v>45574</v>
      </c>
      <c r="G180" s="10">
        <f>IF(COUNTIFS('Amex Transactions'!$C:$C,A180,'Amex Transactions'!$I:$I,"Check")&gt;0,"Check","")</f>
        <v/>
      </c>
    </row>
    <row r="181">
      <c r="A181" s="10" t="inlineStr">
        <is>
          <t>SP HOMELESS.HK WONG CHUK HANG</t>
        </is>
      </c>
      <c r="B181" s="10">
        <f>IFERROR(INDEX('Review Items'!$D:$D,MATCH(A181,'Review Items'!$B:$B,0)),IFERROR(INDEX('Rule Updates'!$B:$B,MATCH(A181,'Rule Updates'!$A:$A,0)),"Uncategorised"))</f>
        <v/>
      </c>
      <c r="C181" s="10">
        <f>IFERROR(INDEX('Review Items'!$E:$E,MATCH(A181,'Review Items'!$B:$B,0)),IFERROR(INDEX('Rule Updates'!$C:$C,MATCH(A181,'Rule Updates'!$A:$A,0)),"Review"))</f>
        <v/>
      </c>
      <c r="D181" s="10">
        <f>COUNTIF('Amex Transactions'!$C:$C,A181)</f>
        <v/>
      </c>
      <c r="E181" s="10">
        <f>SUMIFS('Amex Transactions'!$G:$G,'Amex Transactions'!$C:$C,A181,'Amex Transactions'!$G:$G,"&gt;0")</f>
        <v/>
      </c>
      <c r="F181" s="11" t="n">
        <v>45582</v>
      </c>
      <c r="G181" s="10">
        <f>IF(COUNTIFS('Amex Transactions'!$C:$C,A181,'Amex Transactions'!$I:$I,"Check")&gt;0,"Check","")</f>
        <v/>
      </c>
    </row>
    <row r="182">
      <c r="A182" s="10" t="inlineStr">
        <is>
          <t>O.N.SKAPOK AD MIRALTY</t>
        </is>
      </c>
      <c r="B182" s="10">
        <f>IFERROR(INDEX('Review Items'!$D:$D,MATCH(A182,'Review Items'!$B:$B,0)),IFERROR(INDEX('Rule Updates'!$B:$B,MATCH(A182,'Rule Updates'!$A:$A,0)),"Uncategorised"))</f>
        <v/>
      </c>
      <c r="C182" s="10">
        <f>IFERROR(INDEX('Review Items'!$E:$E,MATCH(A182,'Review Items'!$B:$B,0)),IFERROR(INDEX('Rule Updates'!$C:$C,MATCH(A182,'Rule Updates'!$A:$A,0)),"Review"))</f>
        <v/>
      </c>
      <c r="D182" s="10">
        <f>COUNTIF('Amex Transactions'!$C:$C,A182)</f>
        <v/>
      </c>
      <c r="E182" s="10">
        <f>SUMIFS('Amex Transactions'!$G:$G,'Amex Transactions'!$C:$C,A182,'Amex Transactions'!$G:$G,"&gt;0")</f>
        <v/>
      </c>
      <c r="F182" s="11" t="n">
        <v>46006</v>
      </c>
      <c r="G182" s="10">
        <f>IF(COUNTIFS('Amex Transactions'!$C:$C,A182,'Amex Transactions'!$I:$I,"Check")&gt;0,"Check","")</f>
        <v/>
      </c>
    </row>
    <row r="183">
      <c r="A183" s="10" t="inlineStr">
        <is>
          <t>NISEKOVILLA HOKKAIDO</t>
        </is>
      </c>
      <c r="B183" s="10">
        <f>IFERROR(INDEX('Review Items'!$D:$D,MATCH(A183,'Review Items'!$B:$B,0)),IFERROR(INDEX('Rule Updates'!$B:$B,MATCH(A183,'Rule Updates'!$A:$A,0)),"Uncategorised"))</f>
        <v/>
      </c>
      <c r="C183" s="10">
        <f>IFERROR(INDEX('Review Items'!$E:$E,MATCH(A183,'Review Items'!$B:$B,0)),IFERROR(INDEX('Rule Updates'!$C:$C,MATCH(A183,'Rule Updates'!$A:$A,0)),"Review"))</f>
        <v/>
      </c>
      <c r="D183" s="10">
        <f>COUNTIF('Amex Transactions'!$C:$C,A183)</f>
        <v/>
      </c>
      <c r="E183" s="10">
        <f>SUMIFS('Amex Transactions'!$G:$G,'Amex Transactions'!$C:$C,A183,'Amex Transactions'!$G:$G,"&gt;0")</f>
        <v/>
      </c>
      <c r="F183" s="11" t="n">
        <v>46086</v>
      </c>
      <c r="G183" s="10">
        <f>IF(COUNTIFS('Amex Transactions'!$C:$C,A183,'Amex Transactions'!$I:$I,"Check")&gt;0,"Check","")</f>
        <v/>
      </c>
    </row>
    <row r="184">
      <c r="A184" s="10" t="inlineStr">
        <is>
          <t>PEKING GARDEN - ALEXAND CENTRAL</t>
        </is>
      </c>
      <c r="B184" s="10">
        <f>IFERROR(INDEX('Review Items'!$D:$D,MATCH(A184,'Review Items'!$B:$B,0)),IFERROR(INDEX('Rule Updates'!$B:$B,MATCH(A184,'Rule Updates'!$A:$A,0)),"Uncategorised"))</f>
        <v/>
      </c>
      <c r="C184" s="10">
        <f>IFERROR(INDEX('Review Items'!$E:$E,MATCH(A184,'Review Items'!$B:$B,0)),IFERROR(INDEX('Rule Updates'!$C:$C,MATCH(A184,'Rule Updates'!$A:$A,0)),"Review"))</f>
        <v/>
      </c>
      <c r="D184" s="10">
        <f>COUNTIF('Amex Transactions'!$C:$C,A184)</f>
        <v/>
      </c>
      <c r="E184" s="10">
        <f>SUMIFS('Amex Transactions'!$G:$G,'Amex Transactions'!$C:$C,A184,'Amex Transactions'!$G:$G,"&gt;0")</f>
        <v/>
      </c>
      <c r="F184" s="11" t="n">
        <v>46065</v>
      </c>
      <c r="G184" s="10">
        <f>IF(COUNTIFS('Amex Transactions'!$C:$C,A184,'Amex Transactions'!$I:$I,"Check")&gt;0,"Check","")</f>
        <v/>
      </c>
    </row>
    <row r="185">
      <c r="A185" s="10" t="inlineStr">
        <is>
          <t>SIXT PORTUGAL RAC_307_M PAREDES</t>
        </is>
      </c>
      <c r="B185" s="10">
        <f>IFERROR(INDEX('Review Items'!$D:$D,MATCH(A185,'Review Items'!$B:$B,0)),IFERROR(INDEX('Rule Updates'!$B:$B,MATCH(A185,'Rule Updates'!$A:$A,0)),"Uncategorised"))</f>
        <v/>
      </c>
      <c r="C185" s="10">
        <f>IFERROR(INDEX('Review Items'!$E:$E,MATCH(A185,'Review Items'!$B:$B,0)),IFERROR(INDEX('Rule Updates'!$C:$C,MATCH(A185,'Rule Updates'!$A:$A,0)),"Review"))</f>
        <v/>
      </c>
      <c r="D185" s="10">
        <f>COUNTIF('Amex Transactions'!$C:$C,A185)</f>
        <v/>
      </c>
      <c r="E185" s="10">
        <f>SUMIFS('Amex Transactions'!$G:$G,'Amex Transactions'!$C:$C,A185,'Amex Transactions'!$G:$G,"&gt;0")</f>
        <v/>
      </c>
      <c r="F185" s="11" t="n">
        <v>45782</v>
      </c>
      <c r="G185" s="10">
        <f>IF(COUNTIFS('Amex Transactions'!$C:$C,A185,'Amex Transactions'!$I:$I,"Check")&gt;0,"Check","")</f>
        <v/>
      </c>
    </row>
    <row r="186">
      <c r="A186" s="10" t="inlineStr">
        <is>
          <t>PSTNISEKO HOKKAIDO</t>
        </is>
      </c>
      <c r="B186" s="10">
        <f>IFERROR(INDEX('Review Items'!$D:$D,MATCH(A186,'Review Items'!$B:$B,0)),IFERROR(INDEX('Rule Updates'!$B:$B,MATCH(A186,'Rule Updates'!$A:$A,0)),"Uncategorised"))</f>
        <v/>
      </c>
      <c r="C186" s="10">
        <f>IFERROR(INDEX('Review Items'!$E:$E,MATCH(A186,'Review Items'!$B:$B,0)),IFERROR(INDEX('Rule Updates'!$C:$C,MATCH(A186,'Rule Updates'!$A:$A,0)),"Review"))</f>
        <v/>
      </c>
      <c r="D186" s="10">
        <f>COUNTIF('Amex Transactions'!$C:$C,A186)</f>
        <v/>
      </c>
      <c r="E186" s="10">
        <f>SUMIFS('Amex Transactions'!$G:$G,'Amex Transactions'!$C:$C,A186,'Amex Transactions'!$G:$G,"&gt;0")</f>
        <v/>
      </c>
      <c r="F186" s="11" t="n">
        <v>46083</v>
      </c>
      <c r="G186" s="10">
        <f>IF(COUNTIFS('Amex Transactions'!$C:$C,A186,'Amex Transactions'!$I:$I,"Check")&gt;0,"Check","")</f>
        <v/>
      </c>
    </row>
    <row r="187">
      <c r="A187" s="10" t="inlineStr">
        <is>
          <t>WRH LK LIS STA JOANA LISBOA</t>
        </is>
      </c>
      <c r="B187" s="10">
        <f>IFERROR(INDEX('Review Items'!$D:$D,MATCH(A187,'Review Items'!$B:$B,0)),IFERROR(INDEX('Rule Updates'!$B:$B,MATCH(A187,'Rule Updates'!$A:$A,0)),"Uncategorised"))</f>
        <v/>
      </c>
      <c r="C187" s="10">
        <f>IFERROR(INDEX('Review Items'!$E:$E,MATCH(A187,'Review Items'!$B:$B,0)),IFERROR(INDEX('Rule Updates'!$C:$C,MATCH(A187,'Rule Updates'!$A:$A,0)),"Review"))</f>
        <v/>
      </c>
      <c r="D187" s="10">
        <f>COUNTIF('Amex Transactions'!$C:$C,A187)</f>
        <v/>
      </c>
      <c r="E187" s="10">
        <f>SUMIFS('Amex Transactions'!$G:$G,'Amex Transactions'!$C:$C,A187,'Amex Transactions'!$G:$G,"&gt;0")</f>
        <v/>
      </c>
      <c r="F187" s="11" t="n">
        <v>46052</v>
      </c>
      <c r="G187" s="10">
        <f>IF(COUNTIFS('Amex Transactions'!$C:$C,A187,'Amex Transactions'!$I:$I,"Check")&gt;0,"Check","")</f>
        <v/>
      </c>
    </row>
    <row r="188">
      <c r="A188" s="10" t="inlineStr">
        <is>
          <t>SP AWAKE-MODE LONDON</t>
        </is>
      </c>
      <c r="B188" s="10">
        <f>IFERROR(INDEX('Review Items'!$D:$D,MATCH(A188,'Review Items'!$B:$B,0)),IFERROR(INDEX('Rule Updates'!$B:$B,MATCH(A188,'Rule Updates'!$A:$A,0)),"Uncategorised"))</f>
        <v/>
      </c>
      <c r="C188" s="10">
        <f>IFERROR(INDEX('Review Items'!$E:$E,MATCH(A188,'Review Items'!$B:$B,0)),IFERROR(INDEX('Rule Updates'!$C:$C,MATCH(A188,'Rule Updates'!$A:$A,0)),"Review"))</f>
        <v/>
      </c>
      <c r="D188" s="10">
        <f>COUNTIF('Amex Transactions'!$C:$C,A188)</f>
        <v/>
      </c>
      <c r="E188" s="10">
        <f>SUMIFS('Amex Transactions'!$G:$G,'Amex Transactions'!$C:$C,A188,'Amex Transactions'!$G:$G,"&gt;0")</f>
        <v/>
      </c>
      <c r="F188" s="11" t="n">
        <v>45756</v>
      </c>
      <c r="G188" s="10">
        <f>IF(COUNTIFS('Amex Transactions'!$C:$C,A188,'Amex Transactions'!$I:$I,"Check")&gt;0,"Check","")</f>
        <v/>
      </c>
    </row>
    <row r="189">
      <c r="A189" s="10" t="inlineStr">
        <is>
          <t>SP AMONG EQUALS CLOVELLY</t>
        </is>
      </c>
      <c r="B189" s="10">
        <f>IFERROR(INDEX('Review Items'!$D:$D,MATCH(A189,'Review Items'!$B:$B,0)),IFERROR(INDEX('Rule Updates'!$B:$B,MATCH(A189,'Rule Updates'!$A:$A,0)),"Uncategorised"))</f>
        <v/>
      </c>
      <c r="C189" s="10">
        <f>IFERROR(INDEX('Review Items'!$E:$E,MATCH(A189,'Review Items'!$B:$B,0)),IFERROR(INDEX('Rule Updates'!$C:$C,MATCH(A189,'Rule Updates'!$A:$A,0)),"Review"))</f>
        <v/>
      </c>
      <c r="D189" s="10">
        <f>COUNTIF('Amex Transactions'!$C:$C,A189)</f>
        <v/>
      </c>
      <c r="E189" s="10">
        <f>SUMIFS('Amex Transactions'!$G:$G,'Amex Transactions'!$C:$C,A189,'Amex Transactions'!$G:$G,"&gt;0")</f>
        <v/>
      </c>
      <c r="F189" s="11" t="n">
        <v>45806</v>
      </c>
      <c r="G189" s="10">
        <f>IF(COUNTIFS('Amex Transactions'!$C:$C,A189,'Amex Transactions'!$I:$I,"Check")&gt;0,"Check","")</f>
        <v/>
      </c>
    </row>
    <row r="190">
      <c r="A190" s="10" t="inlineStr">
        <is>
          <t>CATHAY PACIFIC AIR WAYS HONG KONG</t>
        </is>
      </c>
      <c r="B190" s="10">
        <f>IFERROR(INDEX('Review Items'!$D:$D,MATCH(A190,'Review Items'!$B:$B,0)),IFERROR(INDEX('Rule Updates'!$B:$B,MATCH(A190,'Rule Updates'!$A:$A,0)),"Uncategorised"))</f>
        <v/>
      </c>
      <c r="C190" s="10">
        <f>IFERROR(INDEX('Review Items'!$E:$E,MATCH(A190,'Review Items'!$B:$B,0)),IFERROR(INDEX('Rule Updates'!$C:$C,MATCH(A190,'Rule Updates'!$A:$A,0)),"Review"))</f>
        <v/>
      </c>
      <c r="D190" s="10">
        <f>COUNTIF('Amex Transactions'!$C:$C,A190)</f>
        <v/>
      </c>
      <c r="E190" s="10">
        <f>SUMIFS('Amex Transactions'!$G:$G,'Amex Transactions'!$C:$C,A190,'Amex Transactions'!$G:$G,"&gt;0")</f>
        <v/>
      </c>
      <c r="F190" s="11" t="n">
        <v>46064</v>
      </c>
      <c r="G190" s="10">
        <f>IF(COUNTIFS('Amex Transactions'!$C:$C,A190,'Amex Transactions'!$I:$I,"Check")&gt;0,"Check","")</f>
        <v/>
      </c>
    </row>
    <row r="191">
      <c r="A191" s="10" t="inlineStr">
        <is>
          <t>FU RONG--CENTRAL CENTRAL</t>
        </is>
      </c>
      <c r="B191" s="10">
        <f>IFERROR(INDEX('Review Items'!$D:$D,MATCH(A191,'Review Items'!$B:$B,0)),IFERROR(INDEX('Rule Updates'!$B:$B,MATCH(A191,'Rule Updates'!$A:$A,0)),"Uncategorised"))</f>
        <v/>
      </c>
      <c r="C191" s="10">
        <f>IFERROR(INDEX('Review Items'!$E:$E,MATCH(A191,'Review Items'!$B:$B,0)),IFERROR(INDEX('Rule Updates'!$C:$C,MATCH(A191,'Rule Updates'!$A:$A,0)),"Review"))</f>
        <v/>
      </c>
      <c r="D191" s="10">
        <f>COUNTIF('Amex Transactions'!$C:$C,A191)</f>
        <v/>
      </c>
      <c r="E191" s="10">
        <f>SUMIFS('Amex Transactions'!$G:$G,'Amex Transactions'!$C:$C,A191,'Amex Transactions'!$G:$G,"&gt;0")</f>
        <v/>
      </c>
      <c r="F191" s="11" t="n">
        <v>45861</v>
      </c>
      <c r="G191" s="10">
        <f>IF(COUNTIFS('Amex Transactions'!$C:$C,A191,'Amex Transactions'!$I:$I,"Check")&gt;0,"Check","")</f>
        <v/>
      </c>
    </row>
    <row r="192">
      <c r="A192" s="10" t="inlineStr">
        <is>
          <t>THE PENINSULA - SPRING TSIM SHA TSUI</t>
        </is>
      </c>
      <c r="B192" s="10">
        <f>IFERROR(INDEX('Review Items'!$D:$D,MATCH(A192,'Review Items'!$B:$B,0)),IFERROR(INDEX('Rule Updates'!$B:$B,MATCH(A192,'Rule Updates'!$A:$A,0)),"Uncategorised"))</f>
        <v/>
      </c>
      <c r="C192" s="10">
        <f>IFERROR(INDEX('Review Items'!$E:$E,MATCH(A192,'Review Items'!$B:$B,0)),IFERROR(INDEX('Rule Updates'!$C:$C,MATCH(A192,'Rule Updates'!$A:$A,0)),"Review"))</f>
        <v/>
      </c>
      <c r="D192" s="10">
        <f>COUNTIF('Amex Transactions'!$C:$C,A192)</f>
        <v/>
      </c>
      <c r="E192" s="10">
        <f>SUMIFS('Amex Transactions'!$G:$G,'Amex Transactions'!$C:$C,A192,'Amex Transactions'!$G:$G,"&gt;0")</f>
        <v/>
      </c>
      <c r="F192" s="11" t="n">
        <v>45857</v>
      </c>
      <c r="G192" s="10">
        <f>IF(COUNTIFS('Amex Transactions'!$C:$C,A192,'Amex Transactions'!$I:$I,"Check")&gt;0,"Check","")</f>
        <v/>
      </c>
    </row>
    <row r="193">
      <c r="A193" s="10" t="inlineStr">
        <is>
          <t>NASU MUKUNONE TOCHIGI</t>
        </is>
      </c>
      <c r="B193" s="10">
        <f>IFERROR(INDEX('Review Items'!$D:$D,MATCH(A193,'Review Items'!$B:$B,0)),IFERROR(INDEX('Rule Updates'!$B:$B,MATCH(A193,'Rule Updates'!$A:$A,0)),"Uncategorised"))</f>
        <v/>
      </c>
      <c r="C193" s="10">
        <f>IFERROR(INDEX('Review Items'!$E:$E,MATCH(A193,'Review Items'!$B:$B,0)),IFERROR(INDEX('Rule Updates'!$C:$C,MATCH(A193,'Rule Updates'!$A:$A,0)),"Review"))</f>
        <v/>
      </c>
      <c r="D193" s="10">
        <f>COUNTIF('Amex Transactions'!$C:$C,A193)</f>
        <v/>
      </c>
      <c r="E193" s="10">
        <f>SUMIFS('Amex Transactions'!$G:$G,'Amex Transactions'!$C:$C,A193,'Amex Transactions'!$G:$G,"&gt;0")</f>
        <v/>
      </c>
      <c r="F193" s="11" t="n">
        <v>45982</v>
      </c>
      <c r="G193" s="10">
        <f>IF(COUNTIFS('Amex Transactions'!$C:$C,A193,'Amex Transactions'!$I:$I,"Check")&gt;0,"Check","")</f>
        <v/>
      </c>
    </row>
    <row r="194">
      <c r="A194" s="10" t="inlineStr">
        <is>
          <t>MOBILE NEWT SOMERSET</t>
        </is>
      </c>
      <c r="B194" s="10">
        <f>IFERROR(INDEX('Review Items'!$D:$D,MATCH(A194,'Review Items'!$B:$B,0)),IFERROR(INDEX('Rule Updates'!$B:$B,MATCH(A194,'Rule Updates'!$A:$A,0)),"Uncategorised"))</f>
        <v/>
      </c>
      <c r="C194" s="10">
        <f>IFERROR(INDEX('Review Items'!$E:$E,MATCH(A194,'Review Items'!$B:$B,0)),IFERROR(INDEX('Rule Updates'!$C:$C,MATCH(A194,'Rule Updates'!$A:$A,0)),"Review"))</f>
        <v/>
      </c>
      <c r="D194" s="10">
        <f>COUNTIF('Amex Transactions'!$C:$C,A194)</f>
        <v/>
      </c>
      <c r="E194" s="10">
        <f>SUMIFS('Amex Transactions'!$G:$G,'Amex Transactions'!$C:$C,A194,'Amex Transactions'!$G:$G,"&gt;0")</f>
        <v/>
      </c>
      <c r="F194" s="11" t="n">
        <v>45832</v>
      </c>
      <c r="G194" s="10">
        <f>IF(COUNTIFS('Amex Transactions'!$C:$C,A194,'Amex Transactions'!$I:$I,"Check")&gt;0,"Check","")</f>
        <v/>
      </c>
    </row>
    <row r="195">
      <c r="A195" s="10" t="inlineStr">
        <is>
          <t>SP IPPODOTEAGLO BAL KYOUTOSHINAKAGY</t>
        </is>
      </c>
      <c r="B195" s="10">
        <f>IFERROR(INDEX('Review Items'!$D:$D,MATCH(A195,'Review Items'!$B:$B,0)),IFERROR(INDEX('Rule Updates'!$B:$B,MATCH(A195,'Rule Updates'!$A:$A,0)),"Uncategorised"))</f>
        <v/>
      </c>
      <c r="C195" s="10">
        <f>IFERROR(INDEX('Review Items'!$E:$E,MATCH(A195,'Review Items'!$B:$B,0)),IFERROR(INDEX('Rule Updates'!$C:$C,MATCH(A195,'Rule Updates'!$A:$A,0)),"Review"))</f>
        <v/>
      </c>
      <c r="D195" s="10">
        <f>COUNTIF('Amex Transactions'!$C:$C,A195)</f>
        <v/>
      </c>
      <c r="E195" s="10">
        <f>SUMIFS('Amex Transactions'!$G:$G,'Amex Transactions'!$C:$C,A195,'Amex Transactions'!$G:$G,"&gt;0")</f>
        <v/>
      </c>
      <c r="F195" s="11" t="n">
        <v>45994</v>
      </c>
      <c r="G195" s="10">
        <f>IF(COUNTIFS('Amex Transactions'!$C:$C,A195,'Amex Transactions'!$I:$I,"Check")&gt;0,"Check","")</f>
        <v/>
      </c>
    </row>
    <row r="196">
      <c r="A196" s="10" t="inlineStr">
        <is>
          <t>PENINSULA HK - F&amp;BTSIMSHATSUI</t>
        </is>
      </c>
      <c r="B196" s="10">
        <f>IFERROR(INDEX('Review Items'!$D:$D,MATCH(A196,'Review Items'!$B:$B,0)),IFERROR(INDEX('Rule Updates'!$B:$B,MATCH(A196,'Rule Updates'!$A:$A,0)),"Uncategorised"))</f>
        <v/>
      </c>
      <c r="C196" s="10">
        <f>IFERROR(INDEX('Review Items'!$E:$E,MATCH(A196,'Review Items'!$B:$B,0)),IFERROR(INDEX('Rule Updates'!$C:$C,MATCH(A196,'Rule Updates'!$A:$A,0)),"Review"))</f>
        <v/>
      </c>
      <c r="D196" s="10">
        <f>COUNTIF('Amex Transactions'!$C:$C,A196)</f>
        <v/>
      </c>
      <c r="E196" s="10">
        <f>SUMIFS('Amex Transactions'!$G:$G,'Amex Transactions'!$C:$C,A196,'Amex Transactions'!$G:$G,"&gt;0")</f>
        <v/>
      </c>
      <c r="F196" s="11" t="n">
        <v>45549</v>
      </c>
      <c r="G196" s="10">
        <f>IF(COUNTIFS('Amex Transactions'!$C:$C,A196,'Amex Transactions'!$I:$I,"Check")&gt;0,"Check","")</f>
        <v/>
      </c>
    </row>
    <row r="197">
      <c r="A197" s="10" t="inlineStr">
        <is>
          <t>CHEZ LUCETTE ET FILS BONIFACIO</t>
        </is>
      </c>
      <c r="B197" s="10">
        <f>IFERROR(INDEX('Review Items'!$D:$D,MATCH(A197,'Review Items'!$B:$B,0)),IFERROR(INDEX('Rule Updates'!$B:$B,MATCH(A197,'Rule Updates'!$A:$A,0)),"Uncategorised"))</f>
        <v/>
      </c>
      <c r="C197" s="10">
        <f>IFERROR(INDEX('Review Items'!$E:$E,MATCH(A197,'Review Items'!$B:$B,0)),IFERROR(INDEX('Rule Updates'!$C:$C,MATCH(A197,'Rule Updates'!$A:$A,0)),"Review"))</f>
        <v/>
      </c>
      <c r="D197" s="10">
        <f>COUNTIF('Amex Transactions'!$C:$C,A197)</f>
        <v/>
      </c>
      <c r="E197" s="10">
        <f>SUMIFS('Amex Transactions'!$G:$G,'Amex Transactions'!$C:$C,A197,'Amex Transactions'!$G:$G,"&gt;0")</f>
        <v/>
      </c>
      <c r="F197" s="11" t="n">
        <v>45829</v>
      </c>
      <c r="G197" s="10">
        <f>IF(COUNTIFS('Amex Transactions'!$C:$C,A197,'Amex Transactions'!$I:$I,"Check")&gt;0,"Check","")</f>
        <v/>
      </c>
    </row>
    <row r="198">
      <c r="A198" s="10" t="inlineStr">
        <is>
          <t>LOUISE CENTRAL</t>
        </is>
      </c>
      <c r="B198" s="10">
        <f>IFERROR(INDEX('Review Items'!$D:$D,MATCH(A198,'Review Items'!$B:$B,0)),IFERROR(INDEX('Rule Updates'!$B:$B,MATCH(A198,'Rule Updates'!$A:$A,0)),"Uncategorised"))</f>
        <v/>
      </c>
      <c r="C198" s="10">
        <f>IFERROR(INDEX('Review Items'!$E:$E,MATCH(A198,'Review Items'!$B:$B,0)),IFERROR(INDEX('Rule Updates'!$C:$C,MATCH(A198,'Rule Updates'!$A:$A,0)),"Review"))</f>
        <v/>
      </c>
      <c r="D198" s="10">
        <f>COUNTIF('Amex Transactions'!$C:$C,A198)</f>
        <v/>
      </c>
      <c r="E198" s="10">
        <f>SUMIFS('Amex Transactions'!$G:$G,'Amex Transactions'!$C:$C,A198,'Amex Transactions'!$G:$G,"&gt;0")</f>
        <v/>
      </c>
      <c r="F198" s="11" t="n">
        <v>46088</v>
      </c>
      <c r="G198" s="10">
        <f>IF(COUNTIFS('Amex Transactions'!$C:$C,A198,'Amex Transactions'!$I:$I,"Check")&gt;0,"Check","")</f>
        <v/>
      </c>
    </row>
    <row r="199">
      <c r="A199" s="10" t="inlineStr">
        <is>
          <t>SP IPPODOTEAGLOBAL KYOUTOSHINAKAGY</t>
        </is>
      </c>
      <c r="B199" s="10">
        <f>IFERROR(INDEX('Review Items'!$D:$D,MATCH(A199,'Review Items'!$B:$B,0)),IFERROR(INDEX('Rule Updates'!$B:$B,MATCH(A199,'Rule Updates'!$A:$A,0)),"Uncategorised"))</f>
        <v/>
      </c>
      <c r="C199" s="10">
        <f>IFERROR(INDEX('Review Items'!$E:$E,MATCH(A199,'Review Items'!$B:$B,0)),IFERROR(INDEX('Rule Updates'!$C:$C,MATCH(A199,'Rule Updates'!$A:$A,0)),"Review"))</f>
        <v/>
      </c>
      <c r="D199" s="10">
        <f>COUNTIF('Amex Transactions'!$C:$C,A199)</f>
        <v/>
      </c>
      <c r="E199" s="10">
        <f>SUMIFS('Amex Transactions'!$G:$G,'Amex Transactions'!$C:$C,A199,'Amex Transactions'!$G:$G,"&gt;0")</f>
        <v/>
      </c>
      <c r="F199" s="11" t="n">
        <v>45812</v>
      </c>
      <c r="G199" s="10">
        <f>IF(COUNTIFS('Amex Transactions'!$C:$C,A199,'Amex Transactions'!$I:$I,"Check")&gt;0,"Check","")</f>
        <v/>
      </c>
    </row>
    <row r="200">
      <c r="A200" s="10" t="inlineStr">
        <is>
          <t>COS BAR BEVERLY HILLS</t>
        </is>
      </c>
      <c r="B200" s="10">
        <f>IFERROR(INDEX('Review Items'!$D:$D,MATCH(A200,'Review Items'!$B:$B,0)),IFERROR(INDEX('Rule Updates'!$B:$B,MATCH(A200,'Rule Updates'!$A:$A,0)),"Uncategorised"))</f>
        <v/>
      </c>
      <c r="C200" s="10">
        <f>IFERROR(INDEX('Review Items'!$E:$E,MATCH(A200,'Review Items'!$B:$B,0)),IFERROR(INDEX('Rule Updates'!$C:$C,MATCH(A200,'Rule Updates'!$A:$A,0)),"Review"))</f>
        <v/>
      </c>
      <c r="D200" s="10">
        <f>COUNTIF('Amex Transactions'!$C:$C,A200)</f>
        <v/>
      </c>
      <c r="E200" s="10">
        <f>SUMIFS('Amex Transactions'!$G:$G,'Amex Transactions'!$C:$C,A200,'Amex Transactions'!$G:$G,"&gt;0")</f>
        <v/>
      </c>
      <c r="F200" s="11" t="n">
        <v>45946</v>
      </c>
      <c r="G200" s="10">
        <f>IF(COUNTIFS('Amex Transactions'!$C:$C,A200,'Amex Transactions'!$I:$I,"Check")&gt;0,"Check","")</f>
        <v/>
      </c>
    </row>
    <row r="201">
      <c r="A201" s="10" t="inlineStr">
        <is>
          <t>APPLE.COM/HK HONG KONG</t>
        </is>
      </c>
      <c r="B201" s="10">
        <f>IFERROR(INDEX('Review Items'!$D:$D,MATCH(A201,'Review Items'!$B:$B,0)),IFERROR(INDEX('Rule Updates'!$B:$B,MATCH(A201,'Rule Updates'!$A:$A,0)),"Uncategorised"))</f>
        <v/>
      </c>
      <c r="C201" s="10">
        <f>IFERROR(INDEX('Review Items'!$E:$E,MATCH(A201,'Review Items'!$B:$B,0)),IFERROR(INDEX('Rule Updates'!$C:$C,MATCH(A201,'Rule Updates'!$A:$A,0)),"Review"))</f>
        <v/>
      </c>
      <c r="D201" s="10">
        <f>COUNTIF('Amex Transactions'!$C:$C,A201)</f>
        <v/>
      </c>
      <c r="E201" s="10">
        <f>SUMIFS('Amex Transactions'!$G:$G,'Amex Transactions'!$C:$C,A201,'Amex Transactions'!$G:$G,"&gt;0")</f>
        <v/>
      </c>
      <c r="F201" s="11" t="n">
        <v>46104</v>
      </c>
      <c r="G201" s="10">
        <f>IF(COUNTIFS('Amex Transactions'!$C:$C,A201,'Amex Transactions'!$I:$I,"Check")&gt;0,"Check","")</f>
        <v/>
      </c>
    </row>
    <row r="202">
      <c r="A202" s="10" t="inlineStr">
        <is>
          <t>CITYLINE (HONG KONG) LT KWUN TONG</t>
        </is>
      </c>
      <c r="B202" s="10">
        <f>IFERROR(INDEX('Review Items'!$D:$D,MATCH(A202,'Review Items'!$B:$B,0)),IFERROR(INDEX('Rule Updates'!$B:$B,MATCH(A202,'Rule Updates'!$A:$A,0)),"Uncategorised"))</f>
        <v/>
      </c>
      <c r="C202" s="10">
        <f>IFERROR(INDEX('Review Items'!$E:$E,MATCH(A202,'Review Items'!$B:$B,0)),IFERROR(INDEX('Rule Updates'!$C:$C,MATCH(A202,'Rule Updates'!$A:$A,0)),"Review"))</f>
        <v/>
      </c>
      <c r="D202" s="10">
        <f>COUNTIF('Amex Transactions'!$C:$C,A202)</f>
        <v/>
      </c>
      <c r="E202" s="10">
        <f>SUMIFS('Amex Transactions'!$G:$G,'Amex Transactions'!$C:$C,A202,'Amex Transactions'!$G:$G,"&gt;0")</f>
        <v/>
      </c>
      <c r="F202" s="11" t="n">
        <v>45582</v>
      </c>
      <c r="G202" s="10">
        <f>IF(COUNTIFS('Amex Transactions'!$C:$C,A202,'Amex Transactions'!$I:$I,"Check")&gt;0,"Check","")</f>
        <v/>
      </c>
    </row>
    <row r="203">
      <c r="A203" s="10" t="inlineStr">
        <is>
          <t>SP PAIGE LLC CULVER CITY</t>
        </is>
      </c>
      <c r="B203" s="10">
        <f>IFERROR(INDEX('Review Items'!$D:$D,MATCH(A203,'Review Items'!$B:$B,0)),IFERROR(INDEX('Rule Updates'!$B:$B,MATCH(A203,'Rule Updates'!$A:$A,0)),"Uncategorised"))</f>
        <v/>
      </c>
      <c r="C203" s="10">
        <f>IFERROR(INDEX('Review Items'!$E:$E,MATCH(A203,'Review Items'!$B:$B,0)),IFERROR(INDEX('Rule Updates'!$C:$C,MATCH(A203,'Rule Updates'!$A:$A,0)),"Review"))</f>
        <v/>
      </c>
      <c r="D203" s="10">
        <f>COUNTIF('Amex Transactions'!$C:$C,A203)</f>
        <v/>
      </c>
      <c r="E203" s="10">
        <f>SUMIFS('Amex Transactions'!$G:$G,'Amex Transactions'!$C:$C,A203,'Amex Transactions'!$G:$G,"&gt;0")</f>
        <v/>
      </c>
      <c r="F203" s="11" t="n">
        <v>46059</v>
      </c>
      <c r="G203" s="10">
        <f>IF(COUNTIFS('Amex Transactions'!$C:$C,A203,'Amex Transactions'!$I:$I,"Check")&gt;0,"Check","")</f>
        <v/>
      </c>
    </row>
    <row r="204">
      <c r="A204" s="10" t="inlineStr">
        <is>
          <t>KAMORI WEB TICKET SHOP HOKKAIDO</t>
        </is>
      </c>
      <c r="B204" s="10">
        <f>IFERROR(INDEX('Review Items'!$D:$D,MATCH(A204,'Review Items'!$B:$B,0)),IFERROR(INDEX('Rule Updates'!$B:$B,MATCH(A204,'Rule Updates'!$A:$A,0)),"Uncategorised"))</f>
        <v/>
      </c>
      <c r="C204" s="10">
        <f>IFERROR(INDEX('Review Items'!$E:$E,MATCH(A204,'Review Items'!$B:$B,0)),IFERROR(INDEX('Rule Updates'!$C:$C,MATCH(A204,'Rule Updates'!$A:$A,0)),"Review"))</f>
        <v/>
      </c>
      <c r="D204" s="10">
        <f>COUNTIF('Amex Transactions'!$C:$C,A204)</f>
        <v/>
      </c>
      <c r="E204" s="10">
        <f>SUMIFS('Amex Transactions'!$G:$G,'Amex Transactions'!$C:$C,A204,'Amex Transactions'!$G:$G,"&gt;0")</f>
        <v/>
      </c>
      <c r="F204" s="11" t="n">
        <v>46085</v>
      </c>
      <c r="G204" s="10">
        <f>IF(COUNTIFS('Amex Transactions'!$C:$C,A204,'Amex Transactions'!$I:$I,"Check")&gt;0,"Check","")</f>
        <v/>
      </c>
    </row>
    <row r="205">
      <c r="A205" s="10" t="inlineStr">
        <is>
          <t>COHIB ACIGAR DIVAN HONG KONG</t>
        </is>
      </c>
      <c r="B205" s="10">
        <f>IFERROR(INDEX('Review Items'!$D:$D,MATCH(A205,'Review Items'!$B:$B,0)),IFERROR(INDEX('Rule Updates'!$B:$B,MATCH(A205,'Rule Updates'!$A:$A,0)),"Uncategorised"))</f>
        <v/>
      </c>
      <c r="C205" s="10">
        <f>IFERROR(INDEX('Review Items'!$E:$E,MATCH(A205,'Review Items'!$B:$B,0)),IFERROR(INDEX('Rule Updates'!$C:$C,MATCH(A205,'Rule Updates'!$A:$A,0)),"Review"))</f>
        <v/>
      </c>
      <c r="D205" s="10">
        <f>COUNTIF('Amex Transactions'!$C:$C,A205)</f>
        <v/>
      </c>
      <c r="E205" s="10">
        <f>SUMIFS('Amex Transactions'!$G:$G,'Amex Transactions'!$C:$C,A205,'Amex Transactions'!$G:$G,"&gt;0")</f>
        <v/>
      </c>
      <c r="F205" s="11" t="n">
        <v>45954</v>
      </c>
      <c r="G205" s="10">
        <f>IF(COUNTIFS('Amex Transactions'!$C:$C,A205,'Amex Transactions'!$I:$I,"Check")&gt;0,"Check","")</f>
        <v/>
      </c>
    </row>
    <row r="206">
      <c r="A206" s="10" t="inlineStr">
        <is>
          <t>WWW.HYUNDAI.COM SINGAPORE</t>
        </is>
      </c>
      <c r="B206" s="10">
        <f>IFERROR(INDEX('Review Items'!$D:$D,MATCH(A206,'Review Items'!$B:$B,0)),IFERROR(INDEX('Rule Updates'!$B:$B,MATCH(A206,'Rule Updates'!$A:$A,0)),"Uncategorised"))</f>
        <v/>
      </c>
      <c r="C206" s="10">
        <f>IFERROR(INDEX('Review Items'!$E:$E,MATCH(A206,'Review Items'!$B:$B,0)),IFERROR(INDEX('Rule Updates'!$C:$C,MATCH(A206,'Rule Updates'!$A:$A,0)),"Review"))</f>
        <v/>
      </c>
      <c r="D206" s="10">
        <f>COUNTIF('Amex Transactions'!$C:$C,A206)</f>
        <v/>
      </c>
      <c r="E206" s="10">
        <f>SUMIFS('Amex Transactions'!$G:$G,'Amex Transactions'!$C:$C,A206,'Amex Transactions'!$G:$G,"&gt;0")</f>
        <v/>
      </c>
      <c r="F206" s="11" t="n">
        <v>45575</v>
      </c>
      <c r="G206" s="10">
        <f>IF(COUNTIFS('Amex Transactions'!$C:$C,A206,'Amex Transactions'!$I:$I,"Check")&gt;0,"Check","")</f>
        <v/>
      </c>
    </row>
    <row r="207">
      <c r="A207" s="10" t="inlineStr">
        <is>
          <t>GLO BALE LONDON</t>
        </is>
      </c>
      <c r="B207" s="10">
        <f>IFERROR(INDEX('Review Items'!$D:$D,MATCH(A207,'Review Items'!$B:$B,0)),IFERROR(INDEX('Rule Updates'!$B:$B,MATCH(A207,'Rule Updates'!$A:$A,0)),"Uncategorised"))</f>
        <v/>
      </c>
      <c r="C207" s="10">
        <f>IFERROR(INDEX('Review Items'!$E:$E,MATCH(A207,'Review Items'!$B:$B,0)),IFERROR(INDEX('Rule Updates'!$C:$C,MATCH(A207,'Rule Updates'!$A:$A,0)),"Review"))</f>
        <v/>
      </c>
      <c r="D207" s="10">
        <f>COUNTIF('Amex Transactions'!$C:$C,A207)</f>
        <v/>
      </c>
      <c r="E207" s="10">
        <f>SUMIFS('Amex Transactions'!$G:$G,'Amex Transactions'!$C:$C,A207,'Amex Transactions'!$G:$G,"&gt;0")</f>
        <v/>
      </c>
      <c r="F207" s="11" t="n">
        <v>45961</v>
      </c>
      <c r="G207" s="10">
        <f>IF(COUNTIFS('Amex Transactions'!$C:$C,A207,'Amex Transactions'!$I:$I,"Check")&gt;0,"Check","")</f>
        <v/>
      </c>
    </row>
    <row r="208">
      <c r="A208" s="10" t="inlineStr">
        <is>
          <t>SP BAR TI MES STORE BUNKYOUKU</t>
        </is>
      </c>
      <c r="B208" s="10">
        <f>IFERROR(INDEX('Review Items'!$D:$D,MATCH(A208,'Review Items'!$B:$B,0)),IFERROR(INDEX('Rule Updates'!$B:$B,MATCH(A208,'Rule Updates'!$A:$A,0)),"Uncategorised"))</f>
        <v/>
      </c>
      <c r="C208" s="10">
        <f>IFERROR(INDEX('Review Items'!$E:$E,MATCH(A208,'Review Items'!$B:$B,0)),IFERROR(INDEX('Rule Updates'!$C:$C,MATCH(A208,'Rule Updates'!$A:$A,0)),"Review"))</f>
        <v/>
      </c>
      <c r="D208" s="10">
        <f>COUNTIF('Amex Transactions'!$C:$C,A208)</f>
        <v/>
      </c>
      <c r="E208" s="10">
        <f>SUMIFS('Amex Transactions'!$G:$G,'Amex Transactions'!$C:$C,A208,'Amex Transactions'!$G:$G,"&gt;0")</f>
        <v/>
      </c>
      <c r="F208" s="11" t="n">
        <v>45999</v>
      </c>
      <c r="G208" s="10">
        <f>IF(COUNTIFS('Amex Transactions'!$C:$C,A208,'Amex Transactions'!$I:$I,"Check")&gt;0,"Check","")</f>
        <v/>
      </c>
    </row>
    <row r="209">
      <c r="A209" s="10" t="inlineStr">
        <is>
          <t>FDR.C.SANCHES II LIS BOA</t>
        </is>
      </c>
      <c r="B209" s="10">
        <f>IFERROR(INDEX('Review Items'!$D:$D,MATCH(A209,'Review Items'!$B:$B,0)),IFERROR(INDEX('Rule Updates'!$B:$B,MATCH(A209,'Rule Updates'!$A:$A,0)),"Uncategorised"))</f>
        <v/>
      </c>
      <c r="C209" s="10">
        <f>IFERROR(INDEX('Review Items'!$E:$E,MATCH(A209,'Review Items'!$B:$B,0)),IFERROR(INDEX('Rule Updates'!$C:$C,MATCH(A209,'Rule Updates'!$A:$A,0)),"Review"))</f>
        <v/>
      </c>
      <c r="D209" s="10">
        <f>COUNTIF('Amex Transactions'!$C:$C,A209)</f>
        <v/>
      </c>
      <c r="E209" s="10">
        <f>SUMIFS('Amex Transactions'!$G:$G,'Amex Transactions'!$C:$C,A209,'Amex Transactions'!$G:$G,"&gt;0")</f>
        <v/>
      </c>
      <c r="F209" s="11" t="n">
        <v>46044</v>
      </c>
      <c r="G209" s="10">
        <f>IF(COUNTIFS('Amex Transactions'!$C:$C,A209,'Amex Transactions'!$I:$I,"Check")&gt;0,"Check","")</f>
        <v/>
      </c>
    </row>
    <row r="210">
      <c r="A210" s="10" t="inlineStr">
        <is>
          <t>NisekoBion meng tian jun j</t>
        </is>
      </c>
      <c r="B210" s="10">
        <f>IFERROR(INDEX('Review Items'!$D:$D,MATCH(A210,'Review Items'!$B:$B,0)),IFERROR(INDEX('Rule Updates'!$B:$B,MATCH(A210,'Rule Updates'!$A:$A,0)),"Uncategorised"))</f>
        <v/>
      </c>
      <c r="C210" s="10">
        <f>IFERROR(INDEX('Review Items'!$E:$E,MATCH(A210,'Review Items'!$B:$B,0)),IFERROR(INDEX('Rule Updates'!$C:$C,MATCH(A210,'Rule Updates'!$A:$A,0)),"Review"))</f>
        <v/>
      </c>
      <c r="D210" s="10">
        <f>COUNTIF('Amex Transactions'!$C:$C,A210)</f>
        <v/>
      </c>
      <c r="E210" s="10">
        <f>SUMIFS('Amex Transactions'!$G:$G,'Amex Transactions'!$C:$C,A210,'Amex Transactions'!$G:$G,"&gt;0")</f>
        <v/>
      </c>
      <c r="F210" s="11" t="n">
        <v>45731</v>
      </c>
      <c r="G210" s="10">
        <f>IF(COUNTIFS('Amex Transactions'!$C:$C,A210,'Amex Transactions'!$I:$I,"Check")&gt;0,"Check","")</f>
        <v/>
      </c>
    </row>
    <row r="211">
      <c r="A211" s="10" t="inlineStr">
        <is>
          <t>TC NISEKOBION TOKYO</t>
        </is>
      </c>
      <c r="B211" s="10">
        <f>IFERROR(INDEX('Review Items'!$D:$D,MATCH(A211,'Review Items'!$B:$B,0)),IFERROR(INDEX('Rule Updates'!$B:$B,MATCH(A211,'Rule Updates'!$A:$A,0)),"Uncategorised"))</f>
        <v/>
      </c>
      <c r="C211" s="10">
        <f>IFERROR(INDEX('Review Items'!$E:$E,MATCH(A211,'Review Items'!$B:$B,0)),IFERROR(INDEX('Rule Updates'!$C:$C,MATCH(A211,'Rule Updates'!$A:$A,0)),"Review"))</f>
        <v/>
      </c>
      <c r="D211" s="10">
        <f>COUNTIF('Amex Transactions'!$C:$C,A211)</f>
        <v/>
      </c>
      <c r="E211" s="10">
        <f>SUMIFS('Amex Transactions'!$G:$G,'Amex Transactions'!$C:$C,A211,'Amex Transactions'!$G:$G,"&gt;0")</f>
        <v/>
      </c>
      <c r="F211" s="11" t="n">
        <v>45727</v>
      </c>
      <c r="G211" s="10">
        <f>IF(COUNTIFS('Amex Transactions'!$C:$C,A211,'Amex Transactions'!$I:$I,"Check")&gt;0,"Check","")</f>
        <v/>
      </c>
    </row>
    <row r="212">
      <c r="A212" s="10" t="inlineStr">
        <is>
          <t>GEORG JENSEN (IFC) CENTRAL</t>
        </is>
      </c>
      <c r="B212" s="10">
        <f>IFERROR(INDEX('Review Items'!$D:$D,MATCH(A212,'Review Items'!$B:$B,0)),IFERROR(INDEX('Rule Updates'!$B:$B,MATCH(A212,'Rule Updates'!$A:$A,0)),"Uncategorised"))</f>
        <v/>
      </c>
      <c r="C212" s="10">
        <f>IFERROR(INDEX('Review Items'!$E:$E,MATCH(A212,'Review Items'!$B:$B,0)),IFERROR(INDEX('Rule Updates'!$C:$C,MATCH(A212,'Rule Updates'!$A:$A,0)),"Review"))</f>
        <v/>
      </c>
      <c r="D212" s="10">
        <f>COUNTIF('Amex Transactions'!$C:$C,A212)</f>
        <v/>
      </c>
      <c r="E212" s="10">
        <f>SUMIFS('Amex Transactions'!$G:$G,'Amex Transactions'!$C:$C,A212,'Amex Transactions'!$G:$G,"&gt;0")</f>
        <v/>
      </c>
      <c r="F212" s="11" t="n">
        <v>45575</v>
      </c>
      <c r="G212" s="10">
        <f>IF(COUNTIFS('Amex Transactions'!$C:$C,A212,'Amex Transactions'!$I:$I,"Check")&gt;0,"Check","")</f>
        <v/>
      </c>
    </row>
    <row r="213">
      <c r="A213" s="10" t="inlineStr">
        <is>
          <t>JUSIKHOESA NEMO JIPHANNA SEOUL</t>
        </is>
      </c>
      <c r="B213" s="10">
        <f>IFERROR(INDEX('Review Items'!$D:$D,MATCH(A213,'Review Items'!$B:$B,0)),IFERROR(INDEX('Rule Updates'!$B:$B,MATCH(A213,'Rule Updates'!$A:$A,0)),"Uncategorised"))</f>
        <v/>
      </c>
      <c r="C213" s="10">
        <f>IFERROR(INDEX('Review Items'!$E:$E,MATCH(A213,'Review Items'!$B:$B,0)),IFERROR(INDEX('Rule Updates'!$C:$C,MATCH(A213,'Rule Updates'!$A:$A,0)),"Review"))</f>
        <v/>
      </c>
      <c r="D213" s="10">
        <f>COUNTIF('Amex Transactions'!$C:$C,A213)</f>
        <v/>
      </c>
      <c r="E213" s="10">
        <f>SUMIFS('Amex Transactions'!$G:$G,'Amex Transactions'!$C:$C,A213,'Amex Transactions'!$G:$G,"&gt;0")</f>
        <v/>
      </c>
      <c r="F213" s="11" t="n">
        <v>45968</v>
      </c>
      <c r="G213" s="10">
        <f>IF(COUNTIFS('Amex Transactions'!$C:$C,A213,'Amex Transactions'!$I:$I,"Check")&gt;0,"Check","")</f>
        <v/>
      </c>
    </row>
    <row r="214">
      <c r="A214" s="10" t="inlineStr">
        <is>
          <t>Hy u ndai Department Stor SEOUL</t>
        </is>
      </c>
      <c r="B214" s="10">
        <f>IFERROR(INDEX('Review Items'!$D:$D,MATCH(A214,'Review Items'!$B:$B,0)),IFERROR(INDEX('Rule Updates'!$B:$B,MATCH(A214,'Rule Updates'!$A:$A,0)),"Uncategorised"))</f>
        <v/>
      </c>
      <c r="C214" s="10">
        <f>IFERROR(INDEX('Review Items'!$E:$E,MATCH(A214,'Review Items'!$B:$B,0)),IFERROR(INDEX('Rule Updates'!$C:$C,MATCH(A214,'Rule Updates'!$A:$A,0)),"Review"))</f>
        <v/>
      </c>
      <c r="D214" s="10">
        <f>COUNTIF('Amex Transactions'!$C:$C,A214)</f>
        <v/>
      </c>
      <c r="E214" s="10">
        <f>SUMIFS('Amex Transactions'!$G:$G,'Amex Transactions'!$C:$C,A214,'Amex Transactions'!$G:$G,"&gt;0")</f>
        <v/>
      </c>
      <c r="F214" s="11" t="n">
        <v>45974</v>
      </c>
      <c r="G214" s="10">
        <f>IF(COUNTIFS('Amex Transactions'!$C:$C,A214,'Amex Transactions'!$I:$I,"Check")&gt;0,"Check","")</f>
        <v/>
      </c>
    </row>
    <row r="215">
      <c r="A215" s="10" t="inlineStr">
        <is>
          <t>SHISHII W AHOUSE KARUIZ b ei zu o j i u ju n</t>
        </is>
      </c>
      <c r="B215" s="10">
        <f>IFERROR(INDEX('Review Items'!$D:$D,MATCH(A215,'Review Items'!$B:$B,0)),IFERROR(INDEX('Rule Updates'!$B:$B,MATCH(A215,'Rule Updates'!$A:$A,0)),"Uncategorised"))</f>
        <v/>
      </c>
      <c r="C215" s="10">
        <f>IFERROR(INDEX('Review Items'!$E:$E,MATCH(A215,'Review Items'!$B:$B,0)),IFERROR(INDEX('Rule Updates'!$C:$C,MATCH(A215,'Rule Updates'!$A:$A,0)),"Review"))</f>
        <v/>
      </c>
      <c r="D215" s="10">
        <f>COUNTIF('Amex Transactions'!$C:$C,A215)</f>
        <v/>
      </c>
      <c r="E215" s="10">
        <f>SUMIFS('Amex Transactions'!$G:$G,'Amex Transactions'!$C:$C,A215,'Amex Transactions'!$G:$G,"&gt;0")</f>
        <v/>
      </c>
      <c r="F215" s="11" t="n">
        <v>45979</v>
      </c>
      <c r="G215" s="10">
        <f>IF(COUNTIFS('Amex Transactions'!$C:$C,A215,'Amex Transactions'!$I:$I,"Check")&gt;0,"Check","")</f>
        <v/>
      </c>
    </row>
    <row r="216">
      <c r="A216" s="10" t="inlineStr">
        <is>
          <t>UNI QLO - HK 2045 TAIKOO SHING</t>
        </is>
      </c>
      <c r="B216" s="10">
        <f>IFERROR(INDEX('Review Items'!$D:$D,MATCH(A216,'Review Items'!$B:$B,0)),IFERROR(INDEX('Rule Updates'!$B:$B,MATCH(A216,'Rule Updates'!$A:$A,0)),"Uncategorised"))</f>
        <v/>
      </c>
      <c r="C216" s="10">
        <f>IFERROR(INDEX('Review Items'!$E:$E,MATCH(A216,'Review Items'!$B:$B,0)),IFERROR(INDEX('Rule Updates'!$C:$C,MATCH(A216,'Rule Updates'!$A:$A,0)),"Review"))</f>
        <v/>
      </c>
      <c r="D216" s="10">
        <f>COUNTIF('Amex Transactions'!$C:$C,A216)</f>
        <v/>
      </c>
      <c r="E216" s="10">
        <f>SUMIFS('Amex Transactions'!$G:$G,'Amex Transactions'!$C:$C,A216,'Amex Transactions'!$G:$G,"&gt;0")</f>
        <v/>
      </c>
      <c r="F216" s="11" t="n">
        <v>45991</v>
      </c>
      <c r="G216" s="10">
        <f>IF(COUNTIFS('Amex Transactions'!$C:$C,A216,'Amex Transactions'!$I:$I,"Check")&gt;0,"Check","")</f>
        <v/>
      </c>
    </row>
    <row r="217">
      <c r="A217" s="10" t="inlineStr">
        <is>
          <t>Rhythm Niseko Summit meng tian jun</t>
        </is>
      </c>
      <c r="B217" s="10">
        <f>IFERROR(INDEX('Review Items'!$D:$D,MATCH(A217,'Review Items'!$B:$B,0)),IFERROR(INDEX('Rule Updates'!$B:$B,MATCH(A217,'Rule Updates'!$A:$A,0)),"Uncategorised"))</f>
        <v/>
      </c>
      <c r="C217" s="10">
        <f>IFERROR(INDEX('Review Items'!$E:$E,MATCH(A217,'Review Items'!$B:$B,0)),IFERROR(INDEX('Rule Updates'!$C:$C,MATCH(A217,'Rule Updates'!$A:$A,0)),"Review"))</f>
        <v/>
      </c>
      <c r="D217" s="10">
        <f>COUNTIF('Amex Transactions'!$C:$C,A217)</f>
        <v/>
      </c>
      <c r="E217" s="10">
        <f>SUMIFS('Amex Transactions'!$G:$G,'Amex Transactions'!$C:$C,A217,'Amex Transactions'!$G:$G,"&gt;0")</f>
        <v/>
      </c>
      <c r="F217" s="11" t="n">
        <v>45727</v>
      </c>
      <c r="G217" s="10">
        <f>IF(COUNTIFS('Amex Transactions'!$C:$C,A217,'Amex Transactions'!$I:$I,"Check")&gt;0,"Check","")</f>
        <v/>
      </c>
    </row>
    <row r="218">
      <c r="A218" s="10" t="inlineStr">
        <is>
          <t>SP SHI- ZEN ZUSHISHI</t>
        </is>
      </c>
      <c r="B218" s="10">
        <f>IFERROR(INDEX('Review Items'!$D:$D,MATCH(A218,'Review Items'!$B:$B,0)),IFERROR(INDEX('Rule Updates'!$B:$B,MATCH(A218,'Rule Updates'!$A:$A,0)),"Uncategorised"))</f>
        <v/>
      </c>
      <c r="C218" s="10">
        <f>IFERROR(INDEX('Review Items'!$E:$E,MATCH(A218,'Review Items'!$B:$B,0)),IFERROR(INDEX('Rule Updates'!$C:$C,MATCH(A218,'Rule Updates'!$A:$A,0)),"Review"))</f>
        <v/>
      </c>
      <c r="D218" s="10">
        <f>COUNTIF('Amex Transactions'!$C:$C,A218)</f>
        <v/>
      </c>
      <c r="E218" s="10">
        <f>SUMIFS('Amex Transactions'!$G:$G,'Amex Transactions'!$C:$C,A218,'Amex Transactions'!$G:$G,"&gt;0")</f>
        <v/>
      </c>
      <c r="F218" s="11" t="n">
        <v>45986</v>
      </c>
      <c r="G218" s="10">
        <f>IF(COUNTIFS('Amex Transactions'!$C:$C,A218,'Amex Transactions'!$I:$I,"Check")&gt;0,"Check","")</f>
        <v/>
      </c>
    </row>
    <row r="219">
      <c r="A219" s="10" t="inlineStr">
        <is>
          <t>CANALHA CASCAIS</t>
        </is>
      </c>
      <c r="B219" s="10">
        <f>IFERROR(INDEX('Review Items'!$D:$D,MATCH(A219,'Review Items'!$B:$B,0)),IFERROR(INDEX('Rule Updates'!$B:$B,MATCH(A219,'Rule Updates'!$A:$A,0)),"Uncategorised"))</f>
        <v/>
      </c>
      <c r="C219" s="10">
        <f>IFERROR(INDEX('Review Items'!$E:$E,MATCH(A219,'Review Items'!$B:$B,0)),IFERROR(INDEX('Rule Updates'!$C:$C,MATCH(A219,'Rule Updates'!$A:$A,0)),"Review"))</f>
        <v/>
      </c>
      <c r="D219" s="10">
        <f>COUNTIF('Amex Transactions'!$C:$C,A219)</f>
        <v/>
      </c>
      <c r="E219" s="10">
        <f>SUMIFS('Amex Transactions'!$G:$G,'Amex Transactions'!$C:$C,A219,'Amex Transactions'!$G:$G,"&gt;0")</f>
        <v/>
      </c>
      <c r="F219" s="11" t="n">
        <v>46050</v>
      </c>
      <c r="G219" s="10">
        <f>IF(COUNTIFS('Amex Transactions'!$C:$C,A219,'Amex Transactions'!$I:$I,"Check")&gt;0,"Check","")</f>
        <v/>
      </c>
    </row>
    <row r="220">
      <c r="A220" s="10" t="inlineStr">
        <is>
          <t>SP VINGARDEVALISE BOYNTON BEACH</t>
        </is>
      </c>
      <c r="B220" s="10">
        <f>IFERROR(INDEX('Review Items'!$D:$D,MATCH(A220,'Review Items'!$B:$B,0)),IFERROR(INDEX('Rule Updates'!$B:$B,MATCH(A220,'Rule Updates'!$A:$A,0)),"Uncategorised"))</f>
        <v/>
      </c>
      <c r="C220" s="10">
        <f>IFERROR(INDEX('Review Items'!$E:$E,MATCH(A220,'Review Items'!$B:$B,0)),IFERROR(INDEX('Rule Updates'!$C:$C,MATCH(A220,'Rule Updates'!$A:$A,0)),"Review"))</f>
        <v/>
      </c>
      <c r="D220" s="10">
        <f>COUNTIF('Amex Transactions'!$C:$C,A220)</f>
        <v/>
      </c>
      <c r="E220" s="10">
        <f>SUMIFS('Amex Transactions'!$G:$G,'Amex Transactions'!$C:$C,A220,'Amex Transactions'!$G:$G,"&gt;0")</f>
        <v/>
      </c>
      <c r="F220" s="11" t="n">
        <v>45639</v>
      </c>
      <c r="G220" s="10">
        <f>IF(COUNTIFS('Amex Transactions'!$C:$C,A220,'Amex Transactions'!$I:$I,"Check")&gt;0,"Check","")</f>
        <v/>
      </c>
    </row>
    <row r="221">
      <c r="A221" s="10" t="inlineStr">
        <is>
          <t>3CPAYMENT*EUROPCAR LISB LISBOA</t>
        </is>
      </c>
      <c r="B221" s="10">
        <f>IFERROR(INDEX('Review Items'!$D:$D,MATCH(A221,'Review Items'!$B:$B,0)),IFERROR(INDEX('Rule Updates'!$B:$B,MATCH(A221,'Rule Updates'!$A:$A,0)),"Uncategorised"))</f>
        <v/>
      </c>
      <c r="C221" s="10">
        <f>IFERROR(INDEX('Review Items'!$E:$E,MATCH(A221,'Review Items'!$B:$B,0)),IFERROR(INDEX('Rule Updates'!$C:$C,MATCH(A221,'Rule Updates'!$A:$A,0)),"Review"))</f>
        <v/>
      </c>
      <c r="D221" s="10">
        <f>COUNTIF('Amex Transactions'!$C:$C,A221)</f>
        <v/>
      </c>
      <c r="E221" s="10">
        <f>SUMIFS('Amex Transactions'!$G:$G,'Amex Transactions'!$C:$C,A221,'Amex Transactions'!$G:$G,"&gt;0")</f>
        <v/>
      </c>
      <c r="F221" s="11" t="n">
        <v>45855</v>
      </c>
      <c r="G221" s="10">
        <f>IF(COUNTIFS('Amex Transactions'!$C:$C,A221,'Amex Transactions'!$I:$I,"Check")&gt;0,"Check","")</f>
        <v/>
      </c>
    </row>
    <row r="222">
      <c r="A222" s="10" t="inlineStr">
        <is>
          <t>Le Cafe Lo uis V uitt o n Sha n gha i</t>
        </is>
      </c>
      <c r="B222" s="10">
        <f>IFERROR(INDEX('Review Items'!$D:$D,MATCH(A222,'Review Items'!$B:$B,0)),IFERROR(INDEX('Rule Updates'!$B:$B,MATCH(A222,'Rule Updates'!$A:$A,0)),"Uncategorised"))</f>
        <v/>
      </c>
      <c r="C222" s="10">
        <f>IFERROR(INDEX('Review Items'!$E:$E,MATCH(A222,'Review Items'!$B:$B,0)),IFERROR(INDEX('Rule Updates'!$C:$C,MATCH(A222,'Rule Updates'!$A:$A,0)),"Review"))</f>
        <v/>
      </c>
      <c r="D222" s="10">
        <f>COUNTIF('Amex Transactions'!$C:$C,A222)</f>
        <v/>
      </c>
      <c r="E222" s="10">
        <f>SUMIFS('Amex Transactions'!$G:$G,'Amex Transactions'!$C:$C,A222,'Amex Transactions'!$G:$G,"&gt;0")</f>
        <v/>
      </c>
      <c r="F222" s="11" t="n">
        <v>46034</v>
      </c>
      <c r="G222" s="10">
        <f>IF(COUNTIFS('Amex Transactions'!$C:$C,A222,'Amex Transactions'!$I:$I,"Check")&gt;0,"Check","")</f>
        <v/>
      </c>
    </row>
    <row r="223">
      <c r="A223" s="10" t="inlineStr">
        <is>
          <t>NE WPUNJ A BCLU BCENTRAL</t>
        </is>
      </c>
      <c r="B223" s="10">
        <f>IFERROR(INDEX('Review Items'!$D:$D,MATCH(A223,'Review Items'!$B:$B,0)),IFERROR(INDEX('Rule Updates'!$B:$B,MATCH(A223,'Rule Updates'!$A:$A,0)),"Uncategorised"))</f>
        <v/>
      </c>
      <c r="C223" s="10">
        <f>IFERROR(INDEX('Review Items'!$E:$E,MATCH(A223,'Review Items'!$B:$B,0)),IFERROR(INDEX('Rule Updates'!$C:$C,MATCH(A223,'Rule Updates'!$A:$A,0)),"Review"))</f>
        <v/>
      </c>
      <c r="D223" s="10">
        <f>COUNTIF('Amex Transactions'!$C:$C,A223)</f>
        <v/>
      </c>
      <c r="E223" s="10">
        <f>SUMIFS('Amex Transactions'!$G:$G,'Amex Transactions'!$C:$C,A223,'Amex Transactions'!$G:$G,"&gt;0")</f>
        <v/>
      </c>
      <c r="F223" s="11" t="n">
        <v>45978</v>
      </c>
      <c r="G223" s="10">
        <f>IF(COUNTIFS('Amex Transactions'!$C:$C,A223,'Amex Transactions'!$I:$I,"Check")&gt;0,"Check","")</f>
        <v/>
      </c>
    </row>
    <row r="224">
      <c r="A224" s="10" t="inlineStr">
        <is>
          <t>GLOBAL-ENL BV AMSTERDAM</t>
        </is>
      </c>
      <c r="B224" s="10">
        <f>IFERROR(INDEX('Review Items'!$D:$D,MATCH(A224,'Review Items'!$B:$B,0)),IFERROR(INDEX('Rule Updates'!$B:$B,MATCH(A224,'Rule Updates'!$A:$A,0)),"Uncategorised"))</f>
        <v/>
      </c>
      <c r="C224" s="10">
        <f>IFERROR(INDEX('Review Items'!$E:$E,MATCH(A224,'Review Items'!$B:$B,0)),IFERROR(INDEX('Rule Updates'!$C:$C,MATCH(A224,'Rule Updates'!$A:$A,0)),"Review"))</f>
        <v/>
      </c>
      <c r="D224" s="10">
        <f>COUNTIF('Amex Transactions'!$C:$C,A224)</f>
        <v/>
      </c>
      <c r="E224" s="10">
        <f>SUMIFS('Amex Transactions'!$G:$G,'Amex Transactions'!$C:$C,A224,'Amex Transactions'!$G:$G,"&gt;0")</f>
        <v/>
      </c>
      <c r="F224" s="11" t="n">
        <v>45866</v>
      </c>
      <c r="G224" s="10">
        <f>IF(COUNTIFS('Amex Transactions'!$C:$C,A224,'Amex Transactions'!$I:$I,"Check")&gt;0,"Check","")</f>
        <v/>
      </c>
    </row>
    <row r="225">
      <c r="A225" s="10" t="inlineStr">
        <is>
          <t>BASSIKE PTY LTD SYDNEY</t>
        </is>
      </c>
      <c r="B225" s="10">
        <f>IFERROR(INDEX('Review Items'!$D:$D,MATCH(A225,'Review Items'!$B:$B,0)),IFERROR(INDEX('Rule Updates'!$B:$B,MATCH(A225,'Rule Updates'!$A:$A,0)),"Uncategorised"))</f>
        <v/>
      </c>
      <c r="C225" s="10">
        <f>IFERROR(INDEX('Review Items'!$E:$E,MATCH(A225,'Review Items'!$B:$B,0)),IFERROR(INDEX('Rule Updates'!$C:$C,MATCH(A225,'Rule Updates'!$A:$A,0)),"Review"))</f>
        <v/>
      </c>
      <c r="D225" s="10">
        <f>COUNTIF('Amex Transactions'!$C:$C,A225)</f>
        <v/>
      </c>
      <c r="E225" s="10">
        <f>SUMIFS('Amex Transactions'!$G:$G,'Amex Transactions'!$C:$C,A225,'Amex Transactions'!$G:$G,"&gt;0")</f>
        <v/>
      </c>
      <c r="F225" s="11" t="n">
        <v>45867</v>
      </c>
      <c r="G225" s="10">
        <f>IF(COUNTIFS('Amex Transactions'!$C:$C,A225,'Amex Transactions'!$I:$I,"Check")&gt;0,"Check","")</f>
        <v/>
      </c>
    </row>
    <row r="226">
      <c r="A226" s="10" t="inlineStr">
        <is>
          <t>ARIA RESTAURANT SYDNEY</t>
        </is>
      </c>
      <c r="B226" s="10">
        <f>IFERROR(INDEX('Review Items'!$D:$D,MATCH(A226,'Review Items'!$B:$B,0)),IFERROR(INDEX('Rule Updates'!$B:$B,MATCH(A226,'Rule Updates'!$A:$A,0)),"Uncategorised"))</f>
        <v/>
      </c>
      <c r="C226" s="10">
        <f>IFERROR(INDEX('Review Items'!$E:$E,MATCH(A226,'Review Items'!$B:$B,0)),IFERROR(INDEX('Rule Updates'!$C:$C,MATCH(A226,'Rule Updates'!$A:$A,0)),"Review"))</f>
        <v/>
      </c>
      <c r="D226" s="10">
        <f>COUNTIF('Amex Transactions'!$C:$C,A226)</f>
        <v/>
      </c>
      <c r="E226" s="10">
        <f>SUMIFS('Amex Transactions'!$G:$G,'Amex Transactions'!$C:$C,A226,'Amex Transactions'!$G:$G,"&gt;0")</f>
        <v/>
      </c>
      <c r="F226" s="11" t="n">
        <v>45668</v>
      </c>
      <c r="G226" s="10">
        <f>IF(COUNTIFS('Amex Transactions'!$C:$C,A226,'Amex Transactions'!$I:$I,"Check")&gt;0,"Check","")</f>
        <v/>
      </c>
    </row>
    <row r="227">
      <c r="A227" s="10" t="inlineStr">
        <is>
          <t>TRAINLINE Trainline LONDON</t>
        </is>
      </c>
      <c r="B227" s="10">
        <f>IFERROR(INDEX('Review Items'!$D:$D,MATCH(A227,'Review Items'!$B:$B,0)),IFERROR(INDEX('Rule Updates'!$B:$B,MATCH(A227,'Rule Updates'!$A:$A,0)),"Uncategorised"))</f>
        <v/>
      </c>
      <c r="C227" s="10">
        <f>IFERROR(INDEX('Review Items'!$E:$E,MATCH(A227,'Review Items'!$B:$B,0)),IFERROR(INDEX('Rule Updates'!$C:$C,MATCH(A227,'Rule Updates'!$A:$A,0)),"Review"))</f>
        <v/>
      </c>
      <c r="D227" s="10">
        <f>COUNTIF('Amex Transactions'!$C:$C,A227)</f>
        <v/>
      </c>
      <c r="E227" s="10">
        <f>SUMIFS('Amex Transactions'!$G:$G,'Amex Transactions'!$C:$C,A227,'Amex Transactions'!$G:$G,"&gt;0")</f>
        <v/>
      </c>
      <c r="F227" s="11" t="n">
        <v>45838</v>
      </c>
      <c r="G227" s="10">
        <f>IF(COUNTIFS('Amex Transactions'!$C:$C,A227,'Amex Transactions'!$I:$I,"Check")&gt;0,"Check","")</f>
        <v/>
      </c>
    </row>
    <row r="228">
      <c r="A228" s="10" t="inlineStr">
        <is>
          <t>THE DAIRY FARM - MANNIN CENTRAL</t>
        </is>
      </c>
      <c r="B228" s="10">
        <f>IFERROR(INDEX('Review Items'!$D:$D,MATCH(A228,'Review Items'!$B:$B,0)),IFERROR(INDEX('Rule Updates'!$B:$B,MATCH(A228,'Rule Updates'!$A:$A,0)),"Uncategorised"))</f>
        <v/>
      </c>
      <c r="C228" s="10">
        <f>IFERROR(INDEX('Review Items'!$E:$E,MATCH(A228,'Review Items'!$B:$B,0)),IFERROR(INDEX('Rule Updates'!$C:$C,MATCH(A228,'Rule Updates'!$A:$A,0)),"Review"))</f>
        <v/>
      </c>
      <c r="D228" s="10">
        <f>COUNTIF('Amex Transactions'!$C:$C,A228)</f>
        <v/>
      </c>
      <c r="E228" s="10">
        <f>SUMIFS('Amex Transactions'!$G:$G,'Amex Transactions'!$C:$C,A228,'Amex Transactions'!$G:$G,"&gt;0")</f>
        <v/>
      </c>
      <c r="F228" s="11" t="n">
        <v>46037</v>
      </c>
      <c r="G228" s="10">
        <f>IF(COUNTIFS('Amex Transactions'!$C:$C,A228,'Amex Transactions'!$I:$I,"Check")&gt;0,"Check","")</f>
        <v/>
      </c>
    </row>
    <row r="229">
      <c r="A229" s="10" t="inlineStr">
        <is>
          <t>TENPURAARAKINISEKO HOKKAIDO</t>
        </is>
      </c>
      <c r="B229" s="10">
        <f>IFERROR(INDEX('Review Items'!$D:$D,MATCH(A229,'Review Items'!$B:$B,0)),IFERROR(INDEX('Rule Updates'!$B:$B,MATCH(A229,'Rule Updates'!$A:$A,0)),"Uncategorised"))</f>
        <v/>
      </c>
      <c r="C229" s="10">
        <f>IFERROR(INDEX('Review Items'!$E:$E,MATCH(A229,'Review Items'!$B:$B,0)),IFERROR(INDEX('Rule Updates'!$C:$C,MATCH(A229,'Rule Updates'!$A:$A,0)),"Review"))</f>
        <v/>
      </c>
      <c r="D229" s="10">
        <f>COUNTIF('Amex Transactions'!$C:$C,A229)</f>
        <v/>
      </c>
      <c r="E229" s="10">
        <f>SUMIFS('Amex Transactions'!$G:$G,'Amex Transactions'!$C:$C,A229,'Amex Transactions'!$G:$G,"&gt;0")</f>
        <v/>
      </c>
      <c r="F229" s="11" t="n">
        <v>45726</v>
      </c>
      <c r="G229" s="10">
        <f>IF(COUNTIFS('Amex Transactions'!$C:$C,A229,'Amex Transactions'!$I:$I,"Check")&gt;0,"Check","")</f>
        <v/>
      </c>
    </row>
    <row r="230">
      <c r="A230" s="10" t="inlineStr">
        <is>
          <t>LANDRACE Bathwick</t>
        </is>
      </c>
      <c r="B230" s="10">
        <f>IFERROR(INDEX('Review Items'!$D:$D,MATCH(A230,'Review Items'!$B:$B,0)),IFERROR(INDEX('Rule Updates'!$B:$B,MATCH(A230,'Rule Updates'!$A:$A,0)),"Uncategorised"))</f>
        <v/>
      </c>
      <c r="C230" s="10">
        <f>IFERROR(INDEX('Review Items'!$E:$E,MATCH(A230,'Review Items'!$B:$B,0)),IFERROR(INDEX('Rule Updates'!$C:$C,MATCH(A230,'Rule Updates'!$A:$A,0)),"Review"))</f>
        <v/>
      </c>
      <c r="D230" s="10">
        <f>COUNTIF('Amex Transactions'!$C:$C,A230)</f>
        <v/>
      </c>
      <c r="E230" s="10">
        <f>SUMIFS('Amex Transactions'!$G:$G,'Amex Transactions'!$C:$C,A230,'Amex Transactions'!$G:$G,"&gt;0")</f>
        <v/>
      </c>
      <c r="F230" s="11" t="n">
        <v>45774</v>
      </c>
      <c r="G230" s="10">
        <f>IF(COUNTIFS('Amex Transactions'!$C:$C,A230,'Amex Transactions'!$I:$I,"Check")&gt;0,"Check","")</f>
        <v/>
      </c>
    </row>
    <row r="231">
      <c r="A231" s="10" t="inlineStr">
        <is>
          <t>JNC QUOI DELI COMPORT ALC Á CER DO SAL</t>
        </is>
      </c>
      <c r="B231" s="10">
        <f>IFERROR(INDEX('Review Items'!$D:$D,MATCH(A231,'Review Items'!$B:$B,0)),IFERROR(INDEX('Rule Updates'!$B:$B,MATCH(A231,'Rule Updates'!$A:$A,0)),"Uncategorised"))</f>
        <v/>
      </c>
      <c r="C231" s="10">
        <f>IFERROR(INDEX('Review Items'!$E:$E,MATCH(A231,'Review Items'!$B:$B,0)),IFERROR(INDEX('Rule Updates'!$C:$C,MATCH(A231,'Rule Updates'!$A:$A,0)),"Review"))</f>
        <v/>
      </c>
      <c r="D231" s="10">
        <f>COUNTIF('Amex Transactions'!$C:$C,A231)</f>
        <v/>
      </c>
      <c r="E231" s="10">
        <f>SUMIFS('Amex Transactions'!$G:$G,'Amex Transactions'!$C:$C,A231,'Amex Transactions'!$G:$G,"&gt;0")</f>
        <v/>
      </c>
      <c r="F231" s="11" t="n">
        <v>46049</v>
      </c>
      <c r="G231" s="10">
        <f>IF(COUNTIFS('Amex Transactions'!$C:$C,A231,'Amex Transactions'!$I:$I,"Check")&gt;0,"Check","")</f>
        <v/>
      </c>
    </row>
    <row r="232">
      <c r="A232" s="10" t="inlineStr">
        <is>
          <t>WATER MANS TAVERN PTY LT BARANGAROO</t>
        </is>
      </c>
      <c r="B232" s="10">
        <f>IFERROR(INDEX('Review Items'!$D:$D,MATCH(A232,'Review Items'!$B:$B,0)),IFERROR(INDEX('Rule Updates'!$B:$B,MATCH(A232,'Rule Updates'!$A:$A,0)),"Uncategorised"))</f>
        <v/>
      </c>
      <c r="C232" s="10">
        <f>IFERROR(INDEX('Review Items'!$E:$E,MATCH(A232,'Review Items'!$B:$B,0)),IFERROR(INDEX('Rule Updates'!$C:$C,MATCH(A232,'Rule Updates'!$A:$A,0)),"Review"))</f>
        <v/>
      </c>
      <c r="D232" s="10">
        <f>COUNTIF('Amex Transactions'!$C:$C,A232)</f>
        <v/>
      </c>
      <c r="E232" s="10">
        <f>SUMIFS('Amex Transactions'!$G:$G,'Amex Transactions'!$C:$C,A232,'Amex Transactions'!$G:$G,"&gt;0")</f>
        <v/>
      </c>
      <c r="F232" s="11" t="n">
        <v>46010</v>
      </c>
      <c r="G232" s="10">
        <f>IF(COUNTIFS('Amex Transactions'!$C:$C,A232,'Amex Transactions'!$I:$I,"Check")&gt;0,"Check","")</f>
        <v/>
      </c>
    </row>
    <row r="233">
      <c r="A233" s="10" t="inlineStr">
        <is>
          <t>AESOP IFC II CENTRAL</t>
        </is>
      </c>
      <c r="B233" s="10">
        <f>IFERROR(INDEX('Review Items'!$D:$D,MATCH(A233,'Review Items'!$B:$B,0)),IFERROR(INDEX('Rule Updates'!$B:$B,MATCH(A233,'Rule Updates'!$A:$A,0)),"Uncategorised"))</f>
        <v/>
      </c>
      <c r="C233" s="10">
        <f>IFERROR(INDEX('Review Items'!$E:$E,MATCH(A233,'Review Items'!$B:$B,0)),IFERROR(INDEX('Rule Updates'!$C:$C,MATCH(A233,'Rule Updates'!$A:$A,0)),"Review"))</f>
        <v/>
      </c>
      <c r="D233" s="10">
        <f>COUNTIF('Amex Transactions'!$C:$C,A233)</f>
        <v/>
      </c>
      <c r="E233" s="10">
        <f>SUMIFS('Amex Transactions'!$G:$G,'Amex Transactions'!$C:$C,A233,'Amex Transactions'!$G:$G,"&gt;0")</f>
        <v/>
      </c>
      <c r="F233" s="11" t="n">
        <v>45578</v>
      </c>
      <c r="G233" s="10">
        <f>IF(COUNTIFS('Amex Transactions'!$C:$C,A233,'Amex Transactions'!$I:$I,"Check")&gt;0,"Check","")</f>
        <v/>
      </c>
    </row>
    <row r="234">
      <c r="A234" s="10" t="inlineStr">
        <is>
          <t>VICTOR CHURCHILL WOOLLAHRA</t>
        </is>
      </c>
      <c r="B234" s="10">
        <f>IFERROR(INDEX('Review Items'!$D:$D,MATCH(A234,'Review Items'!$B:$B,0)),IFERROR(INDEX('Rule Updates'!$B:$B,MATCH(A234,'Rule Updates'!$A:$A,0)),"Uncategorised"))</f>
        <v/>
      </c>
      <c r="C234" s="10">
        <f>IFERROR(INDEX('Review Items'!$E:$E,MATCH(A234,'Review Items'!$B:$B,0)),IFERROR(INDEX('Rule Updates'!$C:$C,MATCH(A234,'Rule Updates'!$A:$A,0)),"Review"))</f>
        <v/>
      </c>
      <c r="D234" s="10">
        <f>COUNTIF('Amex Transactions'!$C:$C,A234)</f>
        <v/>
      </c>
      <c r="E234" s="10">
        <f>SUMIFS('Amex Transactions'!$G:$G,'Amex Transactions'!$C:$C,A234,'Amex Transactions'!$G:$G,"&gt;0")</f>
        <v/>
      </c>
      <c r="F234" s="11" t="n">
        <v>46014</v>
      </c>
      <c r="G234" s="10">
        <f>IF(COUNTIFS('Amex Transactions'!$C:$C,A234,'Amex Transactions'!$I:$I,"Check")&gt;0,"Check","")</f>
        <v/>
      </c>
    </row>
    <row r="235">
      <c r="A235" s="10" t="inlineStr">
        <is>
          <t>AEON HOKKAIDO SM -SAPPO *</t>
        </is>
      </c>
      <c r="B235" s="10">
        <f>IFERROR(INDEX('Review Items'!$D:$D,MATCH(A235,'Review Items'!$B:$B,0)),IFERROR(INDEX('Rule Updates'!$B:$B,MATCH(A235,'Rule Updates'!$A:$A,0)),"Uncategorised"))</f>
        <v/>
      </c>
      <c r="C235" s="10">
        <f>IFERROR(INDEX('Review Items'!$E:$E,MATCH(A235,'Review Items'!$B:$B,0)),IFERROR(INDEX('Rule Updates'!$C:$C,MATCH(A235,'Rule Updates'!$A:$A,0)),"Review"))</f>
        <v/>
      </c>
      <c r="D235" s="10">
        <f>COUNTIF('Amex Transactions'!$C:$C,A235)</f>
        <v/>
      </c>
      <c r="E235" s="10">
        <f>SUMIFS('Amex Transactions'!$G:$G,'Amex Transactions'!$C:$C,A235,'Amex Transactions'!$G:$G,"&gt;0")</f>
        <v/>
      </c>
      <c r="F235" s="11" t="n">
        <v>46086</v>
      </c>
      <c r="G235" s="10">
        <f>IF(COUNTIFS('Amex Transactions'!$C:$C,A235,'Amex Transactions'!$I:$I,"Check")&gt;0,"Check","")</f>
        <v/>
      </c>
    </row>
    <row r="236">
      <c r="A236" s="10" t="inlineStr">
        <is>
          <t>AZABUDAIHILLS TOKYO</t>
        </is>
      </c>
      <c r="B236" s="10">
        <f>IFERROR(INDEX('Review Items'!$D:$D,MATCH(A236,'Review Items'!$B:$B,0)),IFERROR(INDEX('Rule Updates'!$B:$B,MATCH(A236,'Rule Updates'!$A:$A,0)),"Uncategorised"))</f>
        <v/>
      </c>
      <c r="C236" s="10">
        <f>IFERROR(INDEX('Review Items'!$E:$E,MATCH(A236,'Review Items'!$B:$B,0)),IFERROR(INDEX('Rule Updates'!$C:$C,MATCH(A236,'Rule Updates'!$A:$A,0)),"Review"))</f>
        <v/>
      </c>
      <c r="D236" s="10">
        <f>COUNTIF('Amex Transactions'!$C:$C,A236)</f>
        <v/>
      </c>
      <c r="E236" s="10">
        <f>SUMIFS('Amex Transactions'!$G:$G,'Amex Transactions'!$C:$C,A236,'Amex Transactions'!$G:$G,"&gt;0")</f>
        <v/>
      </c>
      <c r="F236" s="11" t="n">
        <v>45529</v>
      </c>
      <c r="G236" s="10">
        <f>IF(COUNTIFS('Amex Transactions'!$C:$C,A236,'Amex Transactions'!$I:$I,"Check")&gt;0,"Check","")</f>
        <v/>
      </c>
    </row>
    <row r="237">
      <c r="A237" s="10" t="inlineStr">
        <is>
          <t>G7Q ADMIRALTY</t>
        </is>
      </c>
      <c r="B237" s="10">
        <f>IFERROR(INDEX('Review Items'!$D:$D,MATCH(A237,'Review Items'!$B:$B,0)),IFERROR(INDEX('Rule Updates'!$B:$B,MATCH(A237,'Rule Updates'!$A:$A,0)),"Uncategorised"))</f>
        <v/>
      </c>
      <c r="C237" s="10">
        <f>IFERROR(INDEX('Review Items'!$E:$E,MATCH(A237,'Review Items'!$B:$B,0)),IFERROR(INDEX('Rule Updates'!$C:$C,MATCH(A237,'Rule Updates'!$A:$A,0)),"Review"))</f>
        <v/>
      </c>
      <c r="D237" s="10">
        <f>COUNTIF('Amex Transactions'!$C:$C,A237)</f>
        <v/>
      </c>
      <c r="E237" s="10">
        <f>SUMIFS('Amex Transactions'!$G:$G,'Amex Transactions'!$C:$C,A237,'Amex Transactions'!$G:$G,"&gt;0")</f>
        <v/>
      </c>
      <c r="F237" s="11" t="n">
        <v>45875</v>
      </c>
      <c r="G237" s="10">
        <f>IF(COUNTIFS('Amex Transactions'!$C:$C,A237,'Amex Transactions'!$I:$I,"Check")&gt;0,"Check","")</f>
        <v/>
      </c>
    </row>
    <row r="238">
      <c r="A238" s="10" t="inlineStr">
        <is>
          <t>B A &amp; SH CENTRAL</t>
        </is>
      </c>
      <c r="B238" s="10">
        <f>IFERROR(INDEX('Review Items'!$D:$D,MATCH(A238,'Review Items'!$B:$B,0)),IFERROR(INDEX('Rule Updates'!$B:$B,MATCH(A238,'Rule Updates'!$A:$A,0)),"Uncategorised"))</f>
        <v/>
      </c>
      <c r="C238" s="10">
        <f>IFERROR(INDEX('Review Items'!$E:$E,MATCH(A238,'Review Items'!$B:$B,0)),IFERROR(INDEX('Rule Updates'!$C:$C,MATCH(A238,'Rule Updates'!$A:$A,0)),"Review"))</f>
        <v/>
      </c>
      <c r="D238" s="10">
        <f>COUNTIF('Amex Transactions'!$C:$C,A238)</f>
        <v/>
      </c>
      <c r="E238" s="10">
        <f>SUMIFS('Amex Transactions'!$G:$G,'Amex Transactions'!$C:$C,A238,'Amex Transactions'!$G:$G,"&gt;0")</f>
        <v/>
      </c>
      <c r="F238" s="11" t="n">
        <v>45925</v>
      </c>
      <c r="G238" s="10">
        <f>IF(COUNTIFS('Amex Transactions'!$C:$C,A238,'Amex Transactions'!$I:$I,"Check")&gt;0,"Check","")</f>
        <v/>
      </c>
    </row>
    <row r="239">
      <c r="A239" s="10" t="inlineStr">
        <is>
          <t>BB MSL * 1111 ONES HK</t>
        </is>
      </c>
      <c r="B239" s="10">
        <f>IFERROR(INDEX('Review Items'!$D:$D,MATCH(A239,'Review Items'!$B:$B,0)),IFERROR(INDEX('Rule Updates'!$B:$B,MATCH(A239,'Rule Updates'!$A:$A,0)),"Uncategorised"))</f>
        <v/>
      </c>
      <c r="C239" s="10">
        <f>IFERROR(INDEX('Review Items'!$E:$E,MATCH(A239,'Review Items'!$B:$B,0)),IFERROR(INDEX('Rule Updates'!$C:$C,MATCH(A239,'Rule Updates'!$A:$A,0)),"Review"))</f>
        <v/>
      </c>
      <c r="D239" s="10">
        <f>COUNTIF('Amex Transactions'!$C:$C,A239)</f>
        <v/>
      </c>
      <c r="E239" s="10">
        <f>SUMIFS('Amex Transactions'!$G:$G,'Amex Transactions'!$C:$C,A239,'Amex Transactions'!$G:$G,"&gt;0")</f>
        <v/>
      </c>
      <c r="F239" s="11" t="n">
        <v>45903</v>
      </c>
      <c r="G239" s="10">
        <f>IF(COUNTIFS('Amex Transactions'!$C:$C,A239,'Amex Transactions'!$I:$I,"Check")&gt;0,"Check","")</f>
        <v/>
      </c>
    </row>
    <row r="240">
      <c r="A240" s="10" t="inlineStr">
        <is>
          <t>DRIES VAN NOTEN CENTRAL</t>
        </is>
      </c>
      <c r="B240" s="10">
        <f>IFERROR(INDEX('Review Items'!$D:$D,MATCH(A240,'Review Items'!$B:$B,0)),IFERROR(INDEX('Rule Updates'!$B:$B,MATCH(A240,'Rule Updates'!$A:$A,0)),"Uncategorised"))</f>
        <v/>
      </c>
      <c r="C240" s="10">
        <f>IFERROR(INDEX('Review Items'!$E:$E,MATCH(A240,'Review Items'!$B:$B,0)),IFERROR(INDEX('Rule Updates'!$C:$C,MATCH(A240,'Rule Updates'!$A:$A,0)),"Review"))</f>
        <v/>
      </c>
      <c r="D240" s="10">
        <f>COUNTIF('Amex Transactions'!$C:$C,A240)</f>
        <v/>
      </c>
      <c r="E240" s="10">
        <f>SUMIFS('Amex Transactions'!$G:$G,'Amex Transactions'!$C:$C,A240,'Amex Transactions'!$G:$G,"&gt;0")</f>
        <v/>
      </c>
      <c r="F240" s="11" t="n">
        <v>45903</v>
      </c>
      <c r="G240" s="10">
        <f>IF(COUNTIFS('Amex Transactions'!$C:$C,A240,'Amex Transactions'!$I:$I,"Check")&gt;0,"Check","")</f>
        <v/>
      </c>
    </row>
    <row r="241">
      <c r="A241" s="10" t="inlineStr">
        <is>
          <t>EASYJET LUTON</t>
        </is>
      </c>
      <c r="B241" s="10">
        <f>IFERROR(INDEX('Review Items'!$D:$D,MATCH(A241,'Review Items'!$B:$B,0)),IFERROR(INDEX('Rule Updates'!$B:$B,MATCH(A241,'Rule Updates'!$A:$A,0)),"Uncategorised"))</f>
        <v/>
      </c>
      <c r="C241" s="10">
        <f>IFERROR(INDEX('Review Items'!$E:$E,MATCH(A241,'Review Items'!$B:$B,0)),IFERROR(INDEX('Rule Updates'!$C:$C,MATCH(A241,'Rule Updates'!$A:$A,0)),"Review"))</f>
        <v/>
      </c>
      <c r="D241" s="10">
        <f>COUNTIF('Amex Transactions'!$C:$C,A241)</f>
        <v/>
      </c>
      <c r="E241" s="10">
        <f>SUMIFS('Amex Transactions'!$G:$G,'Amex Transactions'!$C:$C,A241,'Amex Transactions'!$G:$G,"&gt;0")</f>
        <v/>
      </c>
      <c r="F241" s="11" t="n">
        <v>45740</v>
      </c>
      <c r="G241" s="10">
        <f>IF(COUNTIFS('Amex Transactions'!$C:$C,A241,'Amex Transactions'!$I:$I,"Check")&gt;0,"Check","")</f>
        <v/>
      </c>
    </row>
    <row r="242">
      <c r="A242" s="10" t="inlineStr">
        <is>
          <t>EREWHON SANTA MONICA 00 Santa Monica</t>
        </is>
      </c>
      <c r="B242" s="10">
        <f>IFERROR(INDEX('Review Items'!$D:$D,MATCH(A242,'Review Items'!$B:$B,0)),IFERROR(INDEX('Rule Updates'!$B:$B,MATCH(A242,'Rule Updates'!$A:$A,0)),"Uncategorised"))</f>
        <v/>
      </c>
      <c r="C242" s="10">
        <f>IFERROR(INDEX('Review Items'!$E:$E,MATCH(A242,'Review Items'!$B:$B,0)),IFERROR(INDEX('Rule Updates'!$C:$C,MATCH(A242,'Rule Updates'!$A:$A,0)),"Review"))</f>
        <v/>
      </c>
      <c r="D242" s="10">
        <f>COUNTIF('Amex Transactions'!$C:$C,A242)</f>
        <v/>
      </c>
      <c r="E242" s="10">
        <f>SUMIFS('Amex Transactions'!$G:$G,'Amex Transactions'!$C:$C,A242,'Amex Transactions'!$G:$G,"&gt;0")</f>
        <v/>
      </c>
      <c r="F242" s="11" t="n">
        <v>45798</v>
      </c>
      <c r="G242" s="10">
        <f>IF(COUNTIFS('Amex Transactions'!$C:$C,A242,'Amex Transactions'!$I:$I,"Check")&gt;0,"Check","")</f>
        <v/>
      </c>
    </row>
    <row r="243">
      <c r="A243" s="10" t="inlineStr">
        <is>
          <t>FIREDOOR Surry Hills</t>
        </is>
      </c>
      <c r="B243" s="10">
        <f>IFERROR(INDEX('Review Items'!$D:$D,MATCH(A243,'Review Items'!$B:$B,0)),IFERROR(INDEX('Rule Updates'!$B:$B,MATCH(A243,'Rule Updates'!$A:$A,0)),"Uncategorised"))</f>
        <v/>
      </c>
      <c r="C243" s="10">
        <f>IFERROR(INDEX('Review Items'!$E:$E,MATCH(A243,'Review Items'!$B:$B,0)),IFERROR(INDEX('Rule Updates'!$C:$C,MATCH(A243,'Rule Updates'!$A:$A,0)),"Review"))</f>
        <v/>
      </c>
      <c r="D243" s="10">
        <f>COUNTIF('Amex Transactions'!$C:$C,A243)</f>
        <v/>
      </c>
      <c r="E243" s="10">
        <f>SUMIFS('Amex Transactions'!$G:$G,'Amex Transactions'!$C:$C,A243,'Amex Transactions'!$G:$G,"&gt;0")</f>
        <v/>
      </c>
      <c r="F243" s="11" t="n">
        <v>45881</v>
      </c>
      <c r="G243" s="10">
        <f>IF(COUNTIFS('Amex Transactions'!$C:$C,A243,'Amex Transactions'!$I:$I,"Check")&gt;0,"Check","")</f>
        <v/>
      </c>
    </row>
    <row r="244">
      <c r="A244" s="10" t="inlineStr">
        <is>
          <t>TENPURAARAKI TP HOKKAIDO</t>
        </is>
      </c>
      <c r="B244" s="10">
        <f>IFERROR(INDEX('Review Items'!$D:$D,MATCH(A244,'Review Items'!$B:$B,0)),IFERROR(INDEX('Rule Updates'!$B:$B,MATCH(A244,'Rule Updates'!$A:$A,0)),"Uncategorised"))</f>
        <v/>
      </c>
      <c r="C244" s="10">
        <f>IFERROR(INDEX('Review Items'!$E:$E,MATCH(A244,'Review Items'!$B:$B,0)),IFERROR(INDEX('Rule Updates'!$C:$C,MATCH(A244,'Rule Updates'!$A:$A,0)),"Review"))</f>
        <v/>
      </c>
      <c r="D244" s="10">
        <f>COUNTIF('Amex Transactions'!$C:$C,A244)</f>
        <v/>
      </c>
      <c r="E244" s="10">
        <f>SUMIFS('Amex Transactions'!$G:$G,'Amex Transactions'!$C:$C,A244,'Amex Transactions'!$G:$G,"&gt;0")</f>
        <v/>
      </c>
      <c r="F244" s="11" t="n">
        <v>46083</v>
      </c>
      <c r="G244" s="10">
        <f>IF(COUNTIFS('Amex Transactions'!$C:$C,A244,'Amex Transactions'!$I:$I,"Check")&gt;0,"Check","")</f>
        <v/>
      </c>
    </row>
    <row r="245">
      <c r="A245" s="10" t="inlineStr">
        <is>
          <t>LANE CRAW FORD ( CANTON RTSIM SHA TSUI</t>
        </is>
      </c>
      <c r="B245" s="10">
        <f>IFERROR(INDEX('Review Items'!$D:$D,MATCH(A245,'Review Items'!$B:$B,0)),IFERROR(INDEX('Rule Updates'!$B:$B,MATCH(A245,'Rule Updates'!$A:$A,0)),"Uncategorised"))</f>
        <v/>
      </c>
      <c r="C245" s="10">
        <f>IFERROR(INDEX('Review Items'!$E:$E,MATCH(A245,'Review Items'!$B:$B,0)),IFERROR(INDEX('Rule Updates'!$C:$C,MATCH(A245,'Rule Updates'!$A:$A,0)),"Review"))</f>
        <v/>
      </c>
      <c r="D245" s="10">
        <f>COUNTIF('Amex Transactions'!$C:$C,A245)</f>
        <v/>
      </c>
      <c r="E245" s="10">
        <f>SUMIFS('Amex Transactions'!$G:$G,'Amex Transactions'!$C:$C,A245,'Amex Transactions'!$G:$G,"&gt;0")</f>
        <v/>
      </c>
      <c r="F245" s="11" t="n">
        <v>45961</v>
      </c>
      <c r="G245" s="10">
        <f>IF(COUNTIFS('Amex Transactions'!$C:$C,A245,'Amex Transactions'!$I:$I,"Check")&gt;0,"Check","")</f>
        <v/>
      </c>
    </row>
    <row r="246">
      <c r="A246" s="10" t="inlineStr">
        <is>
          <t>UNI QLO HONG KONG LIMITE TSIM SHA TSUI</t>
        </is>
      </c>
      <c r="B246" s="10">
        <f>IFERROR(INDEX('Review Items'!$D:$D,MATCH(A246,'Review Items'!$B:$B,0)),IFERROR(INDEX('Rule Updates'!$B:$B,MATCH(A246,'Rule Updates'!$A:$A,0)),"Uncategorised"))</f>
        <v/>
      </c>
      <c r="C246" s="10">
        <f>IFERROR(INDEX('Review Items'!$E:$E,MATCH(A246,'Review Items'!$B:$B,0)),IFERROR(INDEX('Rule Updates'!$C:$C,MATCH(A246,'Rule Updates'!$A:$A,0)),"Review"))</f>
        <v/>
      </c>
      <c r="D246" s="10">
        <f>COUNTIF('Amex Transactions'!$C:$C,A246)</f>
        <v/>
      </c>
      <c r="E246" s="10">
        <f>SUMIFS('Amex Transactions'!$G:$G,'Amex Transactions'!$C:$C,A246,'Amex Transactions'!$G:$G,"&gt;0")</f>
        <v/>
      </c>
      <c r="F246" s="11" t="n">
        <v>46060</v>
      </c>
      <c r="G246" s="10">
        <f>IF(COUNTIFS('Amex Transactions'!$C:$C,A246,'Amex Transactions'!$I:$I,"Check")&gt;0,"Check","")</f>
        <v/>
      </c>
    </row>
    <row r="247">
      <c r="A247" s="10" t="inlineStr">
        <is>
          <t>APPLE STORE R238 R238 SYDNEY</t>
        </is>
      </c>
      <c r="B247" s="10">
        <f>IFERROR(INDEX('Review Items'!$D:$D,MATCH(A247,'Review Items'!$B:$B,0)),IFERROR(INDEX('Rule Updates'!$B:$B,MATCH(A247,'Rule Updates'!$A:$A,0)),"Uncategorised"))</f>
        <v/>
      </c>
      <c r="C247" s="10">
        <f>IFERROR(INDEX('Review Items'!$E:$E,MATCH(A247,'Review Items'!$B:$B,0)),IFERROR(INDEX('Rule Updates'!$C:$C,MATCH(A247,'Rule Updates'!$A:$A,0)),"Review"))</f>
        <v/>
      </c>
      <c r="D247" s="10">
        <f>COUNTIF('Amex Transactions'!$C:$C,A247)</f>
        <v/>
      </c>
      <c r="E247" s="10">
        <f>SUMIFS('Amex Transactions'!$G:$G,'Amex Transactions'!$C:$C,A247,'Amex Transactions'!$G:$G,"&gt;0")</f>
        <v/>
      </c>
      <c r="F247" s="11" t="n">
        <v>45670</v>
      </c>
      <c r="G247" s="10">
        <f>IF(COUNTIFS('Amex Transactions'!$C:$C,A247,'Amex Transactions'!$I:$I,"Check")&gt;0,"Check","")</f>
        <v/>
      </c>
    </row>
    <row r="248">
      <c r="A248" s="10" t="inlineStr">
        <is>
          <t>APITA QUARRY BAY</t>
        </is>
      </c>
      <c r="B248" s="10">
        <f>IFERROR(INDEX('Review Items'!$D:$D,MATCH(A248,'Review Items'!$B:$B,0)),IFERROR(INDEX('Rule Updates'!$B:$B,MATCH(A248,'Rule Updates'!$A:$A,0)),"Uncategorised"))</f>
        <v/>
      </c>
      <c r="C248" s="10">
        <f>IFERROR(INDEX('Review Items'!$E:$E,MATCH(A248,'Review Items'!$B:$B,0)),IFERROR(INDEX('Rule Updates'!$C:$C,MATCH(A248,'Rule Updates'!$A:$A,0)),"Review"))</f>
        <v/>
      </c>
      <c r="D248" s="10">
        <f>COUNTIF('Amex Transactions'!$C:$C,A248)</f>
        <v/>
      </c>
      <c r="E248" s="10">
        <f>SUMIFS('Amex Transactions'!$G:$G,'Amex Transactions'!$C:$C,A248,'Amex Transactions'!$G:$G,"&gt;0")</f>
        <v/>
      </c>
      <c r="F248" s="11" t="n">
        <v>45645</v>
      </c>
      <c r="G248" s="10">
        <f>IF(COUNTIFS('Amex Transactions'!$C:$C,A248,'Amex Transactions'!$I:$I,"Check")&gt;0,"Check","")</f>
        <v/>
      </c>
    </row>
    <row r="249">
      <c r="A249" s="10" t="inlineStr">
        <is>
          <t>BASSIKE RETAIL PTY LTD DOUBLE BAY</t>
        </is>
      </c>
      <c r="B249" s="10">
        <f>IFERROR(INDEX('Review Items'!$D:$D,MATCH(A249,'Review Items'!$B:$B,0)),IFERROR(INDEX('Rule Updates'!$B:$B,MATCH(A249,'Rule Updates'!$A:$A,0)),"Uncategorised"))</f>
        <v/>
      </c>
      <c r="C249" s="10">
        <f>IFERROR(INDEX('Review Items'!$E:$E,MATCH(A249,'Review Items'!$B:$B,0)),IFERROR(INDEX('Rule Updates'!$C:$C,MATCH(A249,'Rule Updates'!$A:$A,0)),"Review"))</f>
        <v/>
      </c>
      <c r="D249" s="10">
        <f>COUNTIF('Amex Transactions'!$C:$C,A249)</f>
        <v/>
      </c>
      <c r="E249" s="10">
        <f>SUMIFS('Amex Transactions'!$G:$G,'Amex Transactions'!$C:$C,A249,'Amex Transactions'!$G:$G,"&gt;0")</f>
        <v/>
      </c>
      <c r="F249" s="11" t="n">
        <v>45663</v>
      </c>
      <c r="G249" s="10">
        <f>IF(COUNTIFS('Amex Transactions'!$C:$C,A249,'Amex Transactions'!$I:$I,"Check")&gt;0,"Check","")</f>
        <v/>
      </c>
    </row>
    <row r="250">
      <c r="A250" s="10" t="inlineStr">
        <is>
          <t>KPAY * LALA 0000000000000 HONG KONG</t>
        </is>
      </c>
      <c r="B250" s="10">
        <f>IFERROR(INDEX('Review Items'!$D:$D,MATCH(A250,'Review Items'!$B:$B,0)),IFERROR(INDEX('Rule Updates'!$B:$B,MATCH(A250,'Rule Updates'!$A:$A,0)),"Uncategorised"))</f>
        <v/>
      </c>
      <c r="C250" s="10">
        <f>IFERROR(INDEX('Review Items'!$E:$E,MATCH(A250,'Review Items'!$B:$B,0)),IFERROR(INDEX('Rule Updates'!$C:$C,MATCH(A250,'Rule Updates'!$A:$A,0)),"Review"))</f>
        <v/>
      </c>
      <c r="D250" s="10">
        <f>COUNTIF('Amex Transactions'!$C:$C,A250)</f>
        <v/>
      </c>
      <c r="E250" s="10">
        <f>SUMIFS('Amex Transactions'!$G:$G,'Amex Transactions'!$C:$C,A250,'Amex Transactions'!$G:$G,"&gt;0")</f>
        <v/>
      </c>
      <c r="F250" s="11" t="n">
        <v>46102</v>
      </c>
      <c r="G250" s="10">
        <f>IF(COUNTIFS('Amex Transactions'!$C:$C,A250,'Amex Transactions'!$I:$I,"Check")&gt;0,"Check","")</f>
        <v/>
      </c>
    </row>
    <row r="251">
      <c r="A251" s="10" t="inlineStr">
        <is>
          <t>SP HEIST LOS ANGELES</t>
        </is>
      </c>
      <c r="B251" s="10">
        <f>IFERROR(INDEX('Review Items'!$D:$D,MATCH(A251,'Review Items'!$B:$B,0)),IFERROR(INDEX('Rule Updates'!$B:$B,MATCH(A251,'Rule Updates'!$A:$A,0)),"Uncategorised"))</f>
        <v/>
      </c>
      <c r="C251" s="10">
        <f>IFERROR(INDEX('Review Items'!$E:$E,MATCH(A251,'Review Items'!$B:$B,0)),IFERROR(INDEX('Rule Updates'!$C:$C,MATCH(A251,'Rule Updates'!$A:$A,0)),"Review"))</f>
        <v/>
      </c>
      <c r="D251" s="10">
        <f>COUNTIF('Amex Transactions'!$C:$C,A251)</f>
        <v/>
      </c>
      <c r="E251" s="10">
        <f>SUMIFS('Amex Transactions'!$G:$G,'Amex Transactions'!$C:$C,A251,'Amex Transactions'!$G:$G,"&gt;0")</f>
        <v/>
      </c>
      <c r="F251" s="11" t="n">
        <v>45946</v>
      </c>
      <c r="G251" s="10">
        <f>IF(COUNTIFS('Amex Transactions'!$C:$C,A251,'Amex Transactions'!$I:$I,"Check")&gt;0,"Check","")</f>
        <v/>
      </c>
    </row>
    <row r="252">
      <c r="A252" s="10" t="inlineStr">
        <is>
          <t>RUKUZ UOISUTA BA ABUTAGUN</t>
        </is>
      </c>
      <c r="B252" s="10">
        <f>IFERROR(INDEX('Review Items'!$D:$D,MATCH(A252,'Review Items'!$B:$B,0)),IFERROR(INDEX('Rule Updates'!$B:$B,MATCH(A252,'Rule Updates'!$A:$A,0)),"Uncategorised"))</f>
        <v/>
      </c>
      <c r="C252" s="10">
        <f>IFERROR(INDEX('Review Items'!$E:$E,MATCH(A252,'Review Items'!$B:$B,0)),IFERROR(INDEX('Rule Updates'!$C:$C,MATCH(A252,'Rule Updates'!$A:$A,0)),"Review"))</f>
        <v/>
      </c>
      <c r="D252" s="10">
        <f>COUNTIF('Amex Transactions'!$C:$C,A252)</f>
        <v/>
      </c>
      <c r="E252" s="10">
        <f>SUMIFS('Amex Transactions'!$G:$G,'Amex Transactions'!$C:$C,A252,'Amex Transactions'!$G:$G,"&gt;0")</f>
        <v/>
      </c>
      <c r="F252" s="11" t="n">
        <v>46065</v>
      </c>
      <c r="G252" s="10">
        <f>IF(COUNTIFS('Amex Transactions'!$C:$C,A252,'Amex Transactions'!$I:$I,"Check")&gt;0,"Check","")</f>
        <v/>
      </c>
    </row>
    <row r="253">
      <c r="A253" s="10" t="inlineStr">
        <is>
          <t>KPAY*MOMOGAWANOU 000000 HONG KONG</t>
        </is>
      </c>
      <c r="B253" s="10">
        <f>IFERROR(INDEX('Review Items'!$D:$D,MATCH(A253,'Review Items'!$B:$B,0)),IFERROR(INDEX('Rule Updates'!$B:$B,MATCH(A253,'Rule Updates'!$A:$A,0)),"Uncategorised"))</f>
        <v/>
      </c>
      <c r="C253" s="10">
        <f>IFERROR(INDEX('Review Items'!$E:$E,MATCH(A253,'Review Items'!$B:$B,0)),IFERROR(INDEX('Rule Updates'!$C:$C,MATCH(A253,'Rule Updates'!$A:$A,0)),"Review"))</f>
        <v/>
      </c>
      <c r="D253" s="10">
        <f>COUNTIF('Amex Transactions'!$C:$C,A253)</f>
        <v/>
      </c>
      <c r="E253" s="10">
        <f>SUMIFS('Amex Transactions'!$G:$G,'Amex Transactions'!$C:$C,A253,'Amex Transactions'!$G:$G,"&gt;0")</f>
        <v/>
      </c>
      <c r="F253" s="11" t="n">
        <v>45546</v>
      </c>
      <c r="G253" s="10">
        <f>IF(COUNTIFS('Amex Transactions'!$C:$C,A253,'Amex Transactions'!$I:$I,"Check")&gt;0,"Check","")</f>
        <v/>
      </c>
    </row>
    <row r="254">
      <c r="A254" s="10" t="inlineStr">
        <is>
          <t>MANDARIN ORIENTAL FRONT MACAU</t>
        </is>
      </c>
      <c r="B254" s="10">
        <f>IFERROR(INDEX('Review Items'!$D:$D,MATCH(A254,'Review Items'!$B:$B,0)),IFERROR(INDEX('Rule Updates'!$B:$B,MATCH(A254,'Rule Updates'!$A:$A,0)),"Uncategorised"))</f>
        <v/>
      </c>
      <c r="C254" s="10">
        <f>IFERROR(INDEX('Review Items'!$E:$E,MATCH(A254,'Review Items'!$B:$B,0)),IFERROR(INDEX('Rule Updates'!$C:$C,MATCH(A254,'Rule Updates'!$A:$A,0)),"Review"))</f>
        <v/>
      </c>
      <c r="D254" s="10">
        <f>COUNTIF('Amex Transactions'!$C:$C,A254)</f>
        <v/>
      </c>
      <c r="E254" s="10">
        <f>SUMIFS('Amex Transactions'!$G:$G,'Amex Transactions'!$C:$C,A254,'Amex Transactions'!$G:$G,"&gt;0")</f>
        <v/>
      </c>
      <c r="F254" s="11" t="n">
        <v>45634</v>
      </c>
      <c r="G254" s="10">
        <f>IF(COUNTIFS('Amex Transactions'!$C:$C,A254,'Amex Transactions'!$I:$I,"Check")&gt;0,"Check","")</f>
        <v/>
      </c>
    </row>
    <row r="255">
      <c r="A255" s="10" t="inlineStr">
        <is>
          <t>Ni s ekoBion meng t ian j u n j</t>
        </is>
      </c>
      <c r="B255" s="10">
        <f>IFERROR(INDEX('Review Items'!$D:$D,MATCH(A255,'Review Items'!$B:$B,0)),IFERROR(INDEX('Rule Updates'!$B:$B,MATCH(A255,'Rule Updates'!$A:$A,0)),"Uncategorised"))</f>
        <v/>
      </c>
      <c r="C255" s="10">
        <f>IFERROR(INDEX('Review Items'!$E:$E,MATCH(A255,'Review Items'!$B:$B,0)),IFERROR(INDEX('Rule Updates'!$C:$C,MATCH(A255,'Rule Updates'!$A:$A,0)),"Review"))</f>
        <v/>
      </c>
      <c r="D255" s="10">
        <f>COUNTIF('Amex Transactions'!$C:$C,A255)</f>
        <v/>
      </c>
      <c r="E255" s="10">
        <f>SUMIFS('Amex Transactions'!$G:$G,'Amex Transactions'!$C:$C,A255,'Amex Transactions'!$G:$G,"&gt;0")</f>
        <v/>
      </c>
      <c r="F255" s="11" t="n">
        <v>46081</v>
      </c>
      <c r="G255" s="10">
        <f>IF(COUNTIFS('Amex Transactions'!$C:$C,A255,'Amex Transactions'!$I:$I,"Check")&gt;0,"Check","")</f>
        <v/>
      </c>
    </row>
    <row r="256">
      <c r="A256" s="10" t="inlineStr">
        <is>
          <t>UNIQLO HONG KONG LIMITE TSIM SHA TSUI</t>
        </is>
      </c>
      <c r="B256" s="10">
        <f>IFERROR(INDEX('Review Items'!$D:$D,MATCH(A256,'Review Items'!$B:$B,0)),IFERROR(INDEX('Rule Updates'!$B:$B,MATCH(A256,'Rule Updates'!$A:$A,0)),"Uncategorised"))</f>
        <v/>
      </c>
      <c r="C256" s="10">
        <f>IFERROR(INDEX('Review Items'!$E:$E,MATCH(A256,'Review Items'!$B:$B,0)),IFERROR(INDEX('Rule Updates'!$C:$C,MATCH(A256,'Rule Updates'!$A:$A,0)),"Review"))</f>
        <v/>
      </c>
      <c r="D256" s="10">
        <f>COUNTIF('Amex Transactions'!$C:$C,A256)</f>
        <v/>
      </c>
      <c r="E256" s="10">
        <f>SUMIFS('Amex Transactions'!$G:$G,'Amex Transactions'!$C:$C,A256,'Amex Transactions'!$G:$G,"&gt;0")</f>
        <v/>
      </c>
      <c r="F256" s="11" t="n">
        <v>45886</v>
      </c>
      <c r="G256" s="10">
        <f>IF(COUNTIFS('Amex Transactions'!$C:$C,A256,'Amex Transactions'!$I:$I,"Check")&gt;0,"Check","")</f>
        <v/>
      </c>
    </row>
    <row r="257">
      <c r="A257" s="10" t="inlineStr">
        <is>
          <t>PAYPAL *BIRKENSTOCK 4029357733</t>
        </is>
      </c>
      <c r="B257" s="10">
        <f>IFERROR(INDEX('Review Items'!$D:$D,MATCH(A257,'Review Items'!$B:$B,0)),IFERROR(INDEX('Rule Updates'!$B:$B,MATCH(A257,'Rule Updates'!$A:$A,0)),"Uncategorised"))</f>
        <v/>
      </c>
      <c r="C257" s="10">
        <f>IFERROR(INDEX('Review Items'!$E:$E,MATCH(A257,'Review Items'!$B:$B,0)),IFERROR(INDEX('Rule Updates'!$C:$C,MATCH(A257,'Rule Updates'!$A:$A,0)),"Review"))</f>
        <v/>
      </c>
      <c r="D257" s="10">
        <f>COUNTIF('Amex Transactions'!$C:$C,A257)</f>
        <v/>
      </c>
      <c r="E257" s="10">
        <f>SUMIFS('Amex Transactions'!$G:$G,'Amex Transactions'!$C:$C,A257,'Amex Transactions'!$G:$G,"&gt;0")</f>
        <v/>
      </c>
      <c r="F257" s="11" t="n">
        <v>45636</v>
      </c>
      <c r="G257" s="10">
        <f>IF(COUNTIFS('Amex Transactions'!$C:$C,A257,'Amex Transactions'!$I:$I,"Check")&gt;0,"Check","")</f>
        <v/>
      </c>
    </row>
    <row r="258">
      <c r="A258" s="10" t="inlineStr">
        <is>
          <t>TOPPING &amp; COMPANY BOOKS Bathwick</t>
        </is>
      </c>
      <c r="B258" s="10">
        <f>IFERROR(INDEX('Review Items'!$D:$D,MATCH(A258,'Review Items'!$B:$B,0)),IFERROR(INDEX('Rule Updates'!$B:$B,MATCH(A258,'Rule Updates'!$A:$A,0)),"Uncategorised"))</f>
        <v/>
      </c>
      <c r="C258" s="10">
        <f>IFERROR(INDEX('Review Items'!$E:$E,MATCH(A258,'Review Items'!$B:$B,0)),IFERROR(INDEX('Rule Updates'!$C:$C,MATCH(A258,'Rule Updates'!$A:$A,0)),"Review"))</f>
        <v/>
      </c>
      <c r="D258" s="10">
        <f>COUNTIF('Amex Transactions'!$C:$C,A258)</f>
        <v/>
      </c>
      <c r="E258" s="10">
        <f>SUMIFS('Amex Transactions'!$G:$G,'Amex Transactions'!$C:$C,A258,'Amex Transactions'!$G:$G,"&gt;0")</f>
        <v/>
      </c>
      <c r="F258" s="11" t="n">
        <v>45774</v>
      </c>
      <c r="G258" s="10">
        <f>IF(COUNTIFS('Amex Transactions'!$C:$C,A258,'Amex Transactions'!$I:$I,"Check")&gt;0,"Check","")</f>
        <v/>
      </c>
    </row>
    <row r="259">
      <c r="A259" s="10" t="inlineStr">
        <is>
          <t>NEIGH BORHOOD CENTRAL</t>
        </is>
      </c>
      <c r="B259" s="10">
        <f>IFERROR(INDEX('Review Items'!$D:$D,MATCH(A259,'Review Items'!$B:$B,0)),IFERROR(INDEX('Rule Updates'!$B:$B,MATCH(A259,'Rule Updates'!$A:$A,0)),"Uncategorised"))</f>
        <v/>
      </c>
      <c r="C259" s="10">
        <f>IFERROR(INDEX('Review Items'!$E:$E,MATCH(A259,'Review Items'!$B:$B,0)),IFERROR(INDEX('Rule Updates'!$C:$C,MATCH(A259,'Rule Updates'!$A:$A,0)),"Review"))</f>
        <v/>
      </c>
      <c r="D259" s="10">
        <f>COUNTIF('Amex Transactions'!$C:$C,A259)</f>
        <v/>
      </c>
      <c r="E259" s="10">
        <f>SUMIFS('Amex Transactions'!$G:$G,'Amex Transactions'!$C:$C,A259,'Amex Transactions'!$G:$G,"&gt;0")</f>
        <v/>
      </c>
      <c r="F259" s="11" t="n">
        <v>45996</v>
      </c>
      <c r="G259" s="10">
        <f>IF(COUNTIFS('Amex Transactions'!$C:$C,A259,'Amex Transactions'!$I:$I,"Check")&gt;0,"Check","")</f>
        <v/>
      </c>
    </row>
    <row r="260">
      <c r="A260" s="10" t="inlineStr">
        <is>
          <t>SOGO HONG KONG CO LTD CAUSEWAY BAY</t>
        </is>
      </c>
      <c r="B260" s="10">
        <f>IFERROR(INDEX('Review Items'!$D:$D,MATCH(A260,'Review Items'!$B:$B,0)),IFERROR(INDEX('Rule Updates'!$B:$B,MATCH(A260,'Rule Updates'!$A:$A,0)),"Uncategorised"))</f>
        <v/>
      </c>
      <c r="C260" s="10">
        <f>IFERROR(INDEX('Review Items'!$E:$E,MATCH(A260,'Review Items'!$B:$B,0)),IFERROR(INDEX('Rule Updates'!$C:$C,MATCH(A260,'Rule Updates'!$A:$A,0)),"Review"))</f>
        <v/>
      </c>
      <c r="D260" s="10">
        <f>COUNTIF('Amex Transactions'!$C:$C,A260)</f>
        <v/>
      </c>
      <c r="E260" s="10">
        <f>SUMIFS('Amex Transactions'!$G:$G,'Amex Transactions'!$C:$C,A260,'Amex Transactions'!$G:$G,"&gt;0")</f>
        <v/>
      </c>
      <c r="F260" s="11" t="n">
        <v>45793</v>
      </c>
      <c r="G260" s="10">
        <f>IF(COUNTIFS('Amex Transactions'!$C:$C,A260,'Amex Transactions'!$I:$I,"Check")&gt;0,"Check","")</f>
        <v/>
      </c>
    </row>
    <row r="261">
      <c r="A261" s="10" t="inlineStr">
        <is>
          <t>PETIT BATEAU LONDON</t>
        </is>
      </c>
      <c r="B261" s="10">
        <f>IFERROR(INDEX('Review Items'!$D:$D,MATCH(A261,'Review Items'!$B:$B,0)),IFERROR(INDEX('Rule Updates'!$B:$B,MATCH(A261,'Rule Updates'!$A:$A,0)),"Uncategorised"))</f>
        <v/>
      </c>
      <c r="C261" s="10">
        <f>IFERROR(INDEX('Review Items'!$E:$E,MATCH(A261,'Review Items'!$B:$B,0)),IFERROR(INDEX('Rule Updates'!$C:$C,MATCH(A261,'Rule Updates'!$A:$A,0)),"Review"))</f>
        <v/>
      </c>
      <c r="D261" s="10">
        <f>COUNTIF('Amex Transactions'!$C:$C,A261)</f>
        <v/>
      </c>
      <c r="E261" s="10">
        <f>SUMIFS('Amex Transactions'!$G:$G,'Amex Transactions'!$C:$C,A261,'Amex Transactions'!$G:$G,"&gt;0")</f>
        <v/>
      </c>
      <c r="F261" s="11" t="n">
        <v>45766</v>
      </c>
      <c r="G261" s="10">
        <f>IF(COUNTIFS('Amex Transactions'!$C:$C,A261,'Amex Transactions'!$I:$I,"Check")&gt;0,"Check","")</f>
        <v/>
      </c>
    </row>
    <row r="262">
      <c r="A262" s="10" t="inlineStr">
        <is>
          <t>SP IM 8 HEALTH CHARLOTTE</t>
        </is>
      </c>
      <c r="B262" s="10">
        <f>IFERROR(INDEX('Review Items'!$D:$D,MATCH(A262,'Review Items'!$B:$B,0)),IFERROR(INDEX('Rule Updates'!$B:$B,MATCH(A262,'Rule Updates'!$A:$A,0)),"Uncategorised"))</f>
        <v/>
      </c>
      <c r="C262" s="10">
        <f>IFERROR(INDEX('Review Items'!$E:$E,MATCH(A262,'Review Items'!$B:$B,0)),IFERROR(INDEX('Rule Updates'!$C:$C,MATCH(A262,'Rule Updates'!$A:$A,0)),"Review"))</f>
        <v/>
      </c>
      <c r="D262" s="10">
        <f>COUNTIF('Amex Transactions'!$C:$C,A262)</f>
        <v/>
      </c>
      <c r="E262" s="10">
        <f>SUMIFS('Amex Transactions'!$G:$G,'Amex Transactions'!$C:$C,A262,'Amex Transactions'!$G:$G,"&gt;0")</f>
        <v/>
      </c>
      <c r="F262" s="11" t="n">
        <v>45977</v>
      </c>
      <c r="G262" s="10">
        <f>IF(COUNTIFS('Amex Transactions'!$C:$C,A262,'Amex Transactions'!$I:$I,"Check")&gt;0,"Check","")</f>
        <v/>
      </c>
    </row>
    <row r="263">
      <c r="A263" s="10" t="inlineStr">
        <is>
          <t>OYADO TAMAK 0279722232</t>
        </is>
      </c>
      <c r="B263" s="10">
        <f>IFERROR(INDEX('Review Items'!$D:$D,MATCH(A263,'Review Items'!$B:$B,0)),IFERROR(INDEX('Rule Updates'!$B:$B,MATCH(A263,'Rule Updates'!$A:$A,0)),"Uncategorised"))</f>
        <v/>
      </c>
      <c r="C263" s="10">
        <f>IFERROR(INDEX('Review Items'!$E:$E,MATCH(A263,'Review Items'!$B:$B,0)),IFERROR(INDEX('Rule Updates'!$C:$C,MATCH(A263,'Rule Updates'!$A:$A,0)),"Review"))</f>
        <v/>
      </c>
      <c r="D263" s="10">
        <f>COUNTIF('Amex Transactions'!$C:$C,A263)</f>
        <v/>
      </c>
      <c r="E263" s="10">
        <f>SUMIFS('Amex Transactions'!$G:$G,'Amex Transactions'!$C:$C,A263,'Amex Transactions'!$G:$G,"&gt;0")</f>
        <v/>
      </c>
      <c r="F263" s="11" t="n">
        <v>45935</v>
      </c>
      <c r="G263" s="10">
        <f>IF(COUNTIFS('Amex Transactions'!$C:$C,A263,'Amex Transactions'!$I:$I,"Check")&gt;0,"Check","")</f>
        <v/>
      </c>
    </row>
    <row r="264">
      <c r="A264" s="10" t="inlineStr">
        <is>
          <t>ZVUK LIMITED LONDON</t>
        </is>
      </c>
      <c r="B264" s="10">
        <f>IFERROR(INDEX('Review Items'!$D:$D,MATCH(A264,'Review Items'!$B:$B,0)),IFERROR(INDEX('Rule Updates'!$B:$B,MATCH(A264,'Rule Updates'!$A:$A,0)),"Uncategorised"))</f>
        <v/>
      </c>
      <c r="C264" s="10">
        <f>IFERROR(INDEX('Review Items'!$E:$E,MATCH(A264,'Review Items'!$B:$B,0)),IFERROR(INDEX('Rule Updates'!$C:$C,MATCH(A264,'Rule Updates'!$A:$A,0)),"Review"))</f>
        <v/>
      </c>
      <c r="D264" s="10">
        <f>COUNTIF('Amex Transactions'!$C:$C,A264)</f>
        <v/>
      </c>
      <c r="E264" s="10">
        <f>SUMIFS('Amex Transactions'!$G:$G,'Amex Transactions'!$C:$C,A264,'Amex Transactions'!$G:$G,"&gt;0")</f>
        <v/>
      </c>
      <c r="F264" s="11" t="n">
        <v>45819</v>
      </c>
      <c r="G264" s="10">
        <f>IF(COUNTIFS('Amex Transactions'!$C:$C,A264,'Amex Transactions'!$I:$I,"Check")&gt;0,"Check","")</f>
        <v/>
      </c>
    </row>
    <row r="265">
      <c r="A265" s="10" t="inlineStr">
        <is>
          <t>THE POTTS POINT BOOK SELIZ A BETH BAY</t>
        </is>
      </c>
      <c r="B265" s="10">
        <f>IFERROR(INDEX('Review Items'!$D:$D,MATCH(A265,'Review Items'!$B:$B,0)),IFERROR(INDEX('Rule Updates'!$B:$B,MATCH(A265,'Rule Updates'!$A:$A,0)),"Uncategorised"))</f>
        <v/>
      </c>
      <c r="C265" s="10">
        <f>IFERROR(INDEX('Review Items'!$E:$E,MATCH(A265,'Review Items'!$B:$B,0)),IFERROR(INDEX('Rule Updates'!$C:$C,MATCH(A265,'Rule Updates'!$A:$A,0)),"Review"))</f>
        <v/>
      </c>
      <c r="D265" s="10">
        <f>COUNTIF('Amex Transactions'!$C:$C,A265)</f>
        <v/>
      </c>
      <c r="E265" s="10">
        <f>SUMIFS('Amex Transactions'!$G:$G,'Amex Transactions'!$C:$C,A265,'Amex Transactions'!$G:$G,"&gt;0")</f>
        <v/>
      </c>
      <c r="F265" s="11" t="n">
        <v>46010</v>
      </c>
      <c r="G265" s="10">
        <f>IF(COUNTIFS('Amex Transactions'!$C:$C,A265,'Amex Transactions'!$I:$I,"Check")&gt;0,"Check","")</f>
        <v/>
      </c>
    </row>
    <row r="266">
      <c r="A266" s="10" t="inlineStr">
        <is>
          <t>RAG &amp; BONE HOLDINGS, LL NEW YORK</t>
        </is>
      </c>
      <c r="B266" s="10">
        <f>IFERROR(INDEX('Review Items'!$D:$D,MATCH(A266,'Review Items'!$B:$B,0)),IFERROR(INDEX('Rule Updates'!$B:$B,MATCH(A266,'Rule Updates'!$A:$A,0)),"Uncategorised"))</f>
        <v/>
      </c>
      <c r="C266" s="10">
        <f>IFERROR(INDEX('Review Items'!$E:$E,MATCH(A266,'Review Items'!$B:$B,0)),IFERROR(INDEX('Rule Updates'!$C:$C,MATCH(A266,'Rule Updates'!$A:$A,0)),"Review"))</f>
        <v/>
      </c>
      <c r="D266" s="10">
        <f>COUNTIF('Amex Transactions'!$C:$C,A266)</f>
        <v/>
      </c>
      <c r="E266" s="10">
        <f>SUMIFS('Amex Transactions'!$G:$G,'Amex Transactions'!$C:$C,A266,'Amex Transactions'!$G:$G,"&gt;0")</f>
        <v/>
      </c>
      <c r="F266" s="11" t="n">
        <v>45797</v>
      </c>
      <c r="G266" s="10">
        <f>IF(COUNTIFS('Amex Transactions'!$C:$C,A266,'Amex Transactions'!$I:$I,"Check")&gt;0,"Check","")</f>
        <v/>
      </c>
    </row>
    <row r="267">
      <c r="A267" s="10" t="inlineStr">
        <is>
          <t>RESTAURANT AZUMA SYDNEY</t>
        </is>
      </c>
      <c r="B267" s="10">
        <f>IFERROR(INDEX('Review Items'!$D:$D,MATCH(A267,'Review Items'!$B:$B,0)),IFERROR(INDEX('Rule Updates'!$B:$B,MATCH(A267,'Rule Updates'!$A:$A,0)),"Uncategorised"))</f>
        <v/>
      </c>
      <c r="C267" s="10">
        <f>IFERROR(INDEX('Review Items'!$E:$E,MATCH(A267,'Review Items'!$B:$B,0)),IFERROR(INDEX('Rule Updates'!$C:$C,MATCH(A267,'Rule Updates'!$A:$A,0)),"Review"))</f>
        <v/>
      </c>
      <c r="D267" s="10">
        <f>COUNTIF('Amex Transactions'!$C:$C,A267)</f>
        <v/>
      </c>
      <c r="E267" s="10">
        <f>SUMIFS('Amex Transactions'!$G:$G,'Amex Transactions'!$C:$C,A267,'Amex Transactions'!$G:$G,"&gt;0")</f>
        <v/>
      </c>
      <c r="F267" s="11" t="n">
        <v>45666</v>
      </c>
      <c r="G267" s="10">
        <f>IF(COUNTIFS('Amex Transactions'!$C:$C,A267,'Amex Transactions'!$I:$I,"Check")&gt;0,"Check","")</f>
        <v/>
      </c>
    </row>
    <row r="268">
      <c r="A268" s="10" t="inlineStr">
        <is>
          <t>XOPP 62109 HAYMARKET</t>
        </is>
      </c>
      <c r="B268" s="10">
        <f>IFERROR(INDEX('Review Items'!$D:$D,MATCH(A268,'Review Items'!$B:$B,0)),IFERROR(INDEX('Rule Updates'!$B:$B,MATCH(A268,'Rule Updates'!$A:$A,0)),"Uncategorised"))</f>
        <v/>
      </c>
      <c r="C268" s="10">
        <f>IFERROR(INDEX('Review Items'!$E:$E,MATCH(A268,'Review Items'!$B:$B,0)),IFERROR(INDEX('Rule Updates'!$C:$C,MATCH(A268,'Rule Updates'!$A:$A,0)),"Review"))</f>
        <v/>
      </c>
      <c r="D268" s="10">
        <f>COUNTIF('Amex Transactions'!$C:$C,A268)</f>
        <v/>
      </c>
      <c r="E268" s="10">
        <f>SUMIFS('Amex Transactions'!$G:$G,'Amex Transactions'!$C:$C,A268,'Amex Transactions'!$G:$G,"&gt;0")</f>
        <v/>
      </c>
      <c r="F268" s="11" t="n">
        <v>45667</v>
      </c>
      <c r="G268" s="10">
        <f>IF(COUNTIFS('Amex Transactions'!$C:$C,A268,'Amex Transactions'!$I:$I,"Check")&gt;0,"Check","")</f>
        <v/>
      </c>
    </row>
    <row r="269">
      <c r="A269" s="10" t="inlineStr">
        <is>
          <t>TEMPURA JIRO CENTRAL</t>
        </is>
      </c>
      <c r="B269" s="10">
        <f>IFERROR(INDEX('Review Items'!$D:$D,MATCH(A269,'Review Items'!$B:$B,0)),IFERROR(INDEX('Rule Updates'!$B:$B,MATCH(A269,'Rule Updates'!$A:$A,0)),"Uncategorised"))</f>
        <v/>
      </c>
      <c r="C269" s="10">
        <f>IFERROR(INDEX('Review Items'!$E:$E,MATCH(A269,'Review Items'!$B:$B,0)),IFERROR(INDEX('Rule Updates'!$C:$C,MATCH(A269,'Rule Updates'!$A:$A,0)),"Review"))</f>
        <v/>
      </c>
      <c r="D269" s="10">
        <f>COUNTIF('Amex Transactions'!$C:$C,A269)</f>
        <v/>
      </c>
      <c r="E269" s="10">
        <f>SUMIFS('Amex Transactions'!$G:$G,'Amex Transactions'!$C:$C,A269,'Amex Transactions'!$G:$G,"&gt;0")</f>
        <v/>
      </c>
      <c r="F269" s="11" t="n">
        <v>45778</v>
      </c>
      <c r="G269" s="10">
        <f>IF(COUNTIFS('Amex Transactions'!$C:$C,A269,'Amex Transactions'!$I:$I,"Check")&gt;0,"Check","")</f>
        <v/>
      </c>
    </row>
    <row r="270">
      <c r="A270" s="10" t="inlineStr">
        <is>
          <t>LACOSTE TERMINAL 4 SINGAPORE</t>
        </is>
      </c>
      <c r="B270" s="10">
        <f>IFERROR(INDEX('Review Items'!$D:$D,MATCH(A270,'Review Items'!$B:$B,0)),IFERROR(INDEX('Rule Updates'!$B:$B,MATCH(A270,'Rule Updates'!$A:$A,0)),"Uncategorised"))</f>
        <v/>
      </c>
      <c r="C270" s="10">
        <f>IFERROR(INDEX('Review Items'!$E:$E,MATCH(A270,'Review Items'!$B:$B,0)),IFERROR(INDEX('Rule Updates'!$C:$C,MATCH(A270,'Rule Updates'!$A:$A,0)),"Review"))</f>
        <v/>
      </c>
      <c r="D270" s="10">
        <f>COUNTIF('Amex Transactions'!$C:$C,A270)</f>
        <v/>
      </c>
      <c r="E270" s="10">
        <f>SUMIFS('Amex Transactions'!$G:$G,'Amex Transactions'!$C:$C,A270,'Amex Transactions'!$G:$G,"&gt;0")</f>
        <v/>
      </c>
      <c r="F270" s="11" t="n">
        <v>46074</v>
      </c>
      <c r="G270" s="10">
        <f>IF(COUNTIFS('Amex Transactions'!$C:$C,A270,'Amex Transactions'!$I:$I,"Check")&gt;0,"Check","")</f>
        <v/>
      </c>
    </row>
    <row r="271">
      <c r="A271" s="10" t="inlineStr">
        <is>
          <t>JOOSIKHOISA AIAIKEOM BAI SEOUL</t>
        </is>
      </c>
      <c r="B271" s="10">
        <f>IFERROR(INDEX('Review Items'!$D:$D,MATCH(A271,'Review Items'!$B:$B,0)),IFERROR(INDEX('Rule Updates'!$B:$B,MATCH(A271,'Rule Updates'!$A:$A,0)),"Uncategorised"))</f>
        <v/>
      </c>
      <c r="C271" s="10">
        <f>IFERROR(INDEX('Review Items'!$E:$E,MATCH(A271,'Review Items'!$B:$B,0)),IFERROR(INDEX('Rule Updates'!$C:$C,MATCH(A271,'Rule Updates'!$A:$A,0)),"Review"))</f>
        <v/>
      </c>
      <c r="D271" s="10">
        <f>COUNTIF('Amex Transactions'!$C:$C,A271)</f>
        <v/>
      </c>
      <c r="E271" s="10">
        <f>SUMIFS('Amex Transactions'!$G:$G,'Amex Transactions'!$C:$C,A271,'Amex Transactions'!$G:$G,"&gt;0")</f>
        <v/>
      </c>
      <c r="F271" s="11" t="n">
        <v>45967</v>
      </c>
      <c r="G271" s="10">
        <f>IF(COUNTIFS('Amex Transactions'!$C:$C,A271,'Amex Transactions'!$I:$I,"Check")&gt;0,"Check","")</f>
        <v/>
      </c>
    </row>
    <row r="272">
      <c r="A272" s="10" t="inlineStr">
        <is>
          <t>STOCKXX*14546514601324 PHILADELPHIA</t>
        </is>
      </c>
      <c r="B272" s="10">
        <f>IFERROR(INDEX('Review Items'!$D:$D,MATCH(A272,'Review Items'!$B:$B,0)),IFERROR(INDEX('Rule Updates'!$B:$B,MATCH(A272,'Rule Updates'!$A:$A,0)),"Uncategorised"))</f>
        <v/>
      </c>
      <c r="C272" s="10">
        <f>IFERROR(INDEX('Review Items'!$E:$E,MATCH(A272,'Review Items'!$B:$B,0)),IFERROR(INDEX('Rule Updates'!$C:$C,MATCH(A272,'Rule Updates'!$A:$A,0)),"Review"))</f>
        <v/>
      </c>
      <c r="D272" s="10">
        <f>COUNTIF('Amex Transactions'!$C:$C,A272)</f>
        <v/>
      </c>
      <c r="E272" s="10">
        <f>SUMIFS('Amex Transactions'!$G:$G,'Amex Transactions'!$C:$C,A272,'Amex Transactions'!$G:$G,"&gt;0")</f>
        <v/>
      </c>
      <c r="F272" s="11" t="n">
        <v>45639</v>
      </c>
      <c r="G272" s="10">
        <f>IF(COUNTIFS('Amex Transactions'!$C:$C,A272,'Amex Transactions'!$I:$I,"Check")&gt;0,"Check","")</f>
        <v/>
      </c>
    </row>
    <row r="273">
      <c r="A273" s="10" t="inlineStr">
        <is>
          <t>SP SOUS CHEF LONDON</t>
        </is>
      </c>
      <c r="B273" s="10">
        <f>IFERROR(INDEX('Review Items'!$D:$D,MATCH(A273,'Review Items'!$B:$B,0)),IFERROR(INDEX('Rule Updates'!$B:$B,MATCH(A273,'Rule Updates'!$A:$A,0)),"Uncategorised"))</f>
        <v/>
      </c>
      <c r="C273" s="10">
        <f>IFERROR(INDEX('Review Items'!$E:$E,MATCH(A273,'Review Items'!$B:$B,0)),IFERROR(INDEX('Rule Updates'!$C:$C,MATCH(A273,'Rule Updates'!$A:$A,0)),"Review"))</f>
        <v/>
      </c>
      <c r="D273" s="10">
        <f>COUNTIF('Amex Transactions'!$C:$C,A273)</f>
        <v/>
      </c>
      <c r="E273" s="10">
        <f>SUMIFS('Amex Transactions'!$G:$G,'Amex Transactions'!$C:$C,A273,'Amex Transactions'!$G:$G,"&gt;0")</f>
        <v/>
      </c>
      <c r="F273" s="11" t="n">
        <v>45770</v>
      </c>
      <c r="G273" s="10">
        <f>IF(COUNTIFS('Amex Transactions'!$C:$C,A273,'Amex Transactions'!$I:$I,"Check")&gt;0,"Check","")</f>
        <v/>
      </c>
    </row>
    <row r="274">
      <c r="A274" s="10" t="inlineStr">
        <is>
          <t>SP JULY AU MELBOURNE</t>
        </is>
      </c>
      <c r="B274" s="10">
        <f>IFERROR(INDEX('Review Items'!$D:$D,MATCH(A274,'Review Items'!$B:$B,0)),IFERROR(INDEX('Rule Updates'!$B:$B,MATCH(A274,'Rule Updates'!$A:$A,0)),"Uncategorised"))</f>
        <v/>
      </c>
      <c r="C274" s="10">
        <f>IFERROR(INDEX('Review Items'!$E:$E,MATCH(A274,'Review Items'!$B:$B,0)),IFERROR(INDEX('Rule Updates'!$C:$C,MATCH(A274,'Rule Updates'!$A:$A,0)),"Review"))</f>
        <v/>
      </c>
      <c r="D274" s="10">
        <f>COUNTIF('Amex Transactions'!$C:$C,A274)</f>
        <v/>
      </c>
      <c r="E274" s="10">
        <f>SUMIFS('Amex Transactions'!$G:$G,'Amex Transactions'!$C:$C,A274,'Amex Transactions'!$G:$G,"&gt;0")</f>
        <v/>
      </c>
      <c r="F274" s="11" t="n">
        <v>45664</v>
      </c>
      <c r="G274" s="10">
        <f>IF(COUNTIFS('Amex Transactions'!$C:$C,A274,'Amex Transactions'!$I:$I,"Check")&gt;0,"Check","")</f>
        <v/>
      </c>
    </row>
    <row r="275">
      <c r="A275" s="10" t="inlineStr">
        <is>
          <t>SUNSPEL LIMITED NOTTINGHAM</t>
        </is>
      </c>
      <c r="B275" s="10">
        <f>IFERROR(INDEX('Review Items'!$D:$D,MATCH(A275,'Review Items'!$B:$B,0)),IFERROR(INDEX('Rule Updates'!$B:$B,MATCH(A275,'Rule Updates'!$A:$A,0)),"Uncategorised"))</f>
        <v/>
      </c>
      <c r="C275" s="10">
        <f>IFERROR(INDEX('Review Items'!$E:$E,MATCH(A275,'Review Items'!$B:$B,0)),IFERROR(INDEX('Rule Updates'!$C:$C,MATCH(A275,'Rule Updates'!$A:$A,0)),"Review"))</f>
        <v/>
      </c>
      <c r="D275" s="10">
        <f>COUNTIF('Amex Transactions'!$C:$C,A275)</f>
        <v/>
      </c>
      <c r="E275" s="10">
        <f>SUMIFS('Amex Transactions'!$G:$G,'Amex Transactions'!$C:$C,A275,'Amex Transactions'!$G:$G,"&gt;0")</f>
        <v/>
      </c>
      <c r="F275" s="11" t="n">
        <v>45751</v>
      </c>
      <c r="G275" s="10">
        <f>IF(COUNTIFS('Amex Transactions'!$C:$C,A275,'Amex Transactions'!$I:$I,"Check")&gt;0,"Check","")</f>
        <v/>
      </c>
    </row>
    <row r="276">
      <c r="A276" s="10" t="inlineStr">
        <is>
          <t>SP SUSANNE KAUFMANN BEZAU</t>
        </is>
      </c>
      <c r="B276" s="10">
        <f>IFERROR(INDEX('Review Items'!$D:$D,MATCH(A276,'Review Items'!$B:$B,0)),IFERROR(INDEX('Rule Updates'!$B:$B,MATCH(A276,'Rule Updates'!$A:$A,0)),"Uncategorised"))</f>
        <v/>
      </c>
      <c r="C276" s="10">
        <f>IFERROR(INDEX('Review Items'!$E:$E,MATCH(A276,'Review Items'!$B:$B,0)),IFERROR(INDEX('Rule Updates'!$C:$C,MATCH(A276,'Rule Updates'!$A:$A,0)),"Review"))</f>
        <v/>
      </c>
      <c r="D276" s="10">
        <f>COUNTIF('Amex Transactions'!$C:$C,A276)</f>
        <v/>
      </c>
      <c r="E276" s="10">
        <f>SUMIFS('Amex Transactions'!$G:$G,'Amex Transactions'!$C:$C,A276,'Amex Transactions'!$G:$G,"&gt;0")</f>
        <v/>
      </c>
      <c r="F276" s="11" t="n">
        <v>45742</v>
      </c>
      <c r="G276" s="10">
        <f>IF(COUNTIFS('Amex Transactions'!$C:$C,A276,'Amex Transactions'!$I:$I,"Check")&gt;0,"Check","")</f>
        <v/>
      </c>
    </row>
    <row r="277">
      <c r="A277" s="10" t="inlineStr">
        <is>
          <t>GREAT FOOD HALL ( GPP- 25 ADMIRALTY</t>
        </is>
      </c>
      <c r="B277" s="10">
        <f>IFERROR(INDEX('Review Items'!$D:$D,MATCH(A277,'Review Items'!$B:$B,0)),IFERROR(INDEX('Rule Updates'!$B:$B,MATCH(A277,'Rule Updates'!$A:$A,0)),"Uncategorised"))</f>
        <v/>
      </c>
      <c r="C277" s="10">
        <f>IFERROR(INDEX('Review Items'!$E:$E,MATCH(A277,'Review Items'!$B:$B,0)),IFERROR(INDEX('Rule Updates'!$C:$C,MATCH(A277,'Rule Updates'!$A:$A,0)),"Review"))</f>
        <v/>
      </c>
      <c r="D277" s="10">
        <f>COUNTIF('Amex Transactions'!$C:$C,A277)</f>
        <v/>
      </c>
      <c r="E277" s="10">
        <f>SUMIFS('Amex Transactions'!$G:$G,'Amex Transactions'!$C:$C,A277,'Amex Transactions'!$G:$G,"&gt;0")</f>
        <v/>
      </c>
      <c r="F277" s="11" t="n">
        <v>45936</v>
      </c>
      <c r="G277" s="10">
        <f>IF(COUNTIFS('Amex Transactions'!$C:$C,A277,'Amex Transactions'!$I:$I,"Check")&gt;0,"Check","")</f>
        <v/>
      </c>
    </row>
    <row r="278">
      <c r="A278" s="10" t="inlineStr">
        <is>
          <t>TC YAKITORIFUJIWARA TOKYO</t>
        </is>
      </c>
      <c r="B278" s="10">
        <f>IFERROR(INDEX('Review Items'!$D:$D,MATCH(A278,'Review Items'!$B:$B,0)),IFERROR(INDEX('Rule Updates'!$B:$B,MATCH(A278,'Rule Updates'!$A:$A,0)),"Uncategorised"))</f>
        <v/>
      </c>
      <c r="C278" s="10">
        <f>IFERROR(INDEX('Review Items'!$E:$E,MATCH(A278,'Review Items'!$B:$B,0)),IFERROR(INDEX('Rule Updates'!$C:$C,MATCH(A278,'Rule Updates'!$A:$A,0)),"Review"))</f>
        <v/>
      </c>
      <c r="D278" s="10">
        <f>COUNTIF('Amex Transactions'!$C:$C,A278)</f>
        <v/>
      </c>
      <c r="E278" s="10">
        <f>SUMIFS('Amex Transactions'!$G:$G,'Amex Transactions'!$C:$C,A278,'Amex Transactions'!$G:$G,"&gt;0")</f>
        <v/>
      </c>
      <c r="F278" s="11" t="n">
        <v>45726</v>
      </c>
      <c r="G278" s="10">
        <f>IF(COUNTIFS('Amex Transactions'!$C:$C,A278,'Amex Transactions'!$I:$I,"Check")&gt;0,"Check","")</f>
        <v/>
      </c>
    </row>
    <row r="279">
      <c r="A279" s="10" t="inlineStr">
        <is>
          <t>LS NEPTUNE'SGROTTO SYDNEY</t>
        </is>
      </c>
      <c r="B279" s="10">
        <f>IFERROR(INDEX('Review Items'!$D:$D,MATCH(A279,'Review Items'!$B:$B,0)),IFERROR(INDEX('Rule Updates'!$B:$B,MATCH(A279,'Rule Updates'!$A:$A,0)),"Uncategorised"))</f>
        <v/>
      </c>
      <c r="C279" s="10">
        <f>IFERROR(INDEX('Review Items'!$E:$E,MATCH(A279,'Review Items'!$B:$B,0)),IFERROR(INDEX('Rule Updates'!$C:$C,MATCH(A279,'Rule Updates'!$A:$A,0)),"Review"))</f>
        <v/>
      </c>
      <c r="D279" s="10">
        <f>COUNTIF('Amex Transactions'!$C:$C,A279)</f>
        <v/>
      </c>
      <c r="E279" s="10">
        <f>SUMIFS('Amex Transactions'!$G:$G,'Amex Transactions'!$C:$C,A279,'Amex Transactions'!$G:$G,"&gt;0")</f>
        <v/>
      </c>
      <c r="F279" s="11" t="n">
        <v>45663</v>
      </c>
      <c r="G279" s="10">
        <f>IF(COUNTIFS('Amex Transactions'!$C:$C,A279,'Amex Transactions'!$I:$I,"Check")&gt;0,"Check","")</f>
        <v/>
      </c>
    </row>
    <row r="280">
      <c r="A280" s="10" t="inlineStr">
        <is>
          <t>IHERB IHERB.COM AMSTERDAM</t>
        </is>
      </c>
      <c r="B280" s="10">
        <f>IFERROR(INDEX('Review Items'!$D:$D,MATCH(A280,'Review Items'!$B:$B,0)),IFERROR(INDEX('Rule Updates'!$B:$B,MATCH(A280,'Rule Updates'!$A:$A,0)),"Uncategorised"))</f>
        <v/>
      </c>
      <c r="C280" s="10">
        <f>IFERROR(INDEX('Review Items'!$E:$E,MATCH(A280,'Review Items'!$B:$B,0)),IFERROR(INDEX('Rule Updates'!$C:$C,MATCH(A280,'Rule Updates'!$A:$A,0)),"Review"))</f>
        <v/>
      </c>
      <c r="D280" s="10">
        <f>COUNTIF('Amex Transactions'!$C:$C,A280)</f>
        <v/>
      </c>
      <c r="E280" s="10">
        <f>SUMIFS('Amex Transactions'!$G:$G,'Amex Transactions'!$C:$C,A280,'Amex Transactions'!$G:$G,"&gt;0")</f>
        <v/>
      </c>
      <c r="F280" s="11" t="n">
        <v>46090</v>
      </c>
      <c r="G280" s="10">
        <f>IF(COUNTIFS('Amex Transactions'!$C:$C,A280,'Amex Transactions'!$I:$I,"Check")&gt;0,"Check","")</f>
        <v/>
      </c>
    </row>
    <row r="281">
      <c r="A281" s="10" t="inlineStr">
        <is>
          <t>Mr B's Emporium Bath</t>
        </is>
      </c>
      <c r="B281" s="10">
        <f>IFERROR(INDEX('Review Items'!$D:$D,MATCH(A281,'Review Items'!$B:$B,0)),IFERROR(INDEX('Rule Updates'!$B:$B,MATCH(A281,'Rule Updates'!$A:$A,0)),"Uncategorised"))</f>
        <v/>
      </c>
      <c r="C281" s="10">
        <f>IFERROR(INDEX('Review Items'!$E:$E,MATCH(A281,'Review Items'!$B:$B,0)),IFERROR(INDEX('Rule Updates'!$C:$C,MATCH(A281,'Rule Updates'!$A:$A,0)),"Review"))</f>
        <v/>
      </c>
      <c r="D281" s="10">
        <f>COUNTIF('Amex Transactions'!$C:$C,A281)</f>
        <v/>
      </c>
      <c r="E281" s="10">
        <f>SUMIFS('Amex Transactions'!$G:$G,'Amex Transactions'!$C:$C,A281,'Amex Transactions'!$G:$G,"&gt;0")</f>
        <v/>
      </c>
      <c r="F281" s="11" t="n">
        <v>45816</v>
      </c>
      <c r="G281" s="10">
        <f>IF(COUNTIFS('Amex Transactions'!$C:$C,A281,'Amex Transactions'!$I:$I,"Check")&gt;0,"Check","")</f>
        <v/>
      </c>
    </row>
    <row r="282">
      <c r="A282" s="10" t="inlineStr">
        <is>
          <t>O l i v e Yo u ng SEOUL</t>
        </is>
      </c>
      <c r="B282" s="10">
        <f>IFERROR(INDEX('Review Items'!$D:$D,MATCH(A282,'Review Items'!$B:$B,0)),IFERROR(INDEX('Rule Updates'!$B:$B,MATCH(A282,'Rule Updates'!$A:$A,0)),"Uncategorised"))</f>
        <v/>
      </c>
      <c r="C282" s="10">
        <f>IFERROR(INDEX('Review Items'!$E:$E,MATCH(A282,'Review Items'!$B:$B,0)),IFERROR(INDEX('Rule Updates'!$C:$C,MATCH(A282,'Rule Updates'!$A:$A,0)),"Review"))</f>
        <v/>
      </c>
      <c r="D282" s="10">
        <f>COUNTIF('Amex Transactions'!$C:$C,A282)</f>
        <v/>
      </c>
      <c r="E282" s="10">
        <f>SUMIFS('Amex Transactions'!$G:$G,'Amex Transactions'!$C:$C,A282,'Amex Transactions'!$G:$G,"&gt;0")</f>
        <v/>
      </c>
      <c r="F282" s="11" t="n">
        <v>45974</v>
      </c>
      <c r="G282" s="10">
        <f>IF(COUNTIFS('Amex Transactions'!$C:$C,A282,'Amex Transactions'!$I:$I,"Check")&gt;0,"Check","")</f>
        <v/>
      </c>
    </row>
    <row r="283">
      <c r="A283" s="10" t="inlineStr">
        <is>
          <t>3CPAYMENT*BEAVERBROOK HSURREY</t>
        </is>
      </c>
      <c r="B283" s="10">
        <f>IFERROR(INDEX('Review Items'!$D:$D,MATCH(A283,'Review Items'!$B:$B,0)),IFERROR(INDEX('Rule Updates'!$B:$B,MATCH(A283,'Rule Updates'!$A:$A,0)),"Uncategorised"))</f>
        <v/>
      </c>
      <c r="C283" s="10">
        <f>IFERROR(INDEX('Review Items'!$E:$E,MATCH(A283,'Review Items'!$B:$B,0)),IFERROR(INDEX('Rule Updates'!$C:$C,MATCH(A283,'Rule Updates'!$A:$A,0)),"Review"))</f>
        <v/>
      </c>
      <c r="D283" s="10">
        <f>COUNTIF('Amex Transactions'!$C:$C,A283)</f>
        <v/>
      </c>
      <c r="E283" s="10">
        <f>SUMIFS('Amex Transactions'!$G:$G,'Amex Transactions'!$C:$C,A283,'Amex Transactions'!$G:$G,"&gt;0")</f>
        <v/>
      </c>
      <c r="F283" s="11" t="n">
        <v>45742</v>
      </c>
      <c r="G283" s="10">
        <f>IF(COUNTIFS('Amex Transactions'!$C:$C,A283,'Amex Transactions'!$I:$I,"Check")&gt;0,"Check","")</f>
        <v/>
      </c>
    </row>
    <row r="284">
      <c r="A284" s="10" t="inlineStr">
        <is>
          <t>STUDIOUS MENS KYOTO KYOTO</t>
        </is>
      </c>
      <c r="B284" s="10">
        <f>IFERROR(INDEX('Review Items'!$D:$D,MATCH(A284,'Review Items'!$B:$B,0)),IFERROR(INDEX('Rule Updates'!$B:$B,MATCH(A284,'Rule Updates'!$A:$A,0)),"Uncategorised"))</f>
        <v/>
      </c>
      <c r="C284" s="10">
        <f>IFERROR(INDEX('Review Items'!$E:$E,MATCH(A284,'Review Items'!$B:$B,0)),IFERROR(INDEX('Rule Updates'!$C:$C,MATCH(A284,'Rule Updates'!$A:$A,0)),"Review"))</f>
        <v/>
      </c>
      <c r="D284" s="10">
        <f>COUNTIF('Amex Transactions'!$C:$C,A284)</f>
        <v/>
      </c>
      <c r="E284" s="10">
        <f>SUMIFS('Amex Transactions'!$G:$G,'Amex Transactions'!$C:$C,A284,'Amex Transactions'!$G:$G,"&gt;0")</f>
        <v/>
      </c>
      <c r="F284" s="11" t="n">
        <v>45641</v>
      </c>
      <c r="G284" s="10">
        <f>IF(COUNTIFS('Amex Transactions'!$C:$C,A284,'Amex Transactions'!$I:$I,"Check")&gt;0,"Check","")</f>
        <v/>
      </c>
    </row>
    <row r="285">
      <c r="A285" s="10" t="inlineStr">
        <is>
          <t>JOYCE BEAUTY CAUSEWAY BAY</t>
        </is>
      </c>
      <c r="B285" s="10">
        <f>IFERROR(INDEX('Review Items'!$D:$D,MATCH(A285,'Review Items'!$B:$B,0)),IFERROR(INDEX('Rule Updates'!$B:$B,MATCH(A285,'Rule Updates'!$A:$A,0)),"Uncategorised"))</f>
        <v/>
      </c>
      <c r="C285" s="10">
        <f>IFERROR(INDEX('Review Items'!$E:$E,MATCH(A285,'Review Items'!$B:$B,0)),IFERROR(INDEX('Rule Updates'!$C:$C,MATCH(A285,'Rule Updates'!$A:$A,0)),"Review"))</f>
        <v/>
      </c>
      <c r="D285" s="10">
        <f>COUNTIF('Amex Transactions'!$C:$C,A285)</f>
        <v/>
      </c>
      <c r="E285" s="10">
        <f>SUMIFS('Amex Transactions'!$G:$G,'Amex Transactions'!$C:$C,A285,'Amex Transactions'!$G:$G,"&gt;0")</f>
        <v/>
      </c>
      <c r="F285" s="11" t="n">
        <v>45645</v>
      </c>
      <c r="G285" s="10">
        <f>IF(COUNTIFS('Amex Transactions'!$C:$C,A285,'Amex Transactions'!$I:$I,"Check")&gt;0,"Check","")</f>
        <v/>
      </c>
    </row>
    <row r="286">
      <c r="A286" s="10" t="inlineStr">
        <is>
          <t>KARPATI SKIN CLINIC DOUBLE BAY</t>
        </is>
      </c>
      <c r="B286" s="10">
        <f>IFERROR(INDEX('Review Items'!$D:$D,MATCH(A286,'Review Items'!$B:$B,0)),IFERROR(INDEX('Rule Updates'!$B:$B,MATCH(A286,'Rule Updates'!$A:$A,0)),"Uncategorised"))</f>
        <v/>
      </c>
      <c r="C286" s="10">
        <f>IFERROR(INDEX('Review Items'!$E:$E,MATCH(A286,'Review Items'!$B:$B,0)),IFERROR(INDEX('Rule Updates'!$C:$C,MATCH(A286,'Rule Updates'!$A:$A,0)),"Review"))</f>
        <v/>
      </c>
      <c r="D286" s="10">
        <f>COUNTIF('Amex Transactions'!$C:$C,A286)</f>
        <v/>
      </c>
      <c r="E286" s="10">
        <f>SUMIFS('Amex Transactions'!$G:$G,'Amex Transactions'!$C:$C,A286,'Amex Transactions'!$G:$G,"&gt;0")</f>
        <v/>
      </c>
      <c r="F286" s="11" t="n">
        <v>45665</v>
      </c>
      <c r="G286" s="10">
        <f>IF(COUNTIFS('Amex Transactions'!$C:$C,A286,'Amex Transactions'!$I:$I,"Check")&gt;0,"Check","")</f>
        <v/>
      </c>
    </row>
    <row r="287">
      <c r="A287" s="10" t="inlineStr">
        <is>
          <t>APPLE.COM/BILL CUPERTINO</t>
        </is>
      </c>
      <c r="B287" s="10">
        <f>IFERROR(INDEX('Review Items'!$D:$D,MATCH(A287,'Review Items'!$B:$B,0)),IFERROR(INDEX('Rule Updates'!$B:$B,MATCH(A287,'Rule Updates'!$A:$A,0)),"Uncategorised"))</f>
        <v/>
      </c>
      <c r="C287" s="10">
        <f>IFERROR(INDEX('Review Items'!$E:$E,MATCH(A287,'Review Items'!$B:$B,0)),IFERROR(INDEX('Rule Updates'!$C:$C,MATCH(A287,'Rule Updates'!$A:$A,0)),"Review"))</f>
        <v/>
      </c>
      <c r="D287" s="10">
        <f>COUNTIF('Amex Transactions'!$C:$C,A287)</f>
        <v/>
      </c>
      <c r="E287" s="10">
        <f>SUMIFS('Amex Transactions'!$G:$G,'Amex Transactions'!$C:$C,A287,'Amex Transactions'!$G:$G,"&gt;0")</f>
        <v/>
      </c>
      <c r="F287" s="11" t="n">
        <v>45676</v>
      </c>
      <c r="G287" s="10">
        <f>IF(COUNTIFS('Amex Transactions'!$C:$C,A287,'Amex Transactions'!$I:$I,"Check")&gt;0,"Check","")</f>
        <v/>
      </c>
    </row>
    <row r="288">
      <c r="A288" s="10" t="inlineStr">
        <is>
          <t>ISLAND SHANGRI-LA- LOBS ADMIRALTY</t>
        </is>
      </c>
      <c r="B288" s="10">
        <f>IFERROR(INDEX('Review Items'!$D:$D,MATCH(A288,'Review Items'!$B:$B,0)),IFERROR(INDEX('Rule Updates'!$B:$B,MATCH(A288,'Rule Updates'!$A:$A,0)),"Uncategorised"))</f>
        <v/>
      </c>
      <c r="C288" s="10">
        <f>IFERROR(INDEX('Review Items'!$E:$E,MATCH(A288,'Review Items'!$B:$B,0)),IFERROR(INDEX('Rule Updates'!$C:$C,MATCH(A288,'Rule Updates'!$A:$A,0)),"Review"))</f>
        <v/>
      </c>
      <c r="D288" s="10">
        <f>COUNTIF('Amex Transactions'!$C:$C,A288)</f>
        <v/>
      </c>
      <c r="E288" s="10">
        <f>SUMIFS('Amex Transactions'!$G:$G,'Amex Transactions'!$C:$C,A288,'Amex Transactions'!$G:$G,"&gt;0")</f>
        <v/>
      </c>
      <c r="F288" s="11" t="n">
        <v>45874</v>
      </c>
      <c r="G288" s="10">
        <f>IF(COUNTIFS('Amex Transactions'!$C:$C,A288,'Amex Transactions'!$I:$I,"Check")&gt;0,"Check","")</f>
        <v/>
      </c>
    </row>
    <row r="289">
      <c r="A289" s="10" t="inlineStr">
        <is>
          <t>AMZNMKTPLACE* W U 4 K 1 4 PB 5 AMA ZON.CO.UK</t>
        </is>
      </c>
      <c r="B289" s="10">
        <f>IFERROR(INDEX('Review Items'!$D:$D,MATCH(A289,'Review Items'!$B:$B,0)),IFERROR(INDEX('Rule Updates'!$B:$B,MATCH(A289,'Rule Updates'!$A:$A,0)),"Uncategorised"))</f>
        <v/>
      </c>
      <c r="C289" s="10">
        <f>IFERROR(INDEX('Review Items'!$E:$E,MATCH(A289,'Review Items'!$B:$B,0)),IFERROR(INDEX('Rule Updates'!$C:$C,MATCH(A289,'Rule Updates'!$A:$A,0)),"Review"))</f>
        <v/>
      </c>
      <c r="D289" s="10">
        <f>COUNTIF('Amex Transactions'!$C:$C,A289)</f>
        <v/>
      </c>
      <c r="E289" s="10">
        <f>SUMIFS('Amex Transactions'!$G:$G,'Amex Transactions'!$C:$C,A289,'Amex Transactions'!$G:$G,"&gt;0")</f>
        <v/>
      </c>
      <c r="F289" s="11" t="n">
        <v>46050</v>
      </c>
      <c r="G289" s="10">
        <f>IF(COUNTIFS('Amex Transactions'!$C:$C,A289,'Amex Transactions'!$I:$I,"Check")&gt;0,"Check","")</f>
        <v/>
      </c>
    </row>
    <row r="290">
      <c r="A290" s="10" t="inlineStr">
        <is>
          <t>SERVICE NSW SYDNEY</t>
        </is>
      </c>
      <c r="B290" s="10">
        <f>IFERROR(INDEX('Review Items'!$D:$D,MATCH(A290,'Review Items'!$B:$B,0)),IFERROR(INDEX('Rule Updates'!$B:$B,MATCH(A290,'Rule Updates'!$A:$A,0)),"Uncategorised"))</f>
        <v/>
      </c>
      <c r="C290" s="10">
        <f>IFERROR(INDEX('Review Items'!$E:$E,MATCH(A290,'Review Items'!$B:$B,0)),IFERROR(INDEX('Rule Updates'!$C:$C,MATCH(A290,'Rule Updates'!$A:$A,0)),"Review"))</f>
        <v/>
      </c>
      <c r="D290" s="10">
        <f>COUNTIF('Amex Transactions'!$C:$C,A290)</f>
        <v/>
      </c>
      <c r="E290" s="10">
        <f>SUMIFS('Amex Transactions'!$G:$G,'Amex Transactions'!$C:$C,A290,'Amex Transactions'!$G:$G,"&gt;0")</f>
        <v/>
      </c>
      <c r="F290" s="11" t="n">
        <v>45880</v>
      </c>
      <c r="G290" s="10">
        <f>IF(COUNTIFS('Amex Transactions'!$C:$C,A290,'Amex Transactions'!$I:$I,"Check")&gt;0,"Check","")</f>
        <v/>
      </c>
    </row>
    <row r="291">
      <c r="A291" s="10" t="inlineStr">
        <is>
          <t>MINDNLIFE LIMITED SUITE 1202</t>
        </is>
      </c>
      <c r="B291" s="10">
        <f>IFERROR(INDEX('Review Items'!$D:$D,MATCH(A291,'Review Items'!$B:$B,0)),IFERROR(INDEX('Rule Updates'!$B:$B,MATCH(A291,'Rule Updates'!$A:$A,0)),"Uncategorised"))</f>
        <v/>
      </c>
      <c r="C291" s="10">
        <f>IFERROR(INDEX('Review Items'!$E:$E,MATCH(A291,'Review Items'!$B:$B,0)),IFERROR(INDEX('Rule Updates'!$C:$C,MATCH(A291,'Rule Updates'!$A:$A,0)),"Review"))</f>
        <v/>
      </c>
      <c r="D291" s="10">
        <f>COUNTIF('Amex Transactions'!$C:$C,A291)</f>
        <v/>
      </c>
      <c r="E291" s="10">
        <f>SUMIFS('Amex Transactions'!$G:$G,'Amex Transactions'!$C:$C,A291,'Amex Transactions'!$G:$G,"&gt;0")</f>
        <v/>
      </c>
      <c r="F291" s="11" t="n">
        <v>45540</v>
      </c>
      <c r="G291" s="10">
        <f>IF(COUNTIFS('Amex Transactions'!$C:$C,A291,'Amex Transactions'!$I:$I,"Check")&gt;0,"Check","")</f>
        <v/>
      </c>
    </row>
    <row r="292">
      <c r="A292" s="10" t="inlineStr">
        <is>
          <t>LULULEMON COLUMBUS CNE WYORK</t>
        </is>
      </c>
      <c r="B292" s="10">
        <f>IFERROR(INDEX('Review Items'!$D:$D,MATCH(A292,'Review Items'!$B:$B,0)),IFERROR(INDEX('Rule Updates'!$B:$B,MATCH(A292,'Rule Updates'!$A:$A,0)),"Uncategorised"))</f>
        <v/>
      </c>
      <c r="C292" s="10">
        <f>IFERROR(INDEX('Review Items'!$E:$E,MATCH(A292,'Review Items'!$B:$B,0)),IFERROR(INDEX('Rule Updates'!$C:$C,MATCH(A292,'Rule Updates'!$A:$A,0)),"Review"))</f>
        <v/>
      </c>
      <c r="D292" s="10">
        <f>COUNTIF('Amex Transactions'!$C:$C,A292)</f>
        <v/>
      </c>
      <c r="E292" s="10">
        <f>SUMIFS('Amex Transactions'!$G:$G,'Amex Transactions'!$C:$C,A292,'Amex Transactions'!$G:$G,"&gt;0")</f>
        <v/>
      </c>
      <c r="F292" s="11" t="n">
        <v>46058</v>
      </c>
      <c r="G292" s="10">
        <f>IF(COUNTIFS('Amex Transactions'!$C:$C,A292,'Amex Transactions'!$I:$I,"Check")&gt;0,"Check","")</f>
        <v/>
      </c>
    </row>
    <row r="293">
      <c r="A293" s="10" t="inlineStr">
        <is>
          <t>SP VUORI CLOTHING ENCINITAS</t>
        </is>
      </c>
      <c r="B293" s="10">
        <f>IFERROR(INDEX('Review Items'!$D:$D,MATCH(A293,'Review Items'!$B:$B,0)),IFERROR(INDEX('Rule Updates'!$B:$B,MATCH(A293,'Rule Updates'!$A:$A,0)),"Uncategorised"))</f>
        <v/>
      </c>
      <c r="C293" s="10">
        <f>IFERROR(INDEX('Review Items'!$E:$E,MATCH(A293,'Review Items'!$B:$B,0)),IFERROR(INDEX('Rule Updates'!$C:$C,MATCH(A293,'Rule Updates'!$A:$A,0)),"Review"))</f>
        <v/>
      </c>
      <c r="D293" s="10">
        <f>COUNTIF('Amex Transactions'!$C:$C,A293)</f>
        <v/>
      </c>
      <c r="E293" s="10">
        <f>SUMIFS('Amex Transactions'!$G:$G,'Amex Transactions'!$C:$C,A293,'Amex Transactions'!$G:$G,"&gt;0")</f>
        <v/>
      </c>
      <c r="F293" s="11" t="n">
        <v>45813</v>
      </c>
      <c r="G293" s="10">
        <f>IF(COUNTIFS('Amex Transactions'!$C:$C,A293,'Amex Transactions'!$I:$I,"Check")&gt;0,"Check","")</f>
        <v/>
      </c>
    </row>
    <row r="294">
      <c r="A294" s="10" t="inlineStr">
        <is>
          <t>SP DINOSAUR DESIGNS STRAWBERRY HILL</t>
        </is>
      </c>
      <c r="B294" s="10">
        <f>IFERROR(INDEX('Review Items'!$D:$D,MATCH(A294,'Review Items'!$B:$B,0)),IFERROR(INDEX('Rule Updates'!$B:$B,MATCH(A294,'Rule Updates'!$A:$A,0)),"Uncategorised"))</f>
        <v/>
      </c>
      <c r="C294" s="10">
        <f>IFERROR(INDEX('Review Items'!$E:$E,MATCH(A294,'Review Items'!$B:$B,0)),IFERROR(INDEX('Rule Updates'!$C:$C,MATCH(A294,'Rule Updates'!$A:$A,0)),"Review"))</f>
        <v/>
      </c>
      <c r="D294" s="10">
        <f>COUNTIF('Amex Transactions'!$C:$C,A294)</f>
        <v/>
      </c>
      <c r="E294" s="10">
        <f>SUMIFS('Amex Transactions'!$G:$G,'Amex Transactions'!$C:$C,A294,'Amex Transactions'!$G:$G,"&gt;0")</f>
        <v/>
      </c>
      <c r="F294" s="11" t="n">
        <v>45867</v>
      </c>
      <c r="G294" s="10">
        <f>IF(COUNTIFS('Amex Transactions'!$C:$C,A294,'Amex Transactions'!$I:$I,"Check")&gt;0,"Check","")</f>
        <v/>
      </c>
    </row>
    <row r="295">
      <c r="A295" s="10" t="inlineStr">
        <is>
          <t>THE DAIRY FARM - MANNIN LANTAU</t>
        </is>
      </c>
      <c r="B295" s="10">
        <f>IFERROR(INDEX('Review Items'!$D:$D,MATCH(A295,'Review Items'!$B:$B,0)),IFERROR(INDEX('Rule Updates'!$B:$B,MATCH(A295,'Rule Updates'!$A:$A,0)),"Uncategorised"))</f>
        <v/>
      </c>
      <c r="C295" s="10">
        <f>IFERROR(INDEX('Review Items'!$E:$E,MATCH(A295,'Review Items'!$B:$B,0)),IFERROR(INDEX('Rule Updates'!$C:$C,MATCH(A295,'Rule Updates'!$A:$A,0)),"Review"))</f>
        <v/>
      </c>
      <c r="D295" s="10">
        <f>COUNTIF('Amex Transactions'!$C:$C,A295)</f>
        <v/>
      </c>
      <c r="E295" s="10">
        <f>SUMIFS('Amex Transactions'!$G:$G,'Amex Transactions'!$C:$C,A295,'Amex Transactions'!$G:$G,"&gt;0")</f>
        <v/>
      </c>
      <c r="F295" s="11" t="n">
        <v>46039</v>
      </c>
      <c r="G295" s="10">
        <f>IF(COUNTIFS('Amex Transactions'!$C:$C,A295,'Amex Transactions'!$I:$I,"Check")&gt;0,"Check","")</f>
        <v/>
      </c>
    </row>
    <row r="296">
      <c r="A296" s="10" t="inlineStr">
        <is>
          <t>ISLAND SHANGRI LA 00000 HONG KONG</t>
        </is>
      </c>
      <c r="B296" s="10">
        <f>IFERROR(INDEX('Review Items'!$D:$D,MATCH(A296,'Review Items'!$B:$B,0)),IFERROR(INDEX('Rule Updates'!$B:$B,MATCH(A296,'Rule Updates'!$A:$A,0)),"Uncategorised"))</f>
        <v/>
      </c>
      <c r="C296" s="10">
        <f>IFERROR(INDEX('Review Items'!$E:$E,MATCH(A296,'Review Items'!$B:$B,0)),IFERROR(INDEX('Rule Updates'!$C:$C,MATCH(A296,'Rule Updates'!$A:$A,0)),"Review"))</f>
        <v/>
      </c>
      <c r="D296" s="10">
        <f>COUNTIF('Amex Transactions'!$C:$C,A296)</f>
        <v/>
      </c>
      <c r="E296" s="10">
        <f>SUMIFS('Amex Transactions'!$G:$G,'Amex Transactions'!$C:$C,A296,'Amex Transactions'!$G:$G,"&gt;0")</f>
        <v/>
      </c>
      <c r="F296" s="11" t="n">
        <v>46067</v>
      </c>
      <c r="G296" s="10">
        <f>IF(COUNTIFS('Amex Transactions'!$C:$C,A296,'Amex Transactions'!$I:$I,"Check")&gt;0,"Check","")</f>
        <v/>
      </c>
    </row>
    <row r="297">
      <c r="A297" s="10" t="inlineStr">
        <is>
          <t>UBER TRIP HTTPS://HELP.UB</t>
        </is>
      </c>
      <c r="B297" s="10">
        <f>IFERROR(INDEX('Review Items'!$D:$D,MATCH(A297,'Review Items'!$B:$B,0)),IFERROR(INDEX('Rule Updates'!$B:$B,MATCH(A297,'Rule Updates'!$A:$A,0)),"Uncategorised"))</f>
        <v/>
      </c>
      <c r="C297" s="10">
        <f>IFERROR(INDEX('Review Items'!$E:$E,MATCH(A297,'Review Items'!$B:$B,0)),IFERROR(INDEX('Rule Updates'!$C:$C,MATCH(A297,'Rule Updates'!$A:$A,0)),"Review"))</f>
        <v/>
      </c>
      <c r="D297" s="10">
        <f>COUNTIF('Amex Transactions'!$C:$C,A297)</f>
        <v/>
      </c>
      <c r="E297" s="10">
        <f>SUMIFS('Amex Transactions'!$G:$G,'Amex Transactions'!$C:$C,A297,'Amex Transactions'!$G:$G,"&gt;0")</f>
        <v/>
      </c>
      <c r="F297" s="11" t="n">
        <v>46052</v>
      </c>
      <c r="G297" s="10">
        <f>IF(COUNTIFS('Amex Transactions'!$C:$C,A297,'Amex Transactions'!$I:$I,"Check")&gt;0,"Check","")</f>
        <v/>
      </c>
    </row>
    <row r="298">
      <c r="A298" s="10" t="inlineStr">
        <is>
          <t>RAKUTENPAY MELI MELO YU HOKKAIDO</t>
        </is>
      </c>
      <c r="B298" s="10">
        <f>IFERROR(INDEX('Review Items'!$D:$D,MATCH(A298,'Review Items'!$B:$B,0)),IFERROR(INDEX('Rule Updates'!$B:$B,MATCH(A298,'Rule Updates'!$A:$A,0)),"Uncategorised"))</f>
        <v/>
      </c>
      <c r="C298" s="10">
        <f>IFERROR(INDEX('Review Items'!$E:$E,MATCH(A298,'Review Items'!$B:$B,0)),IFERROR(INDEX('Rule Updates'!$C:$C,MATCH(A298,'Rule Updates'!$A:$A,0)),"Review"))</f>
        <v/>
      </c>
      <c r="D298" s="10">
        <f>COUNTIF('Amex Transactions'!$C:$C,A298)</f>
        <v/>
      </c>
      <c r="E298" s="10">
        <f>SUMIFS('Amex Transactions'!$G:$G,'Amex Transactions'!$C:$C,A298,'Amex Transactions'!$G:$G,"&gt;0")</f>
        <v/>
      </c>
      <c r="F298" s="11" t="n">
        <v>45727</v>
      </c>
      <c r="G298" s="10">
        <f>IF(COUNTIFS('Amex Transactions'!$C:$C,A298,'Amex Transactions'!$I:$I,"Check")&gt;0,"Check","")</f>
        <v/>
      </c>
    </row>
    <row r="299">
      <c r="A299" s="10" t="inlineStr">
        <is>
          <t>CROSTA JAPANK.K. me ng ti a n j unni</t>
        </is>
      </c>
      <c r="B299" s="10">
        <f>IFERROR(INDEX('Review Items'!$D:$D,MATCH(A299,'Review Items'!$B:$B,0)),IFERROR(INDEX('Rule Updates'!$B:$B,MATCH(A299,'Rule Updates'!$A:$A,0)),"Uncategorised"))</f>
        <v/>
      </c>
      <c r="C299" s="10">
        <f>IFERROR(INDEX('Review Items'!$E:$E,MATCH(A299,'Review Items'!$B:$B,0)),IFERROR(INDEX('Rule Updates'!$C:$C,MATCH(A299,'Rule Updates'!$A:$A,0)),"Review"))</f>
        <v/>
      </c>
      <c r="D299" s="10">
        <f>COUNTIF('Amex Transactions'!$C:$C,A299)</f>
        <v/>
      </c>
      <c r="E299" s="10">
        <f>SUMIFS('Amex Transactions'!$G:$G,'Amex Transactions'!$C:$C,A299,'Amex Transactions'!$G:$G,"&gt;0")</f>
        <v/>
      </c>
      <c r="F299" s="11" t="n">
        <v>46079</v>
      </c>
      <c r="G299" s="10">
        <f>IF(COUNTIFS('Amex Transactions'!$C:$C,A299,'Amex Transactions'!$I:$I,"Check")&gt;0,"Check","")</f>
        <v/>
      </c>
    </row>
    <row r="300">
      <c r="A300" s="10" t="inlineStr">
        <is>
          <t>Grand Intercontinenta l SEOUL</t>
        </is>
      </c>
      <c r="B300" s="10">
        <f>IFERROR(INDEX('Review Items'!$D:$D,MATCH(A300,'Review Items'!$B:$B,0)),IFERROR(INDEX('Rule Updates'!$B:$B,MATCH(A300,'Rule Updates'!$A:$A,0)),"Uncategorised"))</f>
        <v/>
      </c>
      <c r="C300" s="10">
        <f>IFERROR(INDEX('Review Items'!$E:$E,MATCH(A300,'Review Items'!$B:$B,0)),IFERROR(INDEX('Rule Updates'!$C:$C,MATCH(A300,'Rule Updates'!$A:$A,0)),"Review"))</f>
        <v/>
      </c>
      <c r="D300" s="10">
        <f>COUNTIF('Amex Transactions'!$C:$C,A300)</f>
        <v/>
      </c>
      <c r="E300" s="10">
        <f>SUMIFS('Amex Transactions'!$G:$G,'Amex Transactions'!$C:$C,A300,'Amex Transactions'!$G:$G,"&gt;0")</f>
        <v/>
      </c>
      <c r="F300" s="11" t="n">
        <v>45974</v>
      </c>
      <c r="G300" s="10">
        <f>IF(COUNTIFS('Amex Transactions'!$C:$C,A300,'Amex Transactions'!$I:$I,"Check")&gt;0,"Check","")</f>
        <v/>
      </c>
    </row>
    <row r="301">
      <c r="A301" s="10" t="inlineStr">
        <is>
          <t>CARBONE CENTRAL</t>
        </is>
      </c>
      <c r="B301" s="10">
        <f>IFERROR(INDEX('Review Items'!$D:$D,MATCH(A301,'Review Items'!$B:$B,0)),IFERROR(INDEX('Rule Updates'!$B:$B,MATCH(A301,'Rule Updates'!$A:$A,0)),"Uncategorised"))</f>
        <v/>
      </c>
      <c r="C301" s="10">
        <f>IFERROR(INDEX('Review Items'!$E:$E,MATCH(A301,'Review Items'!$B:$B,0)),IFERROR(INDEX('Rule Updates'!$C:$C,MATCH(A301,'Rule Updates'!$A:$A,0)),"Review"))</f>
        <v/>
      </c>
      <c r="D301" s="10">
        <f>COUNTIF('Amex Transactions'!$C:$C,A301)</f>
        <v/>
      </c>
      <c r="E301" s="10">
        <f>SUMIFS('Amex Transactions'!$G:$G,'Amex Transactions'!$C:$C,A301,'Amex Transactions'!$G:$G,"&gt;0")</f>
        <v/>
      </c>
      <c r="F301" s="11" t="n">
        <v>45573</v>
      </c>
      <c r="G301" s="10">
        <f>IF(COUNTIFS('Amex Transactions'!$C:$C,A301,'Amex Transactions'!$I:$I,"Check")&gt;0,"Check","")</f>
        <v/>
      </c>
    </row>
    <row r="302">
      <c r="A302" s="10" t="inlineStr">
        <is>
          <t>LE LABO 000000024289 HONG KONG</t>
        </is>
      </c>
      <c r="B302" s="10">
        <f>IFERROR(INDEX('Review Items'!$D:$D,MATCH(A302,'Review Items'!$B:$B,0)),IFERROR(INDEX('Rule Updates'!$B:$B,MATCH(A302,'Rule Updates'!$A:$A,0)),"Uncategorised"))</f>
        <v/>
      </c>
      <c r="C302" s="10">
        <f>IFERROR(INDEX('Review Items'!$E:$E,MATCH(A302,'Review Items'!$B:$B,0)),IFERROR(INDEX('Rule Updates'!$C:$C,MATCH(A302,'Rule Updates'!$A:$A,0)),"Review"))</f>
        <v/>
      </c>
      <c r="D302" s="10">
        <f>COUNTIF('Amex Transactions'!$C:$C,A302)</f>
        <v/>
      </c>
      <c r="E302" s="10">
        <f>SUMIFS('Amex Transactions'!$G:$G,'Amex Transactions'!$C:$C,A302,'Amex Transactions'!$G:$G,"&gt;0")</f>
        <v/>
      </c>
      <c r="F302" s="11" t="n">
        <v>45883</v>
      </c>
      <c r="G302" s="10">
        <f>IF(COUNTIFS('Amex Transactions'!$C:$C,A302,'Amex Transactions'!$I:$I,"Check")&gt;0,"Check","")</f>
        <v/>
      </c>
    </row>
    <row r="303">
      <c r="A303" s="10" t="inlineStr">
        <is>
          <t>ABUNDANCE 10X COMPOUNDI DOUBLE BAY</t>
        </is>
      </c>
      <c r="B303" s="10">
        <f>IFERROR(INDEX('Review Items'!$D:$D,MATCH(A303,'Review Items'!$B:$B,0)),IFERROR(INDEX('Rule Updates'!$B:$B,MATCH(A303,'Rule Updates'!$A:$A,0)),"Uncategorised"))</f>
        <v/>
      </c>
      <c r="C303" s="10">
        <f>IFERROR(INDEX('Review Items'!$E:$E,MATCH(A303,'Review Items'!$B:$B,0)),IFERROR(INDEX('Rule Updates'!$C:$C,MATCH(A303,'Rule Updates'!$A:$A,0)),"Review"))</f>
        <v/>
      </c>
      <c r="D303" s="10">
        <f>COUNTIF('Amex Transactions'!$C:$C,A303)</f>
        <v/>
      </c>
      <c r="E303" s="10">
        <f>SUMIFS('Amex Transactions'!$G:$G,'Amex Transactions'!$C:$C,A303,'Amex Transactions'!$G:$G,"&gt;0")</f>
        <v/>
      </c>
      <c r="F303" s="11" t="n">
        <v>45663</v>
      </c>
      <c r="G303" s="10">
        <f>IF(COUNTIFS('Amex Transactions'!$C:$C,A303,'Amex Transactions'!$I:$I,"Check")&gt;0,"Check","")</f>
        <v/>
      </c>
    </row>
    <row r="304">
      <c r="A304" s="10" t="inlineStr">
        <is>
          <t>THE CHINNERY BAR CENTRAL</t>
        </is>
      </c>
      <c r="B304" s="10">
        <f>IFERROR(INDEX('Review Items'!$D:$D,MATCH(A304,'Review Items'!$B:$B,0)),IFERROR(INDEX('Rule Updates'!$B:$B,MATCH(A304,'Rule Updates'!$A:$A,0)),"Uncategorised"))</f>
        <v/>
      </c>
      <c r="C304" s="10">
        <f>IFERROR(INDEX('Review Items'!$E:$E,MATCH(A304,'Review Items'!$B:$B,0)),IFERROR(INDEX('Rule Updates'!$C:$C,MATCH(A304,'Rule Updates'!$A:$A,0)),"Review"))</f>
        <v/>
      </c>
      <c r="D304" s="10">
        <f>COUNTIF('Amex Transactions'!$C:$C,A304)</f>
        <v/>
      </c>
      <c r="E304" s="10">
        <f>SUMIFS('Amex Transactions'!$G:$G,'Amex Transactions'!$C:$C,A304,'Amex Transactions'!$G:$G,"&gt;0")</f>
        <v/>
      </c>
      <c r="F304" s="11" t="n">
        <v>45563</v>
      </c>
      <c r="G304" s="10">
        <f>IF(COUNTIFS('Amex Transactions'!$C:$C,A304,'Amex Transactions'!$I:$I,"Check")&gt;0,"Check","")</f>
        <v/>
      </c>
    </row>
    <row r="305">
      <c r="A305" s="10" t="inlineStr">
        <is>
          <t>10 GREEN STREET LTD BATH</t>
        </is>
      </c>
      <c r="B305" s="10">
        <f>IFERROR(INDEX('Review Items'!$D:$D,MATCH(A305,'Review Items'!$B:$B,0)),IFERROR(INDEX('Rule Updates'!$B:$B,MATCH(A305,'Rule Updates'!$A:$A,0)),"Uncategorised"))</f>
        <v/>
      </c>
      <c r="C305" s="10">
        <f>IFERROR(INDEX('Review Items'!$E:$E,MATCH(A305,'Review Items'!$B:$B,0)),IFERROR(INDEX('Rule Updates'!$C:$C,MATCH(A305,'Rule Updates'!$A:$A,0)),"Review"))</f>
        <v/>
      </c>
      <c r="D305" s="10">
        <f>COUNTIF('Amex Transactions'!$C:$C,A305)</f>
        <v/>
      </c>
      <c r="E305" s="10">
        <f>SUMIFS('Amex Transactions'!$G:$G,'Amex Transactions'!$C:$C,A305,'Amex Transactions'!$G:$G,"&gt;0")</f>
        <v/>
      </c>
      <c r="F305" s="11" t="n">
        <v>45771</v>
      </c>
      <c r="G305" s="10">
        <f>IF(COUNTIFS('Amex Transactions'!$C:$C,A305,'Amex Transactions'!$I:$I,"Check")&gt;0,"Check","")</f>
        <v/>
      </c>
    </row>
    <row r="306">
      <c r="A306" s="10" t="inlineStr">
        <is>
          <t>ISLAND SHANGRI-LA - MIN ADMIRALTY</t>
        </is>
      </c>
      <c r="B306" s="10">
        <f>IFERROR(INDEX('Review Items'!$D:$D,MATCH(A306,'Review Items'!$B:$B,0)),IFERROR(INDEX('Rule Updates'!$B:$B,MATCH(A306,'Rule Updates'!$A:$A,0)),"Uncategorised"))</f>
        <v/>
      </c>
      <c r="C306" s="10">
        <f>IFERROR(INDEX('Review Items'!$E:$E,MATCH(A306,'Review Items'!$B:$B,0)),IFERROR(INDEX('Rule Updates'!$C:$C,MATCH(A306,'Rule Updates'!$A:$A,0)),"Review"))</f>
        <v/>
      </c>
      <c r="D306" s="10">
        <f>COUNTIF('Amex Transactions'!$C:$C,A306)</f>
        <v/>
      </c>
      <c r="E306" s="10">
        <f>SUMIFS('Amex Transactions'!$G:$G,'Amex Transactions'!$C:$C,A306,'Amex Transactions'!$G:$G,"&gt;0")</f>
        <v/>
      </c>
      <c r="F306" s="11" t="n">
        <v>45919</v>
      </c>
      <c r="G306" s="10">
        <f>IF(COUNTIFS('Amex Transactions'!$C:$C,A306,'Amex Transactions'!$I:$I,"Check")&gt;0,"Check","")</f>
        <v/>
      </c>
    </row>
    <row r="307">
      <c r="A307" s="10" t="inlineStr">
        <is>
          <t>SP SUSANNE KAUFMANNB E ZAU</t>
        </is>
      </c>
      <c r="B307" s="10">
        <f>IFERROR(INDEX('Review Items'!$D:$D,MATCH(A307,'Review Items'!$B:$B,0)),IFERROR(INDEX('Rule Updates'!$B:$B,MATCH(A307,'Rule Updates'!$A:$A,0)),"Uncategorised"))</f>
        <v/>
      </c>
      <c r="C307" s="10">
        <f>IFERROR(INDEX('Review Items'!$E:$E,MATCH(A307,'Review Items'!$B:$B,0)),IFERROR(INDEX('Rule Updates'!$C:$C,MATCH(A307,'Rule Updates'!$A:$A,0)),"Review"))</f>
        <v/>
      </c>
      <c r="D307" s="10">
        <f>COUNTIF('Amex Transactions'!$C:$C,A307)</f>
        <v/>
      </c>
      <c r="E307" s="10">
        <f>SUMIFS('Amex Transactions'!$G:$G,'Amex Transactions'!$C:$C,A307,'Amex Transactions'!$G:$G,"&gt;0")</f>
        <v/>
      </c>
      <c r="F307" s="11" t="n">
        <v>46041</v>
      </c>
      <c r="G307" s="10">
        <f>IF(COUNTIFS('Amex Transactions'!$C:$C,A307,'Amex Transactions'!$I:$I,"Check")&gt;0,"Check","")</f>
        <v/>
      </c>
    </row>
    <row r="308">
      <c r="A308" s="10" t="inlineStr">
        <is>
          <t>Trattoria R meng tian jun</t>
        </is>
      </c>
      <c r="B308" s="10">
        <f>IFERROR(INDEX('Review Items'!$D:$D,MATCH(A308,'Review Items'!$B:$B,0)),IFERROR(INDEX('Rule Updates'!$B:$B,MATCH(A308,'Rule Updates'!$A:$A,0)),"Uncategorised"))</f>
        <v/>
      </c>
      <c r="C308" s="10">
        <f>IFERROR(INDEX('Review Items'!$E:$E,MATCH(A308,'Review Items'!$B:$B,0)),IFERROR(INDEX('Rule Updates'!$C:$C,MATCH(A308,'Rule Updates'!$A:$A,0)),"Review"))</f>
        <v/>
      </c>
      <c r="D308" s="10">
        <f>COUNTIF('Amex Transactions'!$C:$C,A308)</f>
        <v/>
      </c>
      <c r="E308" s="10">
        <f>SUMIFS('Amex Transactions'!$G:$G,'Amex Transactions'!$C:$C,A308,'Amex Transactions'!$G:$G,"&gt;0")</f>
        <v/>
      </c>
      <c r="F308" s="11" t="n">
        <v>45730</v>
      </c>
      <c r="G308" s="10">
        <f>IF(COUNTIFS('Amex Transactions'!$C:$C,A308,'Amex Transactions'!$I:$I,"Check")&gt;0,"Check","")</f>
        <v/>
      </c>
    </row>
    <row r="309">
      <c r="A309" s="10" t="inlineStr">
        <is>
          <t>TST* CENTURION NYC 3007 NE WYORK</t>
        </is>
      </c>
      <c r="B309" s="10">
        <f>IFERROR(INDEX('Review Items'!$D:$D,MATCH(A309,'Review Items'!$B:$B,0)),IFERROR(INDEX('Rule Updates'!$B:$B,MATCH(A309,'Rule Updates'!$A:$A,0)),"Uncategorised"))</f>
        <v/>
      </c>
      <c r="C309" s="10">
        <f>IFERROR(INDEX('Review Items'!$E:$E,MATCH(A309,'Review Items'!$B:$B,0)),IFERROR(INDEX('Rule Updates'!$C:$C,MATCH(A309,'Rule Updates'!$A:$A,0)),"Review"))</f>
        <v/>
      </c>
      <c r="D309" s="10">
        <f>COUNTIF('Amex Transactions'!$C:$C,A309)</f>
        <v/>
      </c>
      <c r="E309" s="10">
        <f>SUMIFS('Amex Transactions'!$G:$G,'Amex Transactions'!$C:$C,A309,'Amex Transactions'!$G:$G,"&gt;0")</f>
        <v/>
      </c>
      <c r="F309" s="11" t="n">
        <v>46058</v>
      </c>
      <c r="G309" s="10">
        <f>IF(COUNTIFS('Amex Transactions'!$C:$C,A309,'Amex Transactions'!$I:$I,"Check")&gt;0,"Check","")</f>
        <v/>
      </c>
    </row>
    <row r="310">
      <c r="A310" s="10" t="inlineStr">
        <is>
          <t>M A X I M SCATERERS LTD CHEUNG SHA WAN</t>
        </is>
      </c>
      <c r="B310" s="10">
        <f>IFERROR(INDEX('Review Items'!$D:$D,MATCH(A310,'Review Items'!$B:$B,0)),IFERROR(INDEX('Rule Updates'!$B:$B,MATCH(A310,'Rule Updates'!$A:$A,0)),"Uncategorised"))</f>
        <v/>
      </c>
      <c r="C310" s="10">
        <f>IFERROR(INDEX('Review Items'!$E:$E,MATCH(A310,'Review Items'!$B:$B,0)),IFERROR(INDEX('Rule Updates'!$C:$C,MATCH(A310,'Rule Updates'!$A:$A,0)),"Review"))</f>
        <v/>
      </c>
      <c r="D310" s="10">
        <f>COUNTIF('Amex Transactions'!$C:$C,A310)</f>
        <v/>
      </c>
      <c r="E310" s="10">
        <f>SUMIFS('Amex Transactions'!$G:$G,'Amex Transactions'!$C:$C,A310,'Amex Transactions'!$G:$G,"&gt;0")</f>
        <v/>
      </c>
      <c r="F310" s="11" t="n">
        <v>45996</v>
      </c>
      <c r="G310" s="10">
        <f>IF(COUNTIFS('Amex Transactions'!$C:$C,A310,'Amex Transactions'!$I:$I,"Check")&gt;0,"Check","")</f>
        <v/>
      </c>
    </row>
    <row r="311">
      <c r="A311" s="10" t="inlineStr">
        <is>
          <t>PENINSULA LONDON, LP LONDON</t>
        </is>
      </c>
      <c r="B311" s="10">
        <f>IFERROR(INDEX('Review Items'!$D:$D,MATCH(A311,'Review Items'!$B:$B,0)),IFERROR(INDEX('Rule Updates'!$B:$B,MATCH(A311,'Rule Updates'!$A:$A,0)),"Uncategorised"))</f>
        <v/>
      </c>
      <c r="C311" s="10">
        <f>IFERROR(INDEX('Review Items'!$E:$E,MATCH(A311,'Review Items'!$B:$B,0)),IFERROR(INDEX('Rule Updates'!$C:$C,MATCH(A311,'Rule Updates'!$A:$A,0)),"Review"))</f>
        <v/>
      </c>
      <c r="D311" s="10">
        <f>COUNTIF('Amex Transactions'!$C:$C,A311)</f>
        <v/>
      </c>
      <c r="E311" s="10">
        <f>SUMIFS('Amex Transactions'!$G:$G,'Amex Transactions'!$C:$C,A311,'Amex Transactions'!$G:$G,"&gt;0")</f>
        <v/>
      </c>
      <c r="F311" s="11" t="n">
        <v>45751</v>
      </c>
      <c r="G311" s="10">
        <f>IF(COUNTIFS('Amex Transactions'!$C:$C,A311,'Amex Transactions'!$I:$I,"Check")&gt;0,"Check","")</f>
        <v/>
      </c>
    </row>
    <row r="312">
      <c r="A312" s="10" t="inlineStr">
        <is>
          <t>SP CHALKSTREAM ROMSEY</t>
        </is>
      </c>
      <c r="B312" s="10">
        <f>IFERROR(INDEX('Review Items'!$D:$D,MATCH(A312,'Review Items'!$B:$B,0)),IFERROR(INDEX('Rule Updates'!$B:$B,MATCH(A312,'Rule Updates'!$A:$A,0)),"Uncategorised"))</f>
        <v/>
      </c>
      <c r="C312" s="10">
        <f>IFERROR(INDEX('Review Items'!$E:$E,MATCH(A312,'Review Items'!$B:$B,0)),IFERROR(INDEX('Rule Updates'!$C:$C,MATCH(A312,'Rule Updates'!$A:$A,0)),"Review"))</f>
        <v/>
      </c>
      <c r="D312" s="10">
        <f>COUNTIF('Amex Transactions'!$C:$C,A312)</f>
        <v/>
      </c>
      <c r="E312" s="10">
        <f>SUMIFS('Amex Transactions'!$G:$G,'Amex Transactions'!$C:$C,A312,'Amex Transactions'!$G:$G,"&gt;0")</f>
        <v/>
      </c>
      <c r="F312" s="11" t="n">
        <v>45821</v>
      </c>
      <c r="G312" s="10">
        <f>IF(COUNTIFS('Amex Transactions'!$C:$C,A312,'Amex Transactions'!$I:$I,"Check")&gt;0,"Check","")</f>
        <v/>
      </c>
    </row>
    <row r="313">
      <c r="A313" s="10" t="inlineStr">
        <is>
          <t>Upstairs at Landrace Bath</t>
        </is>
      </c>
      <c r="B313" s="10">
        <f>IFERROR(INDEX('Review Items'!$D:$D,MATCH(A313,'Review Items'!$B:$B,0)),IFERROR(INDEX('Rule Updates'!$B:$B,MATCH(A313,'Rule Updates'!$A:$A,0)),"Uncategorised"))</f>
        <v/>
      </c>
      <c r="C313" s="10">
        <f>IFERROR(INDEX('Review Items'!$E:$E,MATCH(A313,'Review Items'!$B:$B,0)),IFERROR(INDEX('Rule Updates'!$C:$C,MATCH(A313,'Rule Updates'!$A:$A,0)),"Review"))</f>
        <v/>
      </c>
      <c r="D313" s="10">
        <f>COUNTIF('Amex Transactions'!$C:$C,A313)</f>
        <v/>
      </c>
      <c r="E313" s="10">
        <f>SUMIFS('Amex Transactions'!$G:$G,'Amex Transactions'!$C:$C,A313,'Amex Transactions'!$G:$G,"&gt;0")</f>
        <v/>
      </c>
      <c r="F313" s="11" t="n">
        <v>45632</v>
      </c>
      <c r="G313" s="10">
        <f>IF(COUNTIFS('Amex Transactions'!$C:$C,A313,'Amex Transactions'!$I:$I,"Check")&gt;0,"Check","")</f>
        <v/>
      </c>
    </row>
    <row r="314">
      <c r="A314" s="10" t="inlineStr">
        <is>
          <t>THE DAIRY FARM COMPANY, HONG KONG</t>
        </is>
      </c>
      <c r="B314" s="10">
        <f>IFERROR(INDEX('Review Items'!$D:$D,MATCH(A314,'Review Items'!$B:$B,0)),IFERROR(INDEX('Rule Updates'!$B:$B,MATCH(A314,'Rule Updates'!$A:$A,0)),"Uncategorised"))</f>
        <v/>
      </c>
      <c r="C314" s="10">
        <f>IFERROR(INDEX('Review Items'!$E:$E,MATCH(A314,'Review Items'!$B:$B,0)),IFERROR(INDEX('Rule Updates'!$C:$C,MATCH(A314,'Rule Updates'!$A:$A,0)),"Review"))</f>
        <v/>
      </c>
      <c r="D314" s="10">
        <f>COUNTIF('Amex Transactions'!$C:$C,A314)</f>
        <v/>
      </c>
      <c r="E314" s="10">
        <f>SUMIFS('Amex Transactions'!$G:$G,'Amex Transactions'!$C:$C,A314,'Amex Transactions'!$G:$G,"&gt;0")</f>
        <v/>
      </c>
      <c r="F314" s="11" t="n">
        <v>45874</v>
      </c>
      <c r="G314" s="10">
        <f>IF(COUNTIFS('Amex Transactions'!$C:$C,A314,'Amex Transactions'!$I:$I,"Check")&gt;0,"Check","")</f>
        <v/>
      </c>
    </row>
    <row r="315">
      <c r="A315" s="10" t="inlineStr">
        <is>
          <t>SOUL DINING Sydney</t>
        </is>
      </c>
      <c r="B315" s="10">
        <f>IFERROR(INDEX('Review Items'!$D:$D,MATCH(A315,'Review Items'!$B:$B,0)),IFERROR(INDEX('Rule Updates'!$B:$B,MATCH(A315,'Rule Updates'!$A:$A,0)),"Uncategorised"))</f>
        <v/>
      </c>
      <c r="C315" s="10">
        <f>IFERROR(INDEX('Review Items'!$E:$E,MATCH(A315,'Review Items'!$B:$B,0)),IFERROR(INDEX('Rule Updates'!$C:$C,MATCH(A315,'Rule Updates'!$A:$A,0)),"Review"))</f>
        <v/>
      </c>
      <c r="D315" s="10">
        <f>COUNTIF('Amex Transactions'!$C:$C,A315)</f>
        <v/>
      </c>
      <c r="E315" s="10">
        <f>SUMIFS('Amex Transactions'!$G:$G,'Amex Transactions'!$C:$C,A315,'Amex Transactions'!$G:$G,"&gt;0")</f>
        <v/>
      </c>
      <c r="F315" s="11" t="n">
        <v>45665</v>
      </c>
      <c r="G315" s="10">
        <f>IF(COUNTIFS('Amex Transactions'!$C:$C,A315,'Amex Transactions'!$I:$I,"Check")&gt;0,"Check","")</f>
        <v/>
      </c>
    </row>
    <row r="316">
      <c r="A316" s="10" t="inlineStr">
        <is>
          <t>SUSHI KATO INORI HOKKAIDO</t>
        </is>
      </c>
      <c r="B316" s="10">
        <f>IFERROR(INDEX('Review Items'!$D:$D,MATCH(A316,'Review Items'!$B:$B,0)),IFERROR(INDEX('Rule Updates'!$B:$B,MATCH(A316,'Rule Updates'!$A:$A,0)),"Uncategorised"))</f>
        <v/>
      </c>
      <c r="C316" s="10">
        <f>IFERROR(INDEX('Review Items'!$E:$E,MATCH(A316,'Review Items'!$B:$B,0)),IFERROR(INDEX('Rule Updates'!$C:$C,MATCH(A316,'Rule Updates'!$A:$A,0)),"Review"))</f>
        <v/>
      </c>
      <c r="D316" s="10">
        <f>COUNTIF('Amex Transactions'!$C:$C,A316)</f>
        <v/>
      </c>
      <c r="E316" s="10">
        <f>SUMIFS('Amex Transactions'!$G:$G,'Amex Transactions'!$C:$C,A316,'Amex Transactions'!$G:$G,"&gt;0")</f>
        <v/>
      </c>
      <c r="F316" s="11" t="n">
        <v>45721</v>
      </c>
      <c r="G316" s="10">
        <f>IF(COUNTIFS('Amex Transactions'!$C:$C,A316,'Amex Transactions'!$I:$I,"Check")&gt;0,"Check","")</f>
        <v/>
      </c>
    </row>
    <row r="317">
      <c r="A317" s="10" t="inlineStr">
        <is>
          <t>GLO BALE * / B A&amp;SH LONDON</t>
        </is>
      </c>
      <c r="B317" s="10">
        <f>IFERROR(INDEX('Review Items'!$D:$D,MATCH(A317,'Review Items'!$B:$B,0)),IFERROR(INDEX('Rule Updates'!$B:$B,MATCH(A317,'Rule Updates'!$A:$A,0)),"Uncategorised"))</f>
        <v/>
      </c>
      <c r="C317" s="10">
        <f>IFERROR(INDEX('Review Items'!$E:$E,MATCH(A317,'Review Items'!$B:$B,0)),IFERROR(INDEX('Rule Updates'!$C:$C,MATCH(A317,'Rule Updates'!$A:$A,0)),"Review"))</f>
        <v/>
      </c>
      <c r="D317" s="10">
        <f>COUNTIF('Amex Transactions'!$C:$C,A317)</f>
        <v/>
      </c>
      <c r="E317" s="10">
        <f>SUMIFS('Amex Transactions'!$G:$G,'Amex Transactions'!$C:$C,A317,'Amex Transactions'!$G:$G,"&gt;0")</f>
        <v/>
      </c>
      <c r="F317" s="11" t="n">
        <v>45925</v>
      </c>
      <c r="G317" s="10">
        <f>IF(COUNTIFS('Amex Transactions'!$C:$C,A317,'Amex Transactions'!$I:$I,"Check")&gt;0,"Check","")</f>
        <v/>
      </c>
    </row>
    <row r="318">
      <c r="A318" s="10" t="inlineStr">
        <is>
          <t>AMV , PACIFIC PLACE ADMIRALTY</t>
        </is>
      </c>
      <c r="B318" s="10">
        <f>IFERROR(INDEX('Review Items'!$D:$D,MATCH(A318,'Review Items'!$B:$B,0)),IFERROR(INDEX('Rule Updates'!$B:$B,MATCH(A318,'Rule Updates'!$A:$A,0)),"Uncategorised"))</f>
        <v/>
      </c>
      <c r="C318" s="10">
        <f>IFERROR(INDEX('Review Items'!$E:$E,MATCH(A318,'Review Items'!$B:$B,0)),IFERROR(INDEX('Rule Updates'!$C:$C,MATCH(A318,'Rule Updates'!$A:$A,0)),"Review"))</f>
        <v/>
      </c>
      <c r="D318" s="10">
        <f>COUNTIF('Amex Transactions'!$C:$C,A318)</f>
        <v/>
      </c>
      <c r="E318" s="10">
        <f>SUMIFS('Amex Transactions'!$G:$G,'Amex Transactions'!$C:$C,A318,'Amex Transactions'!$G:$G,"&gt;0")</f>
        <v/>
      </c>
      <c r="F318" s="11" t="n">
        <v>46035</v>
      </c>
      <c r="G318" s="10">
        <f>IF(COUNTIFS('Amex Transactions'!$C:$C,A318,'Amex Transactions'!$I:$I,"Check")&gt;0,"Check","")</f>
        <v/>
      </c>
    </row>
    <row r="319">
      <c r="A319" s="10" t="inlineStr">
        <is>
          <t>ANTHROPOLOGIE 4505 1-4 BATH</t>
        </is>
      </c>
      <c r="B319" s="10">
        <f>IFERROR(INDEX('Review Items'!$D:$D,MATCH(A319,'Review Items'!$B:$B,0)),IFERROR(INDEX('Rule Updates'!$B:$B,MATCH(A319,'Rule Updates'!$A:$A,0)),"Uncategorised"))</f>
        <v/>
      </c>
      <c r="C319" s="10">
        <f>IFERROR(INDEX('Review Items'!$E:$E,MATCH(A319,'Review Items'!$B:$B,0)),IFERROR(INDEX('Rule Updates'!$C:$C,MATCH(A319,'Rule Updates'!$A:$A,0)),"Review"))</f>
        <v/>
      </c>
      <c r="D319" s="10">
        <f>COUNTIF('Amex Transactions'!$C:$C,A319)</f>
        <v/>
      </c>
      <c r="E319" s="10">
        <f>SUMIFS('Amex Transactions'!$G:$G,'Amex Transactions'!$C:$C,A319,'Amex Transactions'!$G:$G,"&gt;0")</f>
        <v/>
      </c>
      <c r="F319" s="11" t="n">
        <v>45770</v>
      </c>
      <c r="G319" s="10">
        <f>IF(COUNTIFS('Amex Transactions'!$C:$C,A319,'Amex Transactions'!$I:$I,"Check")&gt;0,"Check","")</f>
        <v/>
      </c>
    </row>
    <row r="320">
      <c r="A320" s="10" t="inlineStr">
        <is>
          <t>PRIMO POSTO SHEUNG WAN</t>
        </is>
      </c>
      <c r="B320" s="10">
        <f>IFERROR(INDEX('Review Items'!$D:$D,MATCH(A320,'Review Items'!$B:$B,0)),IFERROR(INDEX('Rule Updates'!$B:$B,MATCH(A320,'Rule Updates'!$A:$A,0)),"Uncategorised"))</f>
        <v/>
      </c>
      <c r="C320" s="10">
        <f>IFERROR(INDEX('Review Items'!$E:$E,MATCH(A320,'Review Items'!$B:$B,0)),IFERROR(INDEX('Rule Updates'!$C:$C,MATCH(A320,'Rule Updates'!$A:$A,0)),"Review"))</f>
        <v/>
      </c>
      <c r="D320" s="10">
        <f>COUNTIF('Amex Transactions'!$C:$C,A320)</f>
        <v/>
      </c>
      <c r="E320" s="10">
        <f>SUMIFS('Amex Transactions'!$G:$G,'Amex Transactions'!$C:$C,A320,'Amex Transactions'!$G:$G,"&gt;0")</f>
        <v/>
      </c>
      <c r="F320" s="11" t="n">
        <v>45952</v>
      </c>
      <c r="G320" s="10">
        <f>IF(COUNTIFS('Amex Transactions'!$C:$C,A320,'Amex Transactions'!$I:$I,"Check")&gt;0,"Check","")</f>
        <v/>
      </c>
    </row>
    <row r="321">
      <c r="A321" s="10" t="inlineStr">
        <is>
          <t>TST* JEAN-GEORGES ENTER NE WYORK</t>
        </is>
      </c>
      <c r="B321" s="10">
        <f>IFERROR(INDEX('Review Items'!$D:$D,MATCH(A321,'Review Items'!$B:$B,0)),IFERROR(INDEX('Rule Updates'!$B:$B,MATCH(A321,'Rule Updates'!$A:$A,0)),"Uncategorised"))</f>
        <v/>
      </c>
      <c r="C321" s="10">
        <f>IFERROR(INDEX('Review Items'!$E:$E,MATCH(A321,'Review Items'!$B:$B,0)),IFERROR(INDEX('Rule Updates'!$C:$C,MATCH(A321,'Rule Updates'!$A:$A,0)),"Review"))</f>
        <v/>
      </c>
      <c r="D321" s="10">
        <f>COUNTIF('Amex Transactions'!$C:$C,A321)</f>
        <v/>
      </c>
      <c r="E321" s="10">
        <f>SUMIFS('Amex Transactions'!$G:$G,'Amex Transactions'!$C:$C,A321,'Amex Transactions'!$G:$G,"&gt;0")</f>
        <v/>
      </c>
      <c r="F321" s="11" t="n">
        <v>46058</v>
      </c>
      <c r="G321" s="10">
        <f>IF(COUNTIFS('Amex Transactions'!$C:$C,A321,'Amex Transactions'!$I:$I,"Check")&gt;0,"Check","")</f>
        <v/>
      </c>
    </row>
    <row r="322">
      <c r="A322" s="10" t="inlineStr">
        <is>
          <t>U BER TRIP HTTPS : //HELP.U B</t>
        </is>
      </c>
      <c r="B322" s="10">
        <f>IFERROR(INDEX('Review Items'!$D:$D,MATCH(A322,'Review Items'!$B:$B,0)),IFERROR(INDEX('Rule Updates'!$B:$B,MATCH(A322,'Rule Updates'!$A:$A,0)),"Uncategorised"))</f>
        <v/>
      </c>
      <c r="C322" s="10">
        <f>IFERROR(INDEX('Review Items'!$E:$E,MATCH(A322,'Review Items'!$B:$B,0)),IFERROR(INDEX('Rule Updates'!$C:$C,MATCH(A322,'Rule Updates'!$A:$A,0)),"Review"))</f>
        <v/>
      </c>
      <c r="D322" s="10">
        <f>COUNTIF('Amex Transactions'!$C:$C,A322)</f>
        <v/>
      </c>
      <c r="E322" s="10">
        <f>SUMIFS('Amex Transactions'!$G:$G,'Amex Transactions'!$C:$C,A322,'Amex Transactions'!$G:$G,"&gt;0")</f>
        <v/>
      </c>
      <c r="F322" s="11" t="n">
        <v>46047</v>
      </c>
      <c r="G322" s="10">
        <f>IF(COUNTIFS('Amex Transactions'!$C:$C,A322,'Amex Transactions'!$I:$I,"Check")&gt;0,"Check","")</f>
        <v/>
      </c>
    </row>
    <row r="323">
      <c r="A323" s="10" t="inlineStr">
        <is>
          <t>Niseko ANNUPURI KOKUSAI HOKKAIDO</t>
        </is>
      </c>
      <c r="B323" s="10">
        <f>IFERROR(INDEX('Review Items'!$D:$D,MATCH(A323,'Review Items'!$B:$B,0)),IFERROR(INDEX('Rule Updates'!$B:$B,MATCH(A323,'Rule Updates'!$A:$A,0)),"Uncategorised"))</f>
        <v/>
      </c>
      <c r="C323" s="10">
        <f>IFERROR(INDEX('Review Items'!$E:$E,MATCH(A323,'Review Items'!$B:$B,0)),IFERROR(INDEX('Rule Updates'!$C:$C,MATCH(A323,'Rule Updates'!$A:$A,0)),"Review"))</f>
        <v/>
      </c>
      <c r="D323" s="10">
        <f>COUNTIF('Amex Transactions'!$C:$C,A323)</f>
        <v/>
      </c>
      <c r="E323" s="10">
        <f>SUMIFS('Amex Transactions'!$G:$G,'Amex Transactions'!$C:$C,A323,'Amex Transactions'!$G:$G,"&gt;0")</f>
        <v/>
      </c>
      <c r="F323" s="11" t="n">
        <v>46079</v>
      </c>
      <c r="G323" s="10">
        <f>IF(COUNTIFS('Amex Transactions'!$C:$C,A323,'Amex Transactions'!$I:$I,"Check")&gt;0,"Check","")</f>
        <v/>
      </c>
    </row>
    <row r="324">
      <c r="A324" s="10" t="inlineStr">
        <is>
          <t>OCL* OCTOPUS AD7783729 KOWLOON BAY</t>
        </is>
      </c>
      <c r="B324" s="10">
        <f>IFERROR(INDEX('Review Items'!$D:$D,MATCH(A324,'Review Items'!$B:$B,0)),IFERROR(INDEX('Rule Updates'!$B:$B,MATCH(A324,'Rule Updates'!$A:$A,0)),"Uncategorised"))</f>
        <v/>
      </c>
      <c r="C324" s="10">
        <f>IFERROR(INDEX('Review Items'!$E:$E,MATCH(A324,'Review Items'!$B:$B,0)),IFERROR(INDEX('Rule Updates'!$C:$C,MATCH(A324,'Rule Updates'!$A:$A,0)),"Review"))</f>
        <v/>
      </c>
      <c r="D324" s="10">
        <f>COUNTIF('Amex Transactions'!$C:$C,A324)</f>
        <v/>
      </c>
      <c r="E324" s="10">
        <f>SUMIFS('Amex Transactions'!$G:$G,'Amex Transactions'!$C:$C,A324,'Amex Transactions'!$G:$G,"&gt;0")</f>
        <v/>
      </c>
      <c r="F324" s="11" t="n">
        <v>45645</v>
      </c>
      <c r="G324" s="10">
        <f>IF(COUNTIFS('Amex Transactions'!$C:$C,A324,'Amex Transactions'!$I:$I,"Check")&gt;0,"Check","")</f>
        <v/>
      </c>
    </row>
    <row r="325">
      <c r="A325" s="10" t="inlineStr">
        <is>
          <t>OCL * OCTOPUS AD 8188520 KO WLOON BAY</t>
        </is>
      </c>
      <c r="B325" s="10">
        <f>IFERROR(INDEX('Review Items'!$D:$D,MATCH(A325,'Review Items'!$B:$B,0)),IFERROR(INDEX('Rule Updates'!$B:$B,MATCH(A325,'Rule Updates'!$A:$A,0)),"Uncategorised"))</f>
        <v/>
      </c>
      <c r="C325" s="10">
        <f>IFERROR(INDEX('Review Items'!$E:$E,MATCH(A325,'Review Items'!$B:$B,0)),IFERROR(INDEX('Rule Updates'!$C:$C,MATCH(A325,'Rule Updates'!$A:$A,0)),"Review"))</f>
        <v/>
      </c>
      <c r="D325" s="10">
        <f>COUNTIF('Amex Transactions'!$C:$C,A325)</f>
        <v/>
      </c>
      <c r="E325" s="10">
        <f>SUMIFS('Amex Transactions'!$G:$G,'Amex Transactions'!$C:$C,A325,'Amex Transactions'!$G:$G,"&gt;0")</f>
        <v/>
      </c>
      <c r="F325" s="11" t="n">
        <v>45902</v>
      </c>
      <c r="G325" s="10">
        <f>IF(COUNTIFS('Amex Transactions'!$C:$C,A325,'Amex Transactions'!$I:$I,"Check")&gt;0,"Check","")</f>
        <v/>
      </c>
    </row>
    <row r="326">
      <c r="A326" s="10" t="inlineStr">
        <is>
          <t>OCL * OCTOPUS AD 2500654 KO WLOON BAY</t>
        </is>
      </c>
      <c r="B326" s="10">
        <f>IFERROR(INDEX('Review Items'!$D:$D,MATCH(A326,'Review Items'!$B:$B,0)),IFERROR(INDEX('Rule Updates'!$B:$B,MATCH(A326,'Rule Updates'!$A:$A,0)),"Uncategorised"))</f>
        <v/>
      </c>
      <c r="C326" s="10">
        <f>IFERROR(INDEX('Review Items'!$E:$E,MATCH(A326,'Review Items'!$B:$B,0)),IFERROR(INDEX('Rule Updates'!$C:$C,MATCH(A326,'Rule Updates'!$A:$A,0)),"Review"))</f>
        <v/>
      </c>
      <c r="D326" s="10">
        <f>COUNTIF('Amex Transactions'!$C:$C,A326)</f>
        <v/>
      </c>
      <c r="E326" s="10">
        <f>SUMIFS('Amex Transactions'!$G:$G,'Amex Transactions'!$C:$C,A326,'Amex Transactions'!$G:$G,"&gt;0")</f>
        <v/>
      </c>
      <c r="F326" s="11" t="n">
        <v>45991</v>
      </c>
      <c r="G326" s="10">
        <f>IF(COUNTIFS('Amex Transactions'!$C:$C,A326,'Amex Transactions'!$I:$I,"Check")&gt;0,"Check","")</f>
        <v/>
      </c>
    </row>
    <row r="327">
      <c r="A327" s="10" t="inlineStr">
        <is>
          <t>PARK HYATT Niseko ROBAT *</t>
        </is>
      </c>
      <c r="B327" s="10">
        <f>IFERROR(INDEX('Review Items'!$D:$D,MATCH(A327,'Review Items'!$B:$B,0)),IFERROR(INDEX('Rule Updates'!$B:$B,MATCH(A327,'Rule Updates'!$A:$A,0)),"Uncategorised"))</f>
        <v/>
      </c>
      <c r="C327" s="10">
        <f>IFERROR(INDEX('Review Items'!$E:$E,MATCH(A327,'Review Items'!$B:$B,0)),IFERROR(INDEX('Rule Updates'!$C:$C,MATCH(A327,'Rule Updates'!$A:$A,0)),"Review"))</f>
        <v/>
      </c>
      <c r="D327" s="10">
        <f>COUNTIF('Amex Transactions'!$C:$C,A327)</f>
        <v/>
      </c>
      <c r="E327" s="10">
        <f>SUMIFS('Amex Transactions'!$G:$G,'Amex Transactions'!$C:$C,A327,'Amex Transactions'!$G:$G,"&gt;0")</f>
        <v/>
      </c>
      <c r="F327" s="11" t="n">
        <v>45725</v>
      </c>
      <c r="G327" s="10">
        <f>IF(COUNTIFS('Amex Transactions'!$C:$C,A327,'Amex Transactions'!$I:$I,"Check")&gt;0,"Check","")</f>
        <v/>
      </c>
    </row>
    <row r="328">
      <c r="A328" s="10" t="inlineStr">
        <is>
          <t>BBMSL*GOKAN HK</t>
        </is>
      </c>
      <c r="B328" s="10">
        <f>IFERROR(INDEX('Review Items'!$D:$D,MATCH(A328,'Review Items'!$B:$B,0)),IFERROR(INDEX('Rule Updates'!$B:$B,MATCH(A328,'Rule Updates'!$A:$A,0)),"Uncategorised"))</f>
        <v/>
      </c>
      <c r="C328" s="10">
        <f>IFERROR(INDEX('Review Items'!$E:$E,MATCH(A328,'Review Items'!$B:$B,0)),IFERROR(INDEX('Rule Updates'!$C:$C,MATCH(A328,'Rule Updates'!$A:$A,0)),"Review"))</f>
        <v/>
      </c>
      <c r="D328" s="10">
        <f>COUNTIF('Amex Transactions'!$C:$C,A328)</f>
        <v/>
      </c>
      <c r="E328" s="10">
        <f>SUMIFS('Amex Transactions'!$G:$G,'Amex Transactions'!$C:$C,A328,'Amex Transactions'!$G:$G,"&gt;0")</f>
        <v/>
      </c>
      <c r="F328" s="11" t="n">
        <v>45583</v>
      </c>
      <c r="G328" s="10">
        <f>IF(COUNTIFS('Amex Transactions'!$C:$C,A328,'Amex Transactions'!$I:$I,"Check")&gt;0,"Check","")</f>
        <v/>
      </c>
    </row>
    <row r="329">
      <c r="A329" s="10" t="inlineStr">
        <is>
          <t>IL MATRICIANO LISBOA</t>
        </is>
      </c>
      <c r="B329" s="10">
        <f>IFERROR(INDEX('Review Items'!$D:$D,MATCH(A329,'Review Items'!$B:$B,0)),IFERROR(INDEX('Rule Updates'!$B:$B,MATCH(A329,'Rule Updates'!$A:$A,0)),"Uncategorised"))</f>
        <v/>
      </c>
      <c r="C329" s="10">
        <f>IFERROR(INDEX('Review Items'!$E:$E,MATCH(A329,'Review Items'!$B:$B,0)),IFERROR(INDEX('Rule Updates'!$C:$C,MATCH(A329,'Rule Updates'!$A:$A,0)),"Review"))</f>
        <v/>
      </c>
      <c r="D329" s="10">
        <f>COUNTIF('Amex Transactions'!$C:$C,A329)</f>
        <v/>
      </c>
      <c r="E329" s="10">
        <f>SUMIFS('Amex Transactions'!$G:$G,'Amex Transactions'!$C:$C,A329,'Amex Transactions'!$G:$G,"&gt;0")</f>
        <v/>
      </c>
      <c r="F329" s="11" t="n">
        <v>46049</v>
      </c>
      <c r="G329" s="10">
        <f>IF(COUNTIFS('Amex Transactions'!$C:$C,A329,'Amex Transactions'!$I:$I,"Check")&gt;0,"Check","")</f>
        <v/>
      </c>
    </row>
    <row r="330">
      <c r="A330" s="10" t="inlineStr">
        <is>
          <t>KPAY*PO HING FLO WER CO. HONG KONG</t>
        </is>
      </c>
      <c r="B330" s="10">
        <f>IFERROR(INDEX('Review Items'!$D:$D,MATCH(A330,'Review Items'!$B:$B,0)),IFERROR(INDEX('Rule Updates'!$B:$B,MATCH(A330,'Rule Updates'!$A:$A,0)),"Uncategorised"))</f>
        <v/>
      </c>
      <c r="C330" s="10">
        <f>IFERROR(INDEX('Review Items'!$E:$E,MATCH(A330,'Review Items'!$B:$B,0)),IFERROR(INDEX('Rule Updates'!$C:$C,MATCH(A330,'Rule Updates'!$A:$A,0)),"Review"))</f>
        <v/>
      </c>
      <c r="D330" s="10">
        <f>COUNTIF('Amex Transactions'!$C:$C,A330)</f>
        <v/>
      </c>
      <c r="E330" s="10">
        <f>SUMIFS('Amex Transactions'!$G:$G,'Amex Transactions'!$C:$C,A330,'Amex Transactions'!$G:$G,"&gt;0")</f>
        <v/>
      </c>
      <c r="F330" s="11" t="n">
        <v>46060</v>
      </c>
      <c r="G330" s="10">
        <f>IF(COUNTIFS('Amex Transactions'!$C:$C,A330,'Amex Transactions'!$I:$I,"Check")&gt;0,"Check","")</f>
        <v/>
      </c>
    </row>
    <row r="331">
      <c r="A331" s="10" t="inlineStr">
        <is>
          <t>TA BERNA MEIA PORTA TAB ELIS BOA</t>
        </is>
      </c>
      <c r="B331" s="10">
        <f>IFERROR(INDEX('Review Items'!$D:$D,MATCH(A331,'Review Items'!$B:$B,0)),IFERROR(INDEX('Rule Updates'!$B:$B,MATCH(A331,'Rule Updates'!$A:$A,0)),"Uncategorised"))</f>
        <v/>
      </c>
      <c r="C331" s="10">
        <f>IFERROR(INDEX('Review Items'!$E:$E,MATCH(A331,'Review Items'!$B:$B,0)),IFERROR(INDEX('Rule Updates'!$C:$C,MATCH(A331,'Rule Updates'!$A:$A,0)),"Review"))</f>
        <v/>
      </c>
      <c r="D331" s="10">
        <f>COUNTIF('Amex Transactions'!$C:$C,A331)</f>
        <v/>
      </c>
      <c r="E331" s="10">
        <f>SUMIFS('Amex Transactions'!$G:$G,'Amex Transactions'!$C:$C,A331,'Amex Transactions'!$G:$G,"&gt;0")</f>
        <v/>
      </c>
      <c r="F331" s="11" t="n">
        <v>46043</v>
      </c>
      <c r="G331" s="10">
        <f>IF(COUNTIFS('Amex Transactions'!$C:$C,A331,'Amex Transactions'!$I:$I,"Check")&gt;0,"Check","")</f>
        <v/>
      </c>
    </row>
    <row r="332">
      <c r="A332" s="10" t="inlineStr">
        <is>
          <t>BASSIKE RETAIL PTY LTD DOU BLE BAY</t>
        </is>
      </c>
      <c r="B332" s="10">
        <f>IFERROR(INDEX('Review Items'!$D:$D,MATCH(A332,'Review Items'!$B:$B,0)),IFERROR(INDEX('Rule Updates'!$B:$B,MATCH(A332,'Rule Updates'!$A:$A,0)),"Uncategorised"))</f>
        <v/>
      </c>
      <c r="C332" s="10">
        <f>IFERROR(INDEX('Review Items'!$E:$E,MATCH(A332,'Review Items'!$B:$B,0)),IFERROR(INDEX('Rule Updates'!$C:$C,MATCH(A332,'Rule Updates'!$A:$A,0)),"Review"))</f>
        <v/>
      </c>
      <c r="D332" s="10">
        <f>COUNTIF('Amex Transactions'!$C:$C,A332)</f>
        <v/>
      </c>
      <c r="E332" s="10">
        <f>SUMIFS('Amex Transactions'!$G:$G,'Amex Transactions'!$C:$C,A332,'Amex Transactions'!$G:$G,"&gt;0")</f>
        <v/>
      </c>
      <c r="F332" s="11" t="n">
        <v>46009</v>
      </c>
      <c r="G332" s="10">
        <f>IF(COUNTIFS('Amex Transactions'!$C:$C,A332,'Amex Transactions'!$I:$I,"Check")&gt;0,"Check","")</f>
        <v/>
      </c>
    </row>
    <row r="333">
      <c r="A333" s="10" t="inlineStr">
        <is>
          <t>COM O METROPOLITAN SINGA SINGAPORE</t>
        </is>
      </c>
      <c r="B333" s="10">
        <f>IFERROR(INDEX('Review Items'!$D:$D,MATCH(A333,'Review Items'!$B:$B,0)),IFERROR(INDEX('Rule Updates'!$B:$B,MATCH(A333,'Rule Updates'!$A:$A,0)),"Uncategorised"))</f>
        <v/>
      </c>
      <c r="C333" s="10">
        <f>IFERROR(INDEX('Review Items'!$E:$E,MATCH(A333,'Review Items'!$B:$B,0)),IFERROR(INDEX('Rule Updates'!$C:$C,MATCH(A333,'Rule Updates'!$A:$A,0)),"Review"))</f>
        <v/>
      </c>
      <c r="D333" s="10">
        <f>COUNTIF('Amex Transactions'!$C:$C,A333)</f>
        <v/>
      </c>
      <c r="E333" s="10">
        <f>SUMIFS('Amex Transactions'!$G:$G,'Amex Transactions'!$C:$C,A333,'Amex Transactions'!$G:$G,"&gt;0")</f>
        <v/>
      </c>
      <c r="F333" s="11" t="n">
        <v>46009</v>
      </c>
      <c r="G333" s="10">
        <f>IF(COUNTIFS('Amex Transactions'!$C:$C,A333,'Amex Transactions'!$I:$I,"Check")&gt;0,"Check","")</f>
        <v/>
      </c>
    </row>
    <row r="334">
      <c r="A334" s="10" t="inlineStr">
        <is>
          <t>WAITROSE BATH BATH</t>
        </is>
      </c>
      <c r="B334" s="10">
        <f>IFERROR(INDEX('Review Items'!$D:$D,MATCH(A334,'Review Items'!$B:$B,0)),IFERROR(INDEX('Rule Updates'!$B:$B,MATCH(A334,'Rule Updates'!$A:$A,0)),"Uncategorised"))</f>
        <v/>
      </c>
      <c r="C334" s="10">
        <f>IFERROR(INDEX('Review Items'!$E:$E,MATCH(A334,'Review Items'!$B:$B,0)),IFERROR(INDEX('Rule Updates'!$C:$C,MATCH(A334,'Rule Updates'!$A:$A,0)),"Review"))</f>
        <v/>
      </c>
      <c r="D334" s="10">
        <f>COUNTIF('Amex Transactions'!$C:$C,A334)</f>
        <v/>
      </c>
      <c r="E334" s="10">
        <f>SUMIFS('Amex Transactions'!$G:$G,'Amex Transactions'!$C:$C,A334,'Amex Transactions'!$G:$G,"&gt;0")</f>
        <v/>
      </c>
      <c r="F334" s="11" t="n">
        <v>45774</v>
      </c>
      <c r="G334" s="10">
        <f>IF(COUNTIFS('Amex Transactions'!$C:$C,A334,'Amex Transactions'!$I:$I,"Check")&gt;0,"Check","")</f>
        <v/>
      </c>
    </row>
    <row r="335">
      <c r="A335" s="10" t="inlineStr">
        <is>
          <t>SP SIRTHELA BEL.COM TAMARAMA</t>
        </is>
      </c>
      <c r="B335" s="10">
        <f>IFERROR(INDEX('Review Items'!$D:$D,MATCH(A335,'Review Items'!$B:$B,0)),IFERROR(INDEX('Rule Updates'!$B:$B,MATCH(A335,'Rule Updates'!$A:$A,0)),"Uncategorised"))</f>
        <v/>
      </c>
      <c r="C335" s="10">
        <f>IFERROR(INDEX('Review Items'!$E:$E,MATCH(A335,'Review Items'!$B:$B,0)),IFERROR(INDEX('Rule Updates'!$C:$C,MATCH(A335,'Rule Updates'!$A:$A,0)),"Review"))</f>
        <v/>
      </c>
      <c r="D335" s="10">
        <f>COUNTIF('Amex Transactions'!$C:$C,A335)</f>
        <v/>
      </c>
      <c r="E335" s="10">
        <f>SUMIFS('Amex Transactions'!$G:$G,'Amex Transactions'!$C:$C,A335,'Amex Transactions'!$G:$G,"&gt;0")</f>
        <v/>
      </c>
      <c r="F335" s="11" t="n">
        <v>46029</v>
      </c>
      <c r="G335" s="10">
        <f>IF(COUNTIFS('Amex Transactions'!$C:$C,A335,'Amex Transactions'!$I:$I,"Check")&gt;0,"Check","")</f>
        <v/>
      </c>
    </row>
    <row r="336">
      <c r="A336" s="10" t="inlineStr">
        <is>
          <t>BLOOMINGDALES CENTURY LOS ANGELES</t>
        </is>
      </c>
      <c r="B336" s="10">
        <f>IFERROR(INDEX('Review Items'!$D:$D,MATCH(A336,'Review Items'!$B:$B,0)),IFERROR(INDEX('Rule Updates'!$B:$B,MATCH(A336,'Rule Updates'!$A:$A,0)),"Uncategorised"))</f>
        <v/>
      </c>
      <c r="C336" s="10">
        <f>IFERROR(INDEX('Review Items'!$E:$E,MATCH(A336,'Review Items'!$B:$B,0)),IFERROR(INDEX('Rule Updates'!$C:$C,MATCH(A336,'Rule Updates'!$A:$A,0)),"Review"))</f>
        <v/>
      </c>
      <c r="D336" s="10">
        <f>COUNTIF('Amex Transactions'!$C:$C,A336)</f>
        <v/>
      </c>
      <c r="E336" s="10">
        <f>SUMIFS('Amex Transactions'!$G:$G,'Amex Transactions'!$C:$C,A336,'Amex Transactions'!$G:$G,"&gt;0")</f>
        <v/>
      </c>
      <c r="F336" s="11" t="n">
        <v>45813</v>
      </c>
      <c r="G336" s="10">
        <f>IF(COUNTIFS('Amex Transactions'!$C:$C,A336,'Amex Transactions'!$I:$I,"Check")&gt;0,"Check","")</f>
        <v/>
      </c>
    </row>
    <row r="337">
      <c r="A337" s="10" t="inlineStr">
        <is>
          <t>SSI JEOIIOLLI BEUYEONG ( J OSEOUL</t>
        </is>
      </c>
      <c r="B337" s="10">
        <f>IFERROR(INDEX('Review Items'!$D:$D,MATCH(A337,'Review Items'!$B:$B,0)),IFERROR(INDEX('Rule Updates'!$B:$B,MATCH(A337,'Rule Updates'!$A:$A,0)),"Uncategorised"))</f>
        <v/>
      </c>
      <c r="C337" s="10">
        <f>IFERROR(INDEX('Review Items'!$E:$E,MATCH(A337,'Review Items'!$B:$B,0)),IFERROR(INDEX('Rule Updates'!$C:$C,MATCH(A337,'Rule Updates'!$A:$A,0)),"Review"))</f>
        <v/>
      </c>
      <c r="D337" s="10">
        <f>COUNTIF('Amex Transactions'!$C:$C,A337)</f>
        <v/>
      </c>
      <c r="E337" s="10">
        <f>SUMIFS('Amex Transactions'!$G:$G,'Amex Transactions'!$C:$C,A337,'Amex Transactions'!$G:$G,"&gt;0")</f>
        <v/>
      </c>
      <c r="F337" s="11" t="n">
        <v>45932</v>
      </c>
      <c r="G337" s="10">
        <f>IF(COUNTIFS('Amex Transactions'!$C:$C,A337,'Amex Transactions'!$I:$I,"Check")&gt;0,"Check","")</f>
        <v/>
      </c>
    </row>
    <row r="338">
      <c r="A338" s="10" t="inlineStr">
        <is>
          <t>JIANHUA LI &amp; DAN CHEN DOUBLE BAY</t>
        </is>
      </c>
      <c r="B338" s="10">
        <f>IFERROR(INDEX('Review Items'!$D:$D,MATCH(A338,'Review Items'!$B:$B,0)),IFERROR(INDEX('Rule Updates'!$B:$B,MATCH(A338,'Rule Updates'!$A:$A,0)),"Uncategorised"))</f>
        <v/>
      </c>
      <c r="C338" s="10">
        <f>IFERROR(INDEX('Review Items'!$E:$E,MATCH(A338,'Review Items'!$B:$B,0)),IFERROR(INDEX('Rule Updates'!$C:$C,MATCH(A338,'Rule Updates'!$A:$A,0)),"Review"))</f>
        <v/>
      </c>
      <c r="D338" s="10">
        <f>COUNTIF('Amex Transactions'!$C:$C,A338)</f>
        <v/>
      </c>
      <c r="E338" s="10">
        <f>SUMIFS('Amex Transactions'!$G:$G,'Amex Transactions'!$C:$C,A338,'Amex Transactions'!$G:$G,"&gt;0")</f>
        <v/>
      </c>
      <c r="F338" s="11" t="n">
        <v>45866</v>
      </c>
      <c r="G338" s="10">
        <f>IF(COUNTIFS('Amex Transactions'!$C:$C,A338,'Amex Transactions'!$I:$I,"Check")&gt;0,"Check","")</f>
        <v/>
      </c>
    </row>
    <row r="339">
      <c r="A339" s="10" t="inlineStr">
        <is>
          <t>PALAZZO SALATO Sydney</t>
        </is>
      </c>
      <c r="B339" s="10">
        <f>IFERROR(INDEX('Review Items'!$D:$D,MATCH(A339,'Review Items'!$B:$B,0)),IFERROR(INDEX('Rule Updates'!$B:$B,MATCH(A339,'Rule Updates'!$A:$A,0)),"Uncategorised"))</f>
        <v/>
      </c>
      <c r="C339" s="10">
        <f>IFERROR(INDEX('Review Items'!$E:$E,MATCH(A339,'Review Items'!$B:$B,0)),IFERROR(INDEX('Rule Updates'!$C:$C,MATCH(A339,'Rule Updates'!$A:$A,0)),"Review"))</f>
        <v/>
      </c>
      <c r="D339" s="10">
        <f>COUNTIF('Amex Transactions'!$C:$C,A339)</f>
        <v/>
      </c>
      <c r="E339" s="10">
        <f>SUMIFS('Amex Transactions'!$G:$G,'Amex Transactions'!$C:$C,A339,'Amex Transactions'!$G:$G,"&gt;0")</f>
        <v/>
      </c>
      <c r="F339" s="11" t="n">
        <v>45880</v>
      </c>
      <c r="G339" s="10">
        <f>IF(COUNTIFS('Amex Transactions'!$C:$C,A339,'Amex Transactions'!$I:$I,"Check")&gt;0,"Check","")</f>
        <v/>
      </c>
    </row>
    <row r="340">
      <c r="A340" s="10" t="inlineStr">
        <is>
          <t>UNI QLO HONG KONG LI MITE TSI MSHA TSUI</t>
        </is>
      </c>
      <c r="B340" s="10">
        <f>IFERROR(INDEX('Review Items'!$D:$D,MATCH(A340,'Review Items'!$B:$B,0)),IFERROR(INDEX('Rule Updates'!$B:$B,MATCH(A340,'Rule Updates'!$A:$A,0)),"Uncategorised"))</f>
        <v/>
      </c>
      <c r="C340" s="10">
        <f>IFERROR(INDEX('Review Items'!$E:$E,MATCH(A340,'Review Items'!$B:$B,0)),IFERROR(INDEX('Rule Updates'!$C:$C,MATCH(A340,'Rule Updates'!$A:$A,0)),"Review"))</f>
        <v/>
      </c>
      <c r="D340" s="10">
        <f>COUNTIF('Amex Transactions'!$C:$C,A340)</f>
        <v/>
      </c>
      <c r="E340" s="10">
        <f>SUMIFS('Amex Transactions'!$G:$G,'Amex Transactions'!$C:$C,A340,'Amex Transactions'!$G:$G,"&gt;0")</f>
        <v/>
      </c>
      <c r="F340" s="11" t="n">
        <v>45996</v>
      </c>
      <c r="G340" s="10">
        <f>IF(COUNTIFS('Amex Transactions'!$C:$C,A340,'Amex Transactions'!$I:$I,"Check")&gt;0,"Check","")</f>
        <v/>
      </c>
    </row>
    <row r="341">
      <c r="A341" s="10" t="inlineStr">
        <is>
          <t>SEVENTH SON RESTAURANT WAN CHAI</t>
        </is>
      </c>
      <c r="B341" s="10">
        <f>IFERROR(INDEX('Review Items'!$D:$D,MATCH(A341,'Review Items'!$B:$B,0)),IFERROR(INDEX('Rule Updates'!$B:$B,MATCH(A341,'Rule Updates'!$A:$A,0)),"Uncategorised"))</f>
        <v/>
      </c>
      <c r="C341" s="10">
        <f>IFERROR(INDEX('Review Items'!$E:$E,MATCH(A341,'Review Items'!$B:$B,0)),IFERROR(INDEX('Rule Updates'!$C:$C,MATCH(A341,'Rule Updates'!$A:$A,0)),"Review"))</f>
        <v/>
      </c>
      <c r="D341" s="10">
        <f>COUNTIF('Amex Transactions'!$C:$C,A341)</f>
        <v/>
      </c>
      <c r="E341" s="10">
        <f>SUMIFS('Amex Transactions'!$G:$G,'Amex Transactions'!$C:$C,A341,'Amex Transactions'!$G:$G,"&gt;0")</f>
        <v/>
      </c>
      <c r="F341" s="11" t="n">
        <v>45888</v>
      </c>
      <c r="G341" s="10">
        <f>IF(COUNTIFS('Amex Transactions'!$C:$C,A341,'Amex Transactions'!$I:$I,"Check")&gt;0,"Check","")</f>
        <v/>
      </c>
    </row>
    <row r="342">
      <c r="A342" s="10" t="inlineStr">
        <is>
          <t>FLOUR AND STONE ANNEX E W oo ll oomoo l oo</t>
        </is>
      </c>
      <c r="B342" s="10">
        <f>IFERROR(INDEX('Review Items'!$D:$D,MATCH(A342,'Review Items'!$B:$B,0)),IFERROR(INDEX('Rule Updates'!$B:$B,MATCH(A342,'Rule Updates'!$A:$A,0)),"Uncategorised"))</f>
        <v/>
      </c>
      <c r="C342" s="10">
        <f>IFERROR(INDEX('Review Items'!$E:$E,MATCH(A342,'Review Items'!$B:$B,0)),IFERROR(INDEX('Rule Updates'!$C:$C,MATCH(A342,'Rule Updates'!$A:$A,0)),"Review"))</f>
        <v/>
      </c>
      <c r="D342" s="10">
        <f>COUNTIF('Amex Transactions'!$C:$C,A342)</f>
        <v/>
      </c>
      <c r="E342" s="10">
        <f>SUMIFS('Amex Transactions'!$G:$G,'Amex Transactions'!$C:$C,A342,'Amex Transactions'!$G:$G,"&gt;0")</f>
        <v/>
      </c>
      <c r="F342" s="11" t="n">
        <v>46014</v>
      </c>
      <c r="G342" s="10">
        <f>IF(COUNTIFS('Amex Transactions'!$C:$C,A342,'Amex Transactions'!$I:$I,"Check")&gt;0,"Check","")</f>
        <v/>
      </c>
    </row>
    <row r="343">
      <c r="A343" s="10" t="inlineStr">
        <is>
          <t>KPAY * ASTA CLINIC LI MITE HONG KONG</t>
        </is>
      </c>
      <c r="B343" s="10">
        <f>IFERROR(INDEX('Review Items'!$D:$D,MATCH(A343,'Review Items'!$B:$B,0)),IFERROR(INDEX('Rule Updates'!$B:$B,MATCH(A343,'Rule Updates'!$A:$A,0)),"Uncategorised"))</f>
        <v/>
      </c>
      <c r="C343" s="10">
        <f>IFERROR(INDEX('Review Items'!$E:$E,MATCH(A343,'Review Items'!$B:$B,0)),IFERROR(INDEX('Rule Updates'!$C:$C,MATCH(A343,'Rule Updates'!$A:$A,0)),"Review"))</f>
        <v/>
      </c>
      <c r="D343" s="10">
        <f>COUNTIF('Amex Transactions'!$C:$C,A343)</f>
        <v/>
      </c>
      <c r="E343" s="10">
        <f>SUMIFS('Amex Transactions'!$G:$G,'Amex Transactions'!$C:$C,A343,'Amex Transactions'!$G:$G,"&gt;0")</f>
        <v/>
      </c>
      <c r="F343" s="11" t="n">
        <v>46007</v>
      </c>
      <c r="G343" s="10">
        <f>IF(COUNTIFS('Amex Transactions'!$C:$C,A343,'Amex Transactions'!$I:$I,"Check")&gt;0,"Check","")</f>
        <v/>
      </c>
    </row>
    <row r="344">
      <c r="A344" s="10" t="inlineStr">
        <is>
          <t>BAR LEONE SHOPS NO. 2 &amp; 3,</t>
        </is>
      </c>
      <c r="B344" s="10">
        <f>IFERROR(INDEX('Review Items'!$D:$D,MATCH(A344,'Review Items'!$B:$B,0)),IFERROR(INDEX('Rule Updates'!$B:$B,MATCH(A344,'Rule Updates'!$A:$A,0)),"Uncategorised"))</f>
        <v/>
      </c>
      <c r="C344" s="10">
        <f>IFERROR(INDEX('Review Items'!$E:$E,MATCH(A344,'Review Items'!$B:$B,0)),IFERROR(INDEX('Rule Updates'!$C:$C,MATCH(A344,'Rule Updates'!$A:$A,0)),"Review"))</f>
        <v/>
      </c>
      <c r="D344" s="10">
        <f>COUNTIF('Amex Transactions'!$C:$C,A344)</f>
        <v/>
      </c>
      <c r="E344" s="10">
        <f>SUMIFS('Amex Transactions'!$G:$G,'Amex Transactions'!$C:$C,A344,'Amex Transactions'!$G:$G,"&gt;0")</f>
        <v/>
      </c>
      <c r="F344" s="11" t="n">
        <v>46103</v>
      </c>
      <c r="G344" s="10">
        <f>IF(COUNTIFS('Amex Transactions'!$C:$C,A344,'Amex Transactions'!$I:$I,"Check")&gt;0,"Check","")</f>
        <v/>
      </c>
    </row>
    <row r="345">
      <c r="A345" s="10" t="inlineStr">
        <is>
          <t>NESPRESSO HONG KONG YUEN LONG</t>
        </is>
      </c>
      <c r="B345" s="10">
        <f>IFERROR(INDEX('Review Items'!$D:$D,MATCH(A345,'Review Items'!$B:$B,0)),IFERROR(INDEX('Rule Updates'!$B:$B,MATCH(A345,'Rule Updates'!$A:$A,0)),"Uncategorised"))</f>
        <v/>
      </c>
      <c r="C345" s="10">
        <f>IFERROR(INDEX('Review Items'!$E:$E,MATCH(A345,'Review Items'!$B:$B,0)),IFERROR(INDEX('Rule Updates'!$C:$C,MATCH(A345,'Rule Updates'!$A:$A,0)),"Review"))</f>
        <v/>
      </c>
      <c r="D345" s="10">
        <f>COUNTIF('Amex Transactions'!$C:$C,A345)</f>
        <v/>
      </c>
      <c r="E345" s="10">
        <f>SUMIFS('Amex Transactions'!$G:$G,'Amex Transactions'!$C:$C,A345,'Amex Transactions'!$G:$G,"&gt;0")</f>
        <v/>
      </c>
      <c r="F345" s="11" t="n">
        <v>45793</v>
      </c>
      <c r="G345" s="10">
        <f>IF(COUNTIFS('Amex Transactions'!$C:$C,A345,'Amex Transactions'!$I:$I,"Check")&gt;0,"Check","")</f>
        <v/>
      </c>
    </row>
    <row r="346">
      <c r="A346" s="10" t="inlineStr">
        <is>
          <t>SP LOOKOPTIC LOS ANGELES</t>
        </is>
      </c>
      <c r="B346" s="10">
        <f>IFERROR(INDEX('Review Items'!$D:$D,MATCH(A346,'Review Items'!$B:$B,0)),IFERROR(INDEX('Rule Updates'!$B:$B,MATCH(A346,'Rule Updates'!$A:$A,0)),"Uncategorised"))</f>
        <v/>
      </c>
      <c r="C346" s="10">
        <f>IFERROR(INDEX('Review Items'!$E:$E,MATCH(A346,'Review Items'!$B:$B,0)),IFERROR(INDEX('Rule Updates'!$C:$C,MATCH(A346,'Rule Updates'!$A:$A,0)),"Review"))</f>
        <v/>
      </c>
      <c r="D346" s="10">
        <f>COUNTIF('Amex Transactions'!$C:$C,A346)</f>
        <v/>
      </c>
      <c r="E346" s="10">
        <f>SUMIFS('Amex Transactions'!$G:$G,'Amex Transactions'!$C:$C,A346,'Amex Transactions'!$G:$G,"&gt;0")</f>
        <v/>
      </c>
      <c r="F346" s="11" t="n">
        <v>45944</v>
      </c>
      <c r="G346" s="10">
        <f>IF(COUNTIFS('Amex Transactions'!$C:$C,A346,'Amex Transactions'!$I:$I,"Check")&gt;0,"Check","")</f>
        <v/>
      </c>
    </row>
    <row r="347">
      <c r="A347" s="10" t="inlineStr">
        <is>
          <t>MOVEMENT MENTORSHIP NORTH BONDI</t>
        </is>
      </c>
      <c r="B347" s="10">
        <f>IFERROR(INDEX('Review Items'!$D:$D,MATCH(A347,'Review Items'!$B:$B,0)),IFERROR(INDEX('Rule Updates'!$B:$B,MATCH(A347,'Rule Updates'!$A:$A,0)),"Uncategorised"))</f>
        <v/>
      </c>
      <c r="C347" s="10">
        <f>IFERROR(INDEX('Review Items'!$E:$E,MATCH(A347,'Review Items'!$B:$B,0)),IFERROR(INDEX('Rule Updates'!$C:$C,MATCH(A347,'Rule Updates'!$A:$A,0)),"Review"))</f>
        <v/>
      </c>
      <c r="D347" s="10">
        <f>COUNTIF('Amex Transactions'!$C:$C,A347)</f>
        <v/>
      </c>
      <c r="E347" s="10">
        <f>SUMIFS('Amex Transactions'!$G:$G,'Amex Transactions'!$C:$C,A347,'Amex Transactions'!$G:$G,"&gt;0")</f>
        <v/>
      </c>
      <c r="F347" s="11" t="n">
        <v>45758</v>
      </c>
      <c r="G347" s="10">
        <f>IF(COUNTIFS('Amex Transactions'!$C:$C,A347,'Amex Transactions'!$I:$I,"Check")&gt;0,"Check","")</f>
        <v/>
      </c>
    </row>
    <row r="348">
      <c r="A348" s="10" t="inlineStr">
        <is>
          <t>Rhythm Japan Base meng tian jun</t>
        </is>
      </c>
      <c r="B348" s="10">
        <f>IFERROR(INDEX('Review Items'!$D:$D,MATCH(A348,'Review Items'!$B:$B,0)),IFERROR(INDEX('Rule Updates'!$B:$B,MATCH(A348,'Rule Updates'!$A:$A,0)),"Uncategorised"))</f>
        <v/>
      </c>
      <c r="C348" s="10">
        <f>IFERROR(INDEX('Review Items'!$E:$E,MATCH(A348,'Review Items'!$B:$B,0)),IFERROR(INDEX('Rule Updates'!$C:$C,MATCH(A348,'Rule Updates'!$A:$A,0)),"Review"))</f>
        <v/>
      </c>
      <c r="D348" s="10">
        <f>COUNTIF('Amex Transactions'!$C:$C,A348)</f>
        <v/>
      </c>
      <c r="E348" s="10">
        <f>SUMIFS('Amex Transactions'!$G:$G,'Amex Transactions'!$C:$C,A348,'Amex Transactions'!$G:$G,"&gt;0")</f>
        <v/>
      </c>
      <c r="F348" s="11" t="n">
        <v>45717</v>
      </c>
      <c r="G348" s="10">
        <f>IF(COUNTIFS('Amex Transactions'!$C:$C,A348,'Amex Transactions'!$I:$I,"Check")&gt;0,"Check","")</f>
        <v/>
      </c>
    </row>
    <row r="349">
      <c r="A349" s="10" t="inlineStr">
        <is>
          <t>L ' OREAL HONG KONG LIMIT WAN CHAI</t>
        </is>
      </c>
      <c r="B349" s="10">
        <f>IFERROR(INDEX('Review Items'!$D:$D,MATCH(A349,'Review Items'!$B:$B,0)),IFERROR(INDEX('Rule Updates'!$B:$B,MATCH(A349,'Rule Updates'!$A:$A,0)),"Uncategorised"))</f>
        <v/>
      </c>
      <c r="C349" s="10">
        <f>IFERROR(INDEX('Review Items'!$E:$E,MATCH(A349,'Review Items'!$B:$B,0)),IFERROR(INDEX('Rule Updates'!$C:$C,MATCH(A349,'Rule Updates'!$A:$A,0)),"Review"))</f>
        <v/>
      </c>
      <c r="D349" s="10">
        <f>COUNTIF('Amex Transactions'!$C:$C,A349)</f>
        <v/>
      </c>
      <c r="E349" s="10">
        <f>SUMIFS('Amex Transactions'!$G:$G,'Amex Transactions'!$C:$C,A349,'Amex Transactions'!$G:$G,"&gt;0")</f>
        <v/>
      </c>
      <c r="F349" s="11" t="n">
        <v>45904</v>
      </c>
      <c r="G349" s="10">
        <f>IF(COUNTIFS('Amex Transactions'!$C:$C,A349,'Amex Transactions'!$I:$I,"Check")&gt;0,"Check","")</f>
        <v/>
      </c>
    </row>
    <row r="350">
      <c r="A350" s="10" t="inlineStr">
        <is>
          <t>LA VACHE ! CENTRAL</t>
        </is>
      </c>
      <c r="B350" s="10">
        <f>IFERROR(INDEX('Review Items'!$D:$D,MATCH(A350,'Review Items'!$B:$B,0)),IFERROR(INDEX('Rule Updates'!$B:$B,MATCH(A350,'Rule Updates'!$A:$A,0)),"Uncategorised"))</f>
        <v/>
      </c>
      <c r="C350" s="10">
        <f>IFERROR(INDEX('Review Items'!$E:$E,MATCH(A350,'Review Items'!$B:$B,0)),IFERROR(INDEX('Rule Updates'!$C:$C,MATCH(A350,'Rule Updates'!$A:$A,0)),"Review"))</f>
        <v/>
      </c>
      <c r="D350" s="10">
        <f>COUNTIF('Amex Transactions'!$C:$C,A350)</f>
        <v/>
      </c>
      <c r="E350" s="10">
        <f>SUMIFS('Amex Transactions'!$G:$G,'Amex Transactions'!$C:$C,A350,'Amex Transactions'!$G:$G,"&gt;0")</f>
        <v/>
      </c>
      <c r="F350" s="11" t="n">
        <v>45997</v>
      </c>
      <c r="G350" s="10">
        <f>IF(COUNTIFS('Amex Transactions'!$C:$C,A350,'Amex Transactions'!$I:$I,"Check")&gt;0,"Check","")</f>
        <v/>
      </c>
    </row>
    <row r="351">
      <c r="A351" s="10" t="inlineStr">
        <is>
          <t>GOGYO ( B R 8021) CENTRAL</t>
        </is>
      </c>
      <c r="B351" s="10">
        <f>IFERROR(INDEX('Review Items'!$D:$D,MATCH(A351,'Review Items'!$B:$B,0)),IFERROR(INDEX('Rule Updates'!$B:$B,MATCH(A351,'Rule Updates'!$A:$A,0)),"Uncategorised"))</f>
        <v/>
      </c>
      <c r="C351" s="10">
        <f>IFERROR(INDEX('Review Items'!$E:$E,MATCH(A351,'Review Items'!$B:$B,0)),IFERROR(INDEX('Rule Updates'!$C:$C,MATCH(A351,'Rule Updates'!$A:$A,0)),"Review"))</f>
        <v/>
      </c>
      <c r="D351" s="10">
        <f>COUNTIF('Amex Transactions'!$C:$C,A351)</f>
        <v/>
      </c>
      <c r="E351" s="10">
        <f>SUMIFS('Amex Transactions'!$G:$G,'Amex Transactions'!$C:$C,A351,'Amex Transactions'!$G:$G,"&gt;0")</f>
        <v/>
      </c>
      <c r="F351" s="11" t="n">
        <v>45900</v>
      </c>
      <c r="G351" s="10">
        <f>IF(COUNTIFS('Amex Transactions'!$C:$C,A351,'Amex Transactions'!$I:$I,"Check")&gt;0,"Check","")</f>
        <v/>
      </c>
    </row>
    <row r="352">
      <c r="A352" s="10" t="inlineStr">
        <is>
          <t>HARRIS FARM MARKETS RED REDFERN</t>
        </is>
      </c>
      <c r="B352" s="10">
        <f>IFERROR(INDEX('Review Items'!$D:$D,MATCH(A352,'Review Items'!$B:$B,0)),IFERROR(INDEX('Rule Updates'!$B:$B,MATCH(A352,'Rule Updates'!$A:$A,0)),"Uncategorised"))</f>
        <v/>
      </c>
      <c r="C352" s="10">
        <f>IFERROR(INDEX('Review Items'!$E:$E,MATCH(A352,'Review Items'!$B:$B,0)),IFERROR(INDEX('Rule Updates'!$C:$C,MATCH(A352,'Rule Updates'!$A:$A,0)),"Review"))</f>
        <v/>
      </c>
      <c r="D352" s="10">
        <f>COUNTIF('Amex Transactions'!$C:$C,A352)</f>
        <v/>
      </c>
      <c r="E352" s="10">
        <f>SUMIFS('Amex Transactions'!$G:$G,'Amex Transactions'!$C:$C,A352,'Amex Transactions'!$G:$G,"&gt;0")</f>
        <v/>
      </c>
      <c r="F352" s="11" t="n">
        <v>45669</v>
      </c>
      <c r="G352" s="10">
        <f>IF(COUNTIFS('Amex Transactions'!$C:$C,A352,'Amex Transactions'!$I:$I,"Check")&gt;0,"Check","")</f>
        <v/>
      </c>
    </row>
    <row r="353">
      <c r="A353" s="10" t="inlineStr">
        <is>
          <t>THE DAIRY FARM - MANNIN QUARRY BAY</t>
        </is>
      </c>
      <c r="B353" s="10">
        <f>IFERROR(INDEX('Review Items'!$D:$D,MATCH(A353,'Review Items'!$B:$B,0)),IFERROR(INDEX('Rule Updates'!$B:$B,MATCH(A353,'Rule Updates'!$A:$A,0)),"Uncategorised"))</f>
        <v/>
      </c>
      <c r="C353" s="10">
        <f>IFERROR(INDEX('Review Items'!$E:$E,MATCH(A353,'Review Items'!$B:$B,0)),IFERROR(INDEX('Rule Updates'!$C:$C,MATCH(A353,'Rule Updates'!$A:$A,0)),"Review"))</f>
        <v/>
      </c>
      <c r="D353" s="10">
        <f>COUNTIF('Amex Transactions'!$C:$C,A353)</f>
        <v/>
      </c>
      <c r="E353" s="10">
        <f>SUMIFS('Amex Transactions'!$G:$G,'Amex Transactions'!$C:$C,A353,'Amex Transactions'!$G:$G,"&gt;0")</f>
        <v/>
      </c>
      <c r="F353" s="11" t="n">
        <v>45991</v>
      </c>
      <c r="G353" s="10">
        <f>IF(COUNTIFS('Amex Transactions'!$C:$C,A353,'Amex Transactions'!$I:$I,"Check")&gt;0,"Check","")</f>
        <v/>
      </c>
    </row>
    <row r="354">
      <c r="A354" s="10" t="inlineStr">
        <is>
          <t>WATERSTONES BATH</t>
        </is>
      </c>
      <c r="B354" s="10">
        <f>IFERROR(INDEX('Review Items'!$D:$D,MATCH(A354,'Review Items'!$B:$B,0)),IFERROR(INDEX('Rule Updates'!$B:$B,MATCH(A354,'Rule Updates'!$A:$A,0)),"Uncategorised"))</f>
        <v/>
      </c>
      <c r="C354" s="10">
        <f>IFERROR(INDEX('Review Items'!$E:$E,MATCH(A354,'Review Items'!$B:$B,0)),IFERROR(INDEX('Rule Updates'!$C:$C,MATCH(A354,'Rule Updates'!$A:$A,0)),"Review"))</f>
        <v/>
      </c>
      <c r="D354" s="10">
        <f>COUNTIF('Amex Transactions'!$C:$C,A354)</f>
        <v/>
      </c>
      <c r="E354" s="10">
        <f>SUMIFS('Amex Transactions'!$G:$G,'Amex Transactions'!$C:$C,A354,'Amex Transactions'!$G:$G,"&gt;0")</f>
        <v/>
      </c>
      <c r="F354" s="11" t="n">
        <v>45838</v>
      </c>
      <c r="G354" s="10">
        <f>IF(COUNTIFS('Amex Transactions'!$C:$C,A354,'Amex Transactions'!$I:$I,"Check")&gt;0,"Check","")</f>
        <v/>
      </c>
    </row>
    <row r="355">
      <c r="A355" s="10" t="inlineStr">
        <is>
          <t>LOOKOPTIC LOS ANGELES</t>
        </is>
      </c>
      <c r="B355" s="10">
        <f>IFERROR(INDEX('Review Items'!$D:$D,MATCH(A355,'Review Items'!$B:$B,0)),IFERROR(INDEX('Rule Updates'!$B:$B,MATCH(A355,'Rule Updates'!$A:$A,0)),"Uncategorised"))</f>
        <v/>
      </c>
      <c r="C355" s="10">
        <f>IFERROR(INDEX('Review Items'!$E:$E,MATCH(A355,'Review Items'!$B:$B,0)),IFERROR(INDEX('Rule Updates'!$C:$C,MATCH(A355,'Rule Updates'!$A:$A,0)),"Review"))</f>
        <v/>
      </c>
      <c r="D355" s="10">
        <f>COUNTIF('Amex Transactions'!$C:$C,A355)</f>
        <v/>
      </c>
      <c r="E355" s="10">
        <f>SUMIFS('Amex Transactions'!$G:$G,'Amex Transactions'!$C:$C,A355,'Amex Transactions'!$G:$G,"&gt;0")</f>
        <v/>
      </c>
      <c r="F355" s="11" t="n">
        <v>45536</v>
      </c>
      <c r="G355" s="10">
        <f>IF(COUNTIFS('Amex Transactions'!$C:$C,A355,'Amex Transactions'!$I:$I,"Check")&gt;0,"Check","")</f>
        <v/>
      </c>
    </row>
    <row r="356">
      <c r="A356" s="10" t="inlineStr">
        <is>
          <t>JUMPSPEAK # W3 MNJ 4 FR WILMINGTON</t>
        </is>
      </c>
      <c r="B356" s="10">
        <f>IFERROR(INDEX('Review Items'!$D:$D,MATCH(A356,'Review Items'!$B:$B,0)),IFERROR(INDEX('Rule Updates'!$B:$B,MATCH(A356,'Rule Updates'!$A:$A,0)),"Uncategorised"))</f>
        <v/>
      </c>
      <c r="C356" s="10">
        <f>IFERROR(INDEX('Review Items'!$E:$E,MATCH(A356,'Review Items'!$B:$B,0)),IFERROR(INDEX('Rule Updates'!$C:$C,MATCH(A356,'Rule Updates'!$A:$A,0)),"Review"))</f>
        <v/>
      </c>
      <c r="D356" s="10">
        <f>COUNTIF('Amex Transactions'!$C:$C,A356)</f>
        <v/>
      </c>
      <c r="E356" s="10">
        <f>SUMIFS('Amex Transactions'!$G:$G,'Amex Transactions'!$C:$C,A356,'Amex Transactions'!$G:$G,"&gt;0")</f>
        <v/>
      </c>
      <c r="F356" s="11" t="n">
        <v>46017</v>
      </c>
      <c r="G356" s="10">
        <f>IF(COUNTIFS('Amex Transactions'!$C:$C,A356,'Amex Transactions'!$I:$I,"Check")&gt;0,"Check","")</f>
        <v/>
      </c>
    </row>
    <row r="357">
      <c r="A357" s="10" t="inlineStr">
        <is>
          <t>LANE CRA WFORD ( IFC ) CENTRAL</t>
        </is>
      </c>
      <c r="B357" s="10">
        <f>IFERROR(INDEX('Review Items'!$D:$D,MATCH(A357,'Review Items'!$B:$B,0)),IFERROR(INDEX('Rule Updates'!$B:$B,MATCH(A357,'Rule Updates'!$A:$A,0)),"Uncategorised"))</f>
        <v/>
      </c>
      <c r="C357" s="10">
        <f>IFERROR(INDEX('Review Items'!$E:$E,MATCH(A357,'Review Items'!$B:$B,0)),IFERROR(INDEX('Rule Updates'!$C:$C,MATCH(A357,'Rule Updates'!$A:$A,0)),"Review"))</f>
        <v/>
      </c>
      <c r="D357" s="10">
        <f>COUNTIF('Amex Transactions'!$C:$C,A357)</f>
        <v/>
      </c>
      <c r="E357" s="10">
        <f>SUMIFS('Amex Transactions'!$G:$G,'Amex Transactions'!$C:$C,A357,'Amex Transactions'!$G:$G,"&gt;0")</f>
        <v/>
      </c>
      <c r="F357" s="11" t="n">
        <v>46062</v>
      </c>
      <c r="G357" s="10">
        <f>IF(COUNTIFS('Amex Transactions'!$C:$C,A357,'Amex Transactions'!$I:$I,"Check")&gt;0,"Check","")</f>
        <v/>
      </c>
    </row>
    <row r="358">
      <c r="A358" s="10" t="inlineStr">
        <is>
          <t>TST * DESTROYER 00123951 CULVER CITY</t>
        </is>
      </c>
      <c r="B358" s="10">
        <f>IFERROR(INDEX('Review Items'!$D:$D,MATCH(A358,'Review Items'!$B:$B,0)),IFERROR(INDEX('Rule Updates'!$B:$B,MATCH(A358,'Rule Updates'!$A:$A,0)),"Uncategorised"))</f>
        <v/>
      </c>
      <c r="C358" s="10">
        <f>IFERROR(INDEX('Review Items'!$E:$E,MATCH(A358,'Review Items'!$B:$B,0)),IFERROR(INDEX('Rule Updates'!$C:$C,MATCH(A358,'Rule Updates'!$A:$A,0)),"Review"))</f>
        <v/>
      </c>
      <c r="D358" s="10">
        <f>COUNTIF('Amex Transactions'!$C:$C,A358)</f>
        <v/>
      </c>
      <c r="E358" s="10">
        <f>SUMIFS('Amex Transactions'!$G:$G,'Amex Transactions'!$C:$C,A358,'Amex Transactions'!$G:$G,"&gt;0")</f>
        <v/>
      </c>
      <c r="F358" s="11" t="n">
        <v>45947</v>
      </c>
      <c r="G358" s="10">
        <f>IF(COUNTIFS('Amex Transactions'!$C:$C,A358,'Amex Transactions'!$I:$I,"Check")&gt;0,"Check","")</f>
        <v/>
      </c>
    </row>
    <row r="359">
      <c r="A359" s="10" t="inlineStr">
        <is>
          <t>RAKUTENPAY BARISTART CO HOKKAIDO</t>
        </is>
      </c>
      <c r="B359" s="10">
        <f>IFERROR(INDEX('Review Items'!$D:$D,MATCH(A359,'Review Items'!$B:$B,0)),IFERROR(INDEX('Rule Updates'!$B:$B,MATCH(A359,'Rule Updates'!$A:$A,0)),"Uncategorised"))</f>
        <v/>
      </c>
      <c r="C359" s="10">
        <f>IFERROR(INDEX('Review Items'!$E:$E,MATCH(A359,'Review Items'!$B:$B,0)),IFERROR(INDEX('Rule Updates'!$C:$C,MATCH(A359,'Rule Updates'!$A:$A,0)),"Review"))</f>
        <v/>
      </c>
      <c r="D359" s="10">
        <f>COUNTIF('Amex Transactions'!$C:$C,A359)</f>
        <v/>
      </c>
      <c r="E359" s="10">
        <f>SUMIFS('Amex Transactions'!$G:$G,'Amex Transactions'!$C:$C,A359,'Amex Transactions'!$G:$G,"&gt;0")</f>
        <v/>
      </c>
      <c r="F359" s="11" t="n">
        <v>46087</v>
      </c>
      <c r="G359" s="10">
        <f>IF(COUNTIFS('Amex Transactions'!$C:$C,A359,'Amex Transactions'!$I:$I,"Check")&gt;0,"Check","")</f>
        <v/>
      </c>
    </row>
    <row r="360">
      <c r="A360" s="10" t="inlineStr">
        <is>
          <t>TC RISTORANTE THE RHOKKAIDO</t>
        </is>
      </c>
      <c r="B360" s="10">
        <f>IFERROR(INDEX('Review Items'!$D:$D,MATCH(A360,'Review Items'!$B:$B,0)),IFERROR(INDEX('Rule Updates'!$B:$B,MATCH(A360,'Rule Updates'!$A:$A,0)),"Uncategorised"))</f>
        <v/>
      </c>
      <c r="C360" s="10">
        <f>IFERROR(INDEX('Review Items'!$E:$E,MATCH(A360,'Review Items'!$B:$B,0)),IFERROR(INDEX('Rule Updates'!$C:$C,MATCH(A360,'Rule Updates'!$A:$A,0)),"Review"))</f>
        <v/>
      </c>
      <c r="D360" s="10">
        <f>COUNTIF('Amex Transactions'!$C:$C,A360)</f>
        <v/>
      </c>
      <c r="E360" s="10">
        <f>SUMIFS('Amex Transactions'!$G:$G,'Amex Transactions'!$C:$C,A360,'Amex Transactions'!$G:$G,"&gt;0")</f>
        <v/>
      </c>
      <c r="F360" s="11" t="n">
        <v>45730</v>
      </c>
      <c r="G360" s="10">
        <f>IF(COUNTIFS('Amex Transactions'!$C:$C,A360,'Amex Transactions'!$I:$I,"Check")&gt;0,"Check","")</f>
        <v/>
      </c>
    </row>
    <row r="361">
      <c r="A361" s="10" t="inlineStr">
        <is>
          <t>SIXT PORTUGAL RAC _ 307 _ PPAREDES</t>
        </is>
      </c>
      <c r="B361" s="10">
        <f>IFERROR(INDEX('Review Items'!$D:$D,MATCH(A361,'Review Items'!$B:$B,0)),IFERROR(INDEX('Rule Updates'!$B:$B,MATCH(A361,'Rule Updates'!$A:$A,0)),"Uncategorised"))</f>
        <v/>
      </c>
      <c r="C361" s="10">
        <f>IFERROR(INDEX('Review Items'!$E:$E,MATCH(A361,'Review Items'!$B:$B,0)),IFERROR(INDEX('Rule Updates'!$C:$C,MATCH(A361,'Rule Updates'!$A:$A,0)),"Review"))</f>
        <v/>
      </c>
      <c r="D361" s="10">
        <f>COUNTIF('Amex Transactions'!$C:$C,A361)</f>
        <v/>
      </c>
      <c r="E361" s="10">
        <f>SUMIFS('Amex Transactions'!$G:$G,'Amex Transactions'!$C:$C,A361,'Amex Transactions'!$G:$G,"&gt;0")</f>
        <v/>
      </c>
      <c r="F361" s="11" t="n">
        <v>46049</v>
      </c>
      <c r="G361" s="10">
        <f>IF(COUNTIFS('Amex Transactions'!$C:$C,A361,'Amex Transactions'!$I:$I,"Check")&gt;0,"Check","")</f>
        <v/>
      </c>
    </row>
    <row r="362">
      <c r="A362" s="10" t="inlineStr">
        <is>
          <t>THE DAIRY FARM - MANNIN CAUSEWAY BAY</t>
        </is>
      </c>
      <c r="B362" s="10">
        <f>IFERROR(INDEX('Review Items'!$D:$D,MATCH(A362,'Review Items'!$B:$B,0)),IFERROR(INDEX('Rule Updates'!$B:$B,MATCH(A362,'Rule Updates'!$A:$A,0)),"Uncategorised"))</f>
        <v/>
      </c>
      <c r="C362" s="10">
        <f>IFERROR(INDEX('Review Items'!$E:$E,MATCH(A362,'Review Items'!$B:$B,0)),IFERROR(INDEX('Rule Updates'!$C:$C,MATCH(A362,'Rule Updates'!$A:$A,0)),"Review"))</f>
        <v/>
      </c>
      <c r="D362" s="10">
        <f>COUNTIF('Amex Transactions'!$C:$C,A362)</f>
        <v/>
      </c>
      <c r="E362" s="10">
        <f>SUMIFS('Amex Transactions'!$G:$G,'Amex Transactions'!$C:$C,A362,'Amex Transactions'!$G:$G,"&gt;0")</f>
        <v/>
      </c>
      <c r="F362" s="11" t="n">
        <v>45587</v>
      </c>
      <c r="G362" s="10">
        <f>IF(COUNTIFS('Amex Transactions'!$C:$C,A362,'Amex Transactions'!$I:$I,"Check")&gt;0,"Check","")</f>
        <v/>
      </c>
    </row>
    <row r="363">
      <c r="A363" s="10" t="inlineStr">
        <is>
          <t>KARUIZ A W AKA WAKAMIAN NAGANO</t>
        </is>
      </c>
      <c r="B363" s="10">
        <f>IFERROR(INDEX('Review Items'!$D:$D,MATCH(A363,'Review Items'!$B:$B,0)),IFERROR(INDEX('Rule Updates'!$B:$B,MATCH(A363,'Rule Updates'!$A:$A,0)),"Uncategorised"))</f>
        <v/>
      </c>
      <c r="C363" s="10">
        <f>IFERROR(INDEX('Review Items'!$E:$E,MATCH(A363,'Review Items'!$B:$B,0)),IFERROR(INDEX('Rule Updates'!$C:$C,MATCH(A363,'Rule Updates'!$A:$A,0)),"Review"))</f>
        <v/>
      </c>
      <c r="D363" s="10">
        <f>COUNTIF('Amex Transactions'!$C:$C,A363)</f>
        <v/>
      </c>
      <c r="E363" s="10">
        <f>SUMIFS('Amex Transactions'!$G:$G,'Amex Transactions'!$C:$C,A363,'Amex Transactions'!$G:$G,"&gt;0")</f>
        <v/>
      </c>
      <c r="F363" s="11" t="n">
        <v>45979</v>
      </c>
      <c r="G363" s="10">
        <f>IF(COUNTIFS('Amex Transactions'!$C:$C,A363,'Amex Transactions'!$I:$I,"Check")&gt;0,"Check","")</f>
        <v/>
      </c>
    </row>
    <row r="364">
      <c r="A364" s="10" t="inlineStr">
        <is>
          <t>BOARDING GATE PARAGON 0 SINGAPORE</t>
        </is>
      </c>
      <c r="B364" s="10">
        <f>IFERROR(INDEX('Review Items'!$D:$D,MATCH(A364,'Review Items'!$B:$B,0)),IFERROR(INDEX('Rule Updates'!$B:$B,MATCH(A364,'Rule Updates'!$A:$A,0)),"Uncategorised"))</f>
        <v/>
      </c>
      <c r="C364" s="10">
        <f>IFERROR(INDEX('Review Items'!$E:$E,MATCH(A364,'Review Items'!$B:$B,0)),IFERROR(INDEX('Rule Updates'!$C:$C,MATCH(A364,'Rule Updates'!$A:$A,0)),"Review"))</f>
        <v/>
      </c>
      <c r="D364" s="10">
        <f>COUNTIF('Amex Transactions'!$C:$C,A364)</f>
        <v/>
      </c>
      <c r="E364" s="10">
        <f>SUMIFS('Amex Transactions'!$G:$G,'Amex Transactions'!$C:$C,A364,'Amex Transactions'!$G:$G,"&gt;0")</f>
        <v/>
      </c>
      <c r="F364" s="11" t="n">
        <v>46092</v>
      </c>
      <c r="G364" s="10">
        <f>IF(COUNTIFS('Amex Transactions'!$C:$C,A364,'Amex Transactions'!$I:$I,"Check")&gt;0,"Check","")</f>
        <v/>
      </c>
    </row>
    <row r="365">
      <c r="A365" s="10" t="inlineStr">
        <is>
          <t>KELLY &amp; WALSH LTD ADMIRALTY</t>
        </is>
      </c>
      <c r="B365" s="10">
        <f>IFERROR(INDEX('Review Items'!$D:$D,MATCH(A365,'Review Items'!$B:$B,0)),IFERROR(INDEX('Rule Updates'!$B:$B,MATCH(A365,'Rule Updates'!$A:$A,0)),"Uncategorised"))</f>
        <v/>
      </c>
      <c r="C365" s="10">
        <f>IFERROR(INDEX('Review Items'!$E:$E,MATCH(A365,'Review Items'!$B:$B,0)),IFERROR(INDEX('Rule Updates'!$C:$C,MATCH(A365,'Rule Updates'!$A:$A,0)),"Review"))</f>
        <v/>
      </c>
      <c r="D365" s="10">
        <f>COUNTIF('Amex Transactions'!$C:$C,A365)</f>
        <v/>
      </c>
      <c r="E365" s="10">
        <f>SUMIFS('Amex Transactions'!$G:$G,'Amex Transactions'!$C:$C,A365,'Amex Transactions'!$G:$G,"&gt;0")</f>
        <v/>
      </c>
      <c r="F365" s="11" t="n">
        <v>45798</v>
      </c>
      <c r="G365" s="10">
        <f>IF(COUNTIFS('Amex Transactions'!$C:$C,A365,'Amex Transactions'!$I:$I,"Check")&gt;0,"Check","")</f>
        <v/>
      </c>
    </row>
    <row r="366">
      <c r="A366" s="10" t="inlineStr">
        <is>
          <t>HOUSE OF PHARMACY 14456 DOUBLE BAY</t>
        </is>
      </c>
      <c r="B366" s="10">
        <f>IFERROR(INDEX('Review Items'!$D:$D,MATCH(A366,'Review Items'!$B:$B,0)),IFERROR(INDEX('Rule Updates'!$B:$B,MATCH(A366,'Rule Updates'!$A:$A,0)),"Uncategorised"))</f>
        <v/>
      </c>
      <c r="C366" s="10">
        <f>IFERROR(INDEX('Review Items'!$E:$E,MATCH(A366,'Review Items'!$B:$B,0)),IFERROR(INDEX('Rule Updates'!$C:$C,MATCH(A366,'Rule Updates'!$A:$A,0)),"Review"))</f>
        <v/>
      </c>
      <c r="D366" s="10">
        <f>COUNTIF('Amex Transactions'!$C:$C,A366)</f>
        <v/>
      </c>
      <c r="E366" s="10">
        <f>SUMIFS('Amex Transactions'!$G:$G,'Amex Transactions'!$C:$C,A366,'Amex Transactions'!$G:$G,"&gt;0")</f>
        <v/>
      </c>
      <c r="F366" s="11" t="n">
        <v>45881</v>
      </c>
      <c r="G366" s="10">
        <f>IF(COUNTIFS('Amex Transactions'!$C:$C,A366,'Amex Transactions'!$I:$I,"Check")&gt;0,"Check","")</f>
        <v/>
      </c>
    </row>
    <row r="367">
      <c r="A367" s="10" t="inlineStr">
        <is>
          <t>ASIA TICKETING LI MITED HONG KONG</t>
        </is>
      </c>
      <c r="B367" s="10">
        <f>IFERROR(INDEX('Review Items'!$D:$D,MATCH(A367,'Review Items'!$B:$B,0)),IFERROR(INDEX('Rule Updates'!$B:$B,MATCH(A367,'Rule Updates'!$A:$A,0)),"Uncategorised"))</f>
        <v/>
      </c>
      <c r="C367" s="10">
        <f>IFERROR(INDEX('Review Items'!$E:$E,MATCH(A367,'Review Items'!$B:$B,0)),IFERROR(INDEX('Rule Updates'!$C:$C,MATCH(A367,'Rule Updates'!$A:$A,0)),"Review"))</f>
        <v/>
      </c>
      <c r="D367" s="10">
        <f>COUNTIF('Amex Transactions'!$C:$C,A367)</f>
        <v/>
      </c>
      <c r="E367" s="10">
        <f>SUMIFS('Amex Transactions'!$G:$G,'Amex Transactions'!$C:$C,A367,'Amex Transactions'!$G:$G,"&gt;0")</f>
        <v/>
      </c>
      <c r="F367" s="11" t="n">
        <v>45997</v>
      </c>
      <c r="G367" s="10">
        <f>IF(COUNTIFS('Amex Transactions'!$C:$C,A367,'Amex Transactions'!$I:$I,"Check")&gt;0,"Check","")</f>
        <v/>
      </c>
    </row>
    <row r="368">
      <c r="A368" s="10" t="inlineStr">
        <is>
          <t>PLATYPUS SHOES AUSTRALI CRENORNE</t>
        </is>
      </c>
      <c r="B368" s="10">
        <f>IFERROR(INDEX('Review Items'!$D:$D,MATCH(A368,'Review Items'!$B:$B,0)),IFERROR(INDEX('Rule Updates'!$B:$B,MATCH(A368,'Rule Updates'!$A:$A,0)),"Uncategorised"))</f>
        <v/>
      </c>
      <c r="C368" s="10">
        <f>IFERROR(INDEX('Review Items'!$E:$E,MATCH(A368,'Review Items'!$B:$B,0)),IFERROR(INDEX('Rule Updates'!$C:$C,MATCH(A368,'Rule Updates'!$A:$A,0)),"Review"))</f>
        <v/>
      </c>
      <c r="D368" s="10">
        <f>COUNTIF('Amex Transactions'!$C:$C,A368)</f>
        <v/>
      </c>
      <c r="E368" s="10">
        <f>SUMIFS('Amex Transactions'!$G:$G,'Amex Transactions'!$C:$C,A368,'Amex Transactions'!$G:$G,"&gt;0")</f>
        <v/>
      </c>
      <c r="F368" s="11" t="n">
        <v>45658</v>
      </c>
      <c r="G368" s="10">
        <f>IF(COUNTIFS('Amex Transactions'!$C:$C,A368,'Amex Transactions'!$I:$I,"Check")&gt;0,"Check","")</f>
        <v/>
      </c>
    </row>
    <row r="369">
      <c r="A369" s="10" t="inlineStr">
        <is>
          <t>KPAY*UNAGI YONDAIME KIK HONG KONG</t>
        </is>
      </c>
      <c r="B369" s="10">
        <f>IFERROR(INDEX('Review Items'!$D:$D,MATCH(A369,'Review Items'!$B:$B,0)),IFERROR(INDEX('Rule Updates'!$B:$B,MATCH(A369,'Rule Updates'!$A:$A,0)),"Uncategorised"))</f>
        <v/>
      </c>
      <c r="C369" s="10">
        <f>IFERROR(INDEX('Review Items'!$E:$E,MATCH(A369,'Review Items'!$B:$B,0)),IFERROR(INDEX('Rule Updates'!$C:$C,MATCH(A369,'Rule Updates'!$A:$A,0)),"Review"))</f>
        <v/>
      </c>
      <c r="D369" s="10">
        <f>COUNTIF('Amex Transactions'!$C:$C,A369)</f>
        <v/>
      </c>
      <c r="E369" s="10">
        <f>SUMIFS('Amex Transactions'!$G:$G,'Amex Transactions'!$C:$C,A369,'Amex Transactions'!$G:$G,"&gt;0")</f>
        <v/>
      </c>
      <c r="F369" s="11" t="n">
        <v>46065</v>
      </c>
      <c r="G369" s="10">
        <f>IF(COUNTIFS('Amex Transactions'!$C:$C,A369,'Amex Transactions'!$I:$I,"Check")&gt;0,"Check","")</f>
        <v/>
      </c>
    </row>
    <row r="370">
      <c r="A370" s="10" t="inlineStr">
        <is>
          <t>YUKIMURO SENNEN KOU JIYA NIGATA</t>
        </is>
      </c>
      <c r="B370" s="10">
        <f>IFERROR(INDEX('Review Items'!$D:$D,MATCH(A370,'Review Items'!$B:$B,0)),IFERROR(INDEX('Rule Updates'!$B:$B,MATCH(A370,'Rule Updates'!$A:$A,0)),"Uncategorised"))</f>
        <v/>
      </c>
      <c r="C370" s="10">
        <f>IFERROR(INDEX('Review Items'!$E:$E,MATCH(A370,'Review Items'!$B:$B,0)),IFERROR(INDEX('Rule Updates'!$C:$C,MATCH(A370,'Rule Updates'!$A:$A,0)),"Review"))</f>
        <v/>
      </c>
      <c r="D370" s="10">
        <f>COUNTIF('Amex Transactions'!$C:$C,A370)</f>
        <v/>
      </c>
      <c r="E370" s="10">
        <f>SUMIFS('Amex Transactions'!$G:$G,'Amex Transactions'!$C:$C,A370,'Amex Transactions'!$G:$G,"&gt;0")</f>
        <v/>
      </c>
      <c r="F370" s="11" t="n">
        <v>45981</v>
      </c>
      <c r="G370" s="10">
        <f>IF(COUNTIFS('Amex Transactions'!$C:$C,A370,'Amex Transactions'!$I:$I,"Check")&gt;0,"Check","")</f>
        <v/>
      </c>
    </row>
    <row r="371">
      <c r="A371" s="10" t="inlineStr">
        <is>
          <t>LANE CRAWFORD (TIMES SQ CAUSEWAY BAY</t>
        </is>
      </c>
      <c r="B371" s="10">
        <f>IFERROR(INDEX('Review Items'!$D:$D,MATCH(A371,'Review Items'!$B:$B,0)),IFERROR(INDEX('Rule Updates'!$B:$B,MATCH(A371,'Rule Updates'!$A:$A,0)),"Uncategorised"))</f>
        <v/>
      </c>
      <c r="C371" s="10">
        <f>IFERROR(INDEX('Review Items'!$E:$E,MATCH(A371,'Review Items'!$B:$B,0)),IFERROR(INDEX('Rule Updates'!$C:$C,MATCH(A371,'Rule Updates'!$A:$A,0)),"Review"))</f>
        <v/>
      </c>
      <c r="D371" s="10">
        <f>COUNTIF('Amex Transactions'!$C:$C,A371)</f>
        <v/>
      </c>
      <c r="E371" s="10">
        <f>SUMIFS('Amex Transactions'!$G:$G,'Amex Transactions'!$C:$C,A371,'Amex Transactions'!$G:$G,"&gt;0")</f>
        <v/>
      </c>
      <c r="F371" s="11" t="n">
        <v>45587</v>
      </c>
      <c r="G371" s="10">
        <f>IF(COUNTIFS('Amex Transactions'!$C:$C,A371,'Amex Transactions'!$I:$I,"Check")&gt;0,"Check","")</f>
        <v/>
      </c>
    </row>
    <row r="372">
      <c r="A372" s="10" t="inlineStr">
        <is>
          <t>SKITTLE LANEC ir c u l a r Qu ay</t>
        </is>
      </c>
      <c r="B372" s="10">
        <f>IFERROR(INDEX('Review Items'!$D:$D,MATCH(A372,'Review Items'!$B:$B,0)),IFERROR(INDEX('Rule Updates'!$B:$B,MATCH(A372,'Rule Updates'!$A:$A,0)),"Uncategorised"))</f>
        <v/>
      </c>
      <c r="C372" s="10">
        <f>IFERROR(INDEX('Review Items'!$E:$E,MATCH(A372,'Review Items'!$B:$B,0)),IFERROR(INDEX('Rule Updates'!$C:$C,MATCH(A372,'Rule Updates'!$A:$A,0)),"Review"))</f>
        <v/>
      </c>
      <c r="D372" s="10">
        <f>COUNTIF('Amex Transactions'!$C:$C,A372)</f>
        <v/>
      </c>
      <c r="E372" s="10">
        <f>SUMIFS('Amex Transactions'!$G:$G,'Amex Transactions'!$C:$C,A372,'Amex Transactions'!$G:$G,"&gt;0")</f>
        <v/>
      </c>
      <c r="F372" s="11" t="n">
        <v>46013</v>
      </c>
      <c r="G372" s="10">
        <f>IF(COUNTIFS('Amex Transactions'!$C:$C,A372,'Amex Transactions'!$I:$I,"Check")&gt;0,"Check","")</f>
        <v/>
      </c>
    </row>
    <row r="373">
      <c r="A373" s="10" t="inlineStr">
        <is>
          <t>EADES OF BATH BATH</t>
        </is>
      </c>
      <c r="B373" s="10">
        <f>IFERROR(INDEX('Review Items'!$D:$D,MATCH(A373,'Review Items'!$B:$B,0)),IFERROR(INDEX('Rule Updates'!$B:$B,MATCH(A373,'Rule Updates'!$A:$A,0)),"Uncategorised"))</f>
        <v/>
      </c>
      <c r="C373" s="10">
        <f>IFERROR(INDEX('Review Items'!$E:$E,MATCH(A373,'Review Items'!$B:$B,0)),IFERROR(INDEX('Rule Updates'!$C:$C,MATCH(A373,'Rule Updates'!$A:$A,0)),"Review"))</f>
        <v/>
      </c>
      <c r="D373" s="10">
        <f>COUNTIF('Amex Transactions'!$C:$C,A373)</f>
        <v/>
      </c>
      <c r="E373" s="10">
        <f>SUMIFS('Amex Transactions'!$G:$G,'Amex Transactions'!$C:$C,A373,'Amex Transactions'!$G:$G,"&gt;0")</f>
        <v/>
      </c>
      <c r="F373" s="11" t="n">
        <v>45634</v>
      </c>
      <c r="G373" s="10">
        <f>IF(COUNTIFS('Amex Transactions'!$C:$C,A373,'Amex Transactions'!$I:$I,"Check")&gt;0,"Check","")</f>
        <v/>
      </c>
    </row>
    <row r="374">
      <c r="A374" s="10" t="inlineStr">
        <is>
          <t>Rhythm Niseko Setsu meng t ian j u n</t>
        </is>
      </c>
      <c r="B374" s="10">
        <f>IFERROR(INDEX('Review Items'!$D:$D,MATCH(A374,'Review Items'!$B:$B,0)),IFERROR(INDEX('Rule Updates'!$B:$B,MATCH(A374,'Rule Updates'!$A:$A,0)),"Uncategorised"))</f>
        <v/>
      </c>
      <c r="C374" s="10">
        <f>IFERROR(INDEX('Review Items'!$E:$E,MATCH(A374,'Review Items'!$B:$B,0)),IFERROR(INDEX('Rule Updates'!$C:$C,MATCH(A374,'Rule Updates'!$A:$A,0)),"Review"))</f>
        <v/>
      </c>
      <c r="D374" s="10">
        <f>COUNTIF('Amex Transactions'!$C:$C,A374)</f>
        <v/>
      </c>
      <c r="E374" s="10">
        <f>SUMIFS('Amex Transactions'!$G:$G,'Amex Transactions'!$C:$C,A374,'Amex Transactions'!$G:$G,"&gt;0")</f>
        <v/>
      </c>
      <c r="F374" s="11" t="n">
        <v>46086</v>
      </c>
      <c r="G374" s="10">
        <f>IF(COUNTIFS('Amex Transactions'!$C:$C,A374,'Amex Transactions'!$I:$I,"Check")&gt;0,"Check","")</f>
        <v/>
      </c>
    </row>
    <row r="375">
      <c r="A375" s="10" t="inlineStr">
        <is>
          <t>SP FRANKIES BKINIS-LEAP CHICAGO</t>
        </is>
      </c>
      <c r="B375" s="10">
        <f>IFERROR(INDEX('Review Items'!$D:$D,MATCH(A375,'Review Items'!$B:$B,0)),IFERROR(INDEX('Rule Updates'!$B:$B,MATCH(A375,'Rule Updates'!$A:$A,0)),"Uncategorised"))</f>
        <v/>
      </c>
      <c r="C375" s="10">
        <f>IFERROR(INDEX('Review Items'!$E:$E,MATCH(A375,'Review Items'!$B:$B,0)),IFERROR(INDEX('Rule Updates'!$C:$C,MATCH(A375,'Rule Updates'!$A:$A,0)),"Review"))</f>
        <v/>
      </c>
      <c r="D375" s="10">
        <f>COUNTIF('Amex Transactions'!$C:$C,A375)</f>
        <v/>
      </c>
      <c r="E375" s="10">
        <f>SUMIFS('Amex Transactions'!$G:$G,'Amex Transactions'!$C:$C,A375,'Amex Transactions'!$G:$G,"&gt;0")</f>
        <v/>
      </c>
      <c r="F375" s="11" t="n">
        <v>45946</v>
      </c>
      <c r="G375" s="10">
        <f>IF(COUNTIFS('Amex Transactions'!$C:$C,A375,'Amex Transactions'!$I:$I,"Check")&gt;0,"Check","")</f>
        <v/>
      </c>
    </row>
    <row r="376">
      <c r="A376" s="10" t="inlineStr">
        <is>
          <t>LANE CRAW FORD ( I F C ) CENTRAL</t>
        </is>
      </c>
      <c r="B376" s="10">
        <f>IFERROR(INDEX('Review Items'!$D:$D,MATCH(A376,'Review Items'!$B:$B,0)),IFERROR(INDEX('Rule Updates'!$B:$B,MATCH(A376,'Rule Updates'!$A:$A,0)),"Uncategorised"))</f>
        <v/>
      </c>
      <c r="C376" s="10">
        <f>IFERROR(INDEX('Review Items'!$E:$E,MATCH(A376,'Review Items'!$B:$B,0)),IFERROR(INDEX('Rule Updates'!$C:$C,MATCH(A376,'Rule Updates'!$A:$A,0)),"Review"))</f>
        <v/>
      </c>
      <c r="D376" s="10">
        <f>COUNTIF('Amex Transactions'!$C:$C,A376)</f>
        <v/>
      </c>
      <c r="E376" s="10">
        <f>SUMIFS('Amex Transactions'!$G:$G,'Amex Transactions'!$C:$C,A376,'Amex Transactions'!$G:$G,"&gt;0")</f>
        <v/>
      </c>
      <c r="F376" s="11" t="n">
        <v>45962</v>
      </c>
      <c r="G376" s="10">
        <f>IF(COUNTIFS('Amex Transactions'!$C:$C,A376,'Amex Transactions'!$I:$I,"Check")&gt;0,"Check","")</f>
        <v/>
      </c>
    </row>
    <row r="377">
      <c r="A377" s="10" t="inlineStr">
        <is>
          <t>NOVOTEL CENTURY HK HOTE WANCHAI</t>
        </is>
      </c>
      <c r="B377" s="10">
        <f>IFERROR(INDEX('Review Items'!$D:$D,MATCH(A377,'Review Items'!$B:$B,0)),IFERROR(INDEX('Rule Updates'!$B:$B,MATCH(A377,'Rule Updates'!$A:$A,0)),"Uncategorised"))</f>
        <v/>
      </c>
      <c r="C377" s="10">
        <f>IFERROR(INDEX('Review Items'!$E:$E,MATCH(A377,'Review Items'!$B:$B,0)),IFERROR(INDEX('Rule Updates'!$C:$C,MATCH(A377,'Rule Updates'!$A:$A,0)),"Review"))</f>
        <v/>
      </c>
      <c r="D377" s="10">
        <f>COUNTIF('Amex Transactions'!$C:$C,A377)</f>
        <v/>
      </c>
      <c r="E377" s="10">
        <f>SUMIFS('Amex Transactions'!$G:$G,'Amex Transactions'!$C:$C,A377,'Amex Transactions'!$G:$G,"&gt;0")</f>
        <v/>
      </c>
      <c r="F377" s="11" t="n">
        <v>46090</v>
      </c>
      <c r="G377" s="10">
        <f>IF(COUNTIFS('Amex Transactions'!$C:$C,A377,'Amex Transactions'!$I:$I,"Check")&gt;0,"Check","")</f>
        <v/>
      </c>
    </row>
    <row r="378">
      <c r="A378" s="10" t="inlineStr">
        <is>
          <t>AESOP PADDINGTON MEL BOURNE</t>
        </is>
      </c>
      <c r="B378" s="10">
        <f>IFERROR(INDEX('Review Items'!$D:$D,MATCH(A378,'Review Items'!$B:$B,0)),IFERROR(INDEX('Rule Updates'!$B:$B,MATCH(A378,'Rule Updates'!$A:$A,0)),"Uncategorised"))</f>
        <v/>
      </c>
      <c r="C378" s="10">
        <f>IFERROR(INDEX('Review Items'!$E:$E,MATCH(A378,'Review Items'!$B:$B,0)),IFERROR(INDEX('Rule Updates'!$C:$C,MATCH(A378,'Rule Updates'!$A:$A,0)),"Review"))</f>
        <v/>
      </c>
      <c r="D378" s="10">
        <f>COUNTIF('Amex Transactions'!$C:$C,A378)</f>
        <v/>
      </c>
      <c r="E378" s="10">
        <f>SUMIFS('Amex Transactions'!$G:$G,'Amex Transactions'!$C:$C,A378,'Amex Transactions'!$G:$G,"&gt;0")</f>
        <v/>
      </c>
      <c r="F378" s="11" t="n">
        <v>46011</v>
      </c>
      <c r="G378" s="10">
        <f>IF(COUNTIFS('Amex Transactions'!$C:$C,A378,'Amex Transactions'!$I:$I,"Check")&gt;0,"Check","")</f>
        <v/>
      </c>
    </row>
    <row r="379">
      <c r="A379" s="10" t="inlineStr">
        <is>
          <t>BBMSL*ASOCIETY GROUP LHK</t>
        </is>
      </c>
      <c r="B379" s="10">
        <f>IFERROR(INDEX('Review Items'!$D:$D,MATCH(A379,'Review Items'!$B:$B,0)),IFERROR(INDEX('Rule Updates'!$B:$B,MATCH(A379,'Rule Updates'!$A:$A,0)),"Uncategorised"))</f>
        <v/>
      </c>
      <c r="C379" s="10">
        <f>IFERROR(INDEX('Review Items'!$E:$E,MATCH(A379,'Review Items'!$B:$B,0)),IFERROR(INDEX('Rule Updates'!$C:$C,MATCH(A379,'Rule Updates'!$A:$A,0)),"Review"))</f>
        <v/>
      </c>
      <c r="D379" s="10">
        <f>COUNTIF('Amex Transactions'!$C:$C,A379)</f>
        <v/>
      </c>
      <c r="E379" s="10">
        <f>SUMIFS('Amex Transactions'!$G:$G,'Amex Transactions'!$C:$C,A379,'Amex Transactions'!$G:$G,"&gt;0")</f>
        <v/>
      </c>
      <c r="F379" s="11" t="n">
        <v>45785</v>
      </c>
      <c r="G379" s="10">
        <f>IF(COUNTIFS('Amex Transactions'!$C:$C,A379,'Amex Transactions'!$I:$I,"Check")&gt;0,"Check","")</f>
        <v/>
      </c>
    </row>
    <row r="380">
      <c r="A380" s="10" t="inlineStr">
        <is>
          <t>TST-KOYA - SOHO LONDON</t>
        </is>
      </c>
      <c r="B380" s="10">
        <f>IFERROR(INDEX('Review Items'!$D:$D,MATCH(A380,'Review Items'!$B:$B,0)),IFERROR(INDEX('Rule Updates'!$B:$B,MATCH(A380,'Rule Updates'!$A:$A,0)),"Uncategorised"))</f>
        <v/>
      </c>
      <c r="C380" s="10">
        <f>IFERROR(INDEX('Review Items'!$E:$E,MATCH(A380,'Review Items'!$B:$B,0)),IFERROR(INDEX('Rule Updates'!$C:$C,MATCH(A380,'Rule Updates'!$A:$A,0)),"Review"))</f>
        <v/>
      </c>
      <c r="D380" s="10">
        <f>COUNTIF('Amex Transactions'!$C:$C,A380)</f>
        <v/>
      </c>
      <c r="E380" s="10">
        <f>SUMIFS('Amex Transactions'!$G:$G,'Amex Transactions'!$C:$C,A380,'Amex Transactions'!$G:$G,"&gt;0")</f>
        <v/>
      </c>
      <c r="F380" s="11" t="n">
        <v>45839</v>
      </c>
      <c r="G380" s="10">
        <f>IF(COUNTIFS('Amex Transactions'!$C:$C,A380,'Amex Transactions'!$I:$I,"Check")&gt;0,"Check","")</f>
        <v/>
      </c>
    </row>
    <row r="381">
      <c r="A381" s="10" t="inlineStr">
        <is>
          <t>JIHOSYDNEY SYDNEY</t>
        </is>
      </c>
      <c r="B381" s="10">
        <f>IFERROR(INDEX('Review Items'!$D:$D,MATCH(A381,'Review Items'!$B:$B,0)),IFERROR(INDEX('Rule Updates'!$B:$B,MATCH(A381,'Rule Updates'!$A:$A,0)),"Uncategorised"))</f>
        <v/>
      </c>
      <c r="C381" s="10">
        <f>IFERROR(INDEX('Review Items'!$E:$E,MATCH(A381,'Review Items'!$B:$B,0)),IFERROR(INDEX('Rule Updates'!$C:$C,MATCH(A381,'Rule Updates'!$A:$A,0)),"Review"))</f>
        <v/>
      </c>
      <c r="D381" s="10">
        <f>COUNTIF('Amex Transactions'!$C:$C,A381)</f>
        <v/>
      </c>
      <c r="E381" s="10">
        <f>SUMIFS('Amex Transactions'!$G:$G,'Amex Transactions'!$C:$C,A381,'Amex Transactions'!$G:$G,"&gt;0")</f>
        <v/>
      </c>
      <c r="F381" s="11" t="n">
        <v>46016</v>
      </c>
      <c r="G381" s="10">
        <f>IF(COUNTIFS('Amex Transactions'!$C:$C,A381,'Amex Transactions'!$I:$I,"Check")&gt;0,"Check","")</f>
        <v/>
      </c>
    </row>
    <row r="382">
      <c r="A382" s="10" t="inlineStr">
        <is>
          <t>SHANGHAI FOOD LIMITED CENTRAL</t>
        </is>
      </c>
      <c r="B382" s="10">
        <f>IFERROR(INDEX('Review Items'!$D:$D,MATCH(A382,'Review Items'!$B:$B,0)),IFERROR(INDEX('Rule Updates'!$B:$B,MATCH(A382,'Rule Updates'!$A:$A,0)),"Uncategorised"))</f>
        <v/>
      </c>
      <c r="C382" s="10">
        <f>IFERROR(INDEX('Review Items'!$E:$E,MATCH(A382,'Review Items'!$B:$B,0)),IFERROR(INDEX('Rule Updates'!$C:$C,MATCH(A382,'Rule Updates'!$A:$A,0)),"Review"))</f>
        <v/>
      </c>
      <c r="D382" s="10">
        <f>COUNTIF('Amex Transactions'!$C:$C,A382)</f>
        <v/>
      </c>
      <c r="E382" s="10">
        <f>SUMIFS('Amex Transactions'!$G:$G,'Amex Transactions'!$C:$C,A382,'Amex Transactions'!$G:$G,"&gt;0")</f>
        <v/>
      </c>
      <c r="F382" s="11" t="n">
        <v>45681</v>
      </c>
      <c r="G382" s="10">
        <f>IF(COUNTIFS('Amex Transactions'!$C:$C,A382,'Amex Transactions'!$I:$I,"Check")&gt;0,"Check","")</f>
        <v/>
      </c>
    </row>
    <row r="383">
      <c r="A383" s="10" t="inlineStr">
        <is>
          <t>G 7 QADMIRALTY</t>
        </is>
      </c>
      <c r="B383" s="10">
        <f>IFERROR(INDEX('Review Items'!$D:$D,MATCH(A383,'Review Items'!$B:$B,0)),IFERROR(INDEX('Rule Updates'!$B:$B,MATCH(A383,'Rule Updates'!$A:$A,0)),"Uncategorised"))</f>
        <v/>
      </c>
      <c r="C383" s="10">
        <f>IFERROR(INDEX('Review Items'!$E:$E,MATCH(A383,'Review Items'!$B:$B,0)),IFERROR(INDEX('Rule Updates'!$C:$C,MATCH(A383,'Rule Updates'!$A:$A,0)),"Review"))</f>
        <v/>
      </c>
      <c r="D383" s="10">
        <f>COUNTIF('Amex Transactions'!$C:$C,A383)</f>
        <v/>
      </c>
      <c r="E383" s="10">
        <f>SUMIFS('Amex Transactions'!$G:$G,'Amex Transactions'!$C:$C,A383,'Amex Transactions'!$G:$G,"&gt;0")</f>
        <v/>
      </c>
      <c r="F383" s="11" t="n">
        <v>45909</v>
      </c>
      <c r="G383" s="10">
        <f>IF(COUNTIFS('Amex Transactions'!$C:$C,A383,'Amex Transactions'!$I:$I,"Check")&gt;0,"Check","")</f>
        <v/>
      </c>
    </row>
    <row r="384">
      <c r="A384" s="10" t="inlineStr">
        <is>
          <t>SI MON JOHNSON WOOL WOOLLAHRA</t>
        </is>
      </c>
      <c r="B384" s="10">
        <f>IFERROR(INDEX('Review Items'!$D:$D,MATCH(A384,'Review Items'!$B:$B,0)),IFERROR(INDEX('Rule Updates'!$B:$B,MATCH(A384,'Rule Updates'!$A:$A,0)),"Uncategorised"))</f>
        <v/>
      </c>
      <c r="C384" s="10">
        <f>IFERROR(INDEX('Review Items'!$E:$E,MATCH(A384,'Review Items'!$B:$B,0)),IFERROR(INDEX('Rule Updates'!$C:$C,MATCH(A384,'Rule Updates'!$A:$A,0)),"Review"))</f>
        <v/>
      </c>
      <c r="D384" s="10">
        <f>COUNTIF('Amex Transactions'!$C:$C,A384)</f>
        <v/>
      </c>
      <c r="E384" s="10">
        <f>SUMIFS('Amex Transactions'!$G:$G,'Amex Transactions'!$C:$C,A384,'Amex Transactions'!$G:$G,"&gt;0")</f>
        <v/>
      </c>
      <c r="F384" s="11" t="n">
        <v>46014</v>
      </c>
      <c r="G384" s="10">
        <f>IF(COUNTIFS('Amex Transactions'!$C:$C,A384,'Amex Transactions'!$I:$I,"Check")&gt;0,"Check","")</f>
        <v/>
      </c>
    </row>
    <row r="385">
      <c r="A385" s="10" t="inlineStr">
        <is>
          <t>SILVER RAY LONDON</t>
        </is>
      </c>
      <c r="B385" s="10">
        <f>IFERROR(INDEX('Review Items'!$D:$D,MATCH(A385,'Review Items'!$B:$B,0)),IFERROR(INDEX('Rule Updates'!$B:$B,MATCH(A385,'Rule Updates'!$A:$A,0)),"Uncategorised"))</f>
        <v/>
      </c>
      <c r="C385" s="10">
        <f>IFERROR(INDEX('Review Items'!$E:$E,MATCH(A385,'Review Items'!$B:$B,0)),IFERROR(INDEX('Rule Updates'!$C:$C,MATCH(A385,'Rule Updates'!$A:$A,0)),"Review"))</f>
        <v/>
      </c>
      <c r="D385" s="10">
        <f>COUNTIF('Amex Transactions'!$C:$C,A385)</f>
        <v/>
      </c>
      <c r="E385" s="10">
        <f>SUMIFS('Amex Transactions'!$G:$G,'Amex Transactions'!$C:$C,A385,'Amex Transactions'!$G:$G,"&gt;0")</f>
        <v/>
      </c>
      <c r="F385" s="11" t="n">
        <v>45630</v>
      </c>
      <c r="G385" s="10">
        <f>IF(COUNTIFS('Amex Transactions'!$C:$C,A385,'Amex Transactions'!$I:$I,"Check")&gt;0,"Check","")</f>
        <v/>
      </c>
    </row>
    <row r="386">
      <c r="A386" s="10" t="inlineStr">
        <is>
          <t>SP OSTRICHPILLOW MADRID</t>
        </is>
      </c>
      <c r="B386" s="10">
        <f>IFERROR(INDEX('Review Items'!$D:$D,MATCH(A386,'Review Items'!$B:$B,0)),IFERROR(INDEX('Rule Updates'!$B:$B,MATCH(A386,'Rule Updates'!$A:$A,0)),"Uncategorised"))</f>
        <v/>
      </c>
      <c r="C386" s="10">
        <f>IFERROR(INDEX('Review Items'!$E:$E,MATCH(A386,'Review Items'!$B:$B,0)),IFERROR(INDEX('Rule Updates'!$C:$C,MATCH(A386,'Rule Updates'!$A:$A,0)),"Review"))</f>
        <v/>
      </c>
      <c r="D386" s="10">
        <f>COUNTIF('Amex Transactions'!$C:$C,A386)</f>
        <v/>
      </c>
      <c r="E386" s="10">
        <f>SUMIFS('Amex Transactions'!$G:$G,'Amex Transactions'!$C:$C,A386,'Amex Transactions'!$G:$G,"&gt;0")</f>
        <v/>
      </c>
      <c r="F386" s="11" t="n">
        <v>45832</v>
      </c>
      <c r="G386" s="10">
        <f>IF(COUNTIFS('Amex Transactions'!$C:$C,A386,'Amex Transactions'!$I:$I,"Check")&gt;0,"Check","")</f>
        <v/>
      </c>
    </row>
    <row r="387">
      <c r="A387" s="10" t="inlineStr">
        <is>
          <t>SENSO WOOCO MM ERCES u rr y H ills</t>
        </is>
      </c>
      <c r="B387" s="10">
        <f>IFERROR(INDEX('Review Items'!$D:$D,MATCH(A387,'Review Items'!$B:$B,0)),IFERROR(INDEX('Rule Updates'!$B:$B,MATCH(A387,'Rule Updates'!$A:$A,0)),"Uncategorised"))</f>
        <v/>
      </c>
      <c r="C387" s="10">
        <f>IFERROR(INDEX('Review Items'!$E:$E,MATCH(A387,'Review Items'!$B:$B,0)),IFERROR(INDEX('Rule Updates'!$C:$C,MATCH(A387,'Rule Updates'!$A:$A,0)),"Review"))</f>
        <v/>
      </c>
      <c r="D387" s="10">
        <f>COUNTIF('Amex Transactions'!$C:$C,A387)</f>
        <v/>
      </c>
      <c r="E387" s="10">
        <f>SUMIFS('Amex Transactions'!$G:$G,'Amex Transactions'!$C:$C,A387,'Amex Transactions'!$G:$G,"&gt;0")</f>
        <v/>
      </c>
      <c r="F387" s="11" t="n">
        <v>46011</v>
      </c>
      <c r="G387" s="10">
        <f>IF(COUNTIFS('Amex Transactions'!$C:$C,A387,'Amex Transactions'!$I:$I,"Check")&gt;0,"Check","")</f>
        <v/>
      </c>
    </row>
    <row r="388">
      <c r="A388" s="10" t="inlineStr">
        <is>
          <t>KPAY * MAISON KARYA 00000 HONG KONG</t>
        </is>
      </c>
      <c r="B388" s="10">
        <f>IFERROR(INDEX('Review Items'!$D:$D,MATCH(A388,'Review Items'!$B:$B,0)),IFERROR(INDEX('Rule Updates'!$B:$B,MATCH(A388,'Rule Updates'!$A:$A,0)),"Uncategorised"))</f>
        <v/>
      </c>
      <c r="C388" s="10">
        <f>IFERROR(INDEX('Review Items'!$E:$E,MATCH(A388,'Review Items'!$B:$B,0)),IFERROR(INDEX('Rule Updates'!$C:$C,MATCH(A388,'Rule Updates'!$A:$A,0)),"Review"))</f>
        <v/>
      </c>
      <c r="D388" s="10">
        <f>COUNTIF('Amex Transactions'!$C:$C,A388)</f>
        <v/>
      </c>
      <c r="E388" s="10">
        <f>SUMIFS('Amex Transactions'!$G:$G,'Amex Transactions'!$C:$C,A388,'Amex Transactions'!$G:$G,"&gt;0")</f>
        <v/>
      </c>
      <c r="F388" s="11" t="n">
        <v>46104</v>
      </c>
      <c r="G388" s="10">
        <f>IF(COUNTIFS('Amex Transactions'!$C:$C,A388,'Amex Transactions'!$I:$I,"Check")&gt;0,"Check","")</f>
        <v/>
      </c>
    </row>
    <row r="389">
      <c r="A389" s="10" t="inlineStr">
        <is>
          <t>SHOPBOP.COM 877-746-7267</t>
        </is>
      </c>
      <c r="B389" s="10">
        <f>IFERROR(INDEX('Review Items'!$D:$D,MATCH(A389,'Review Items'!$B:$B,0)),IFERROR(INDEX('Rule Updates'!$B:$B,MATCH(A389,'Rule Updates'!$A:$A,0)),"Uncategorised"))</f>
        <v/>
      </c>
      <c r="C389" s="10">
        <f>IFERROR(INDEX('Review Items'!$E:$E,MATCH(A389,'Review Items'!$B:$B,0)),IFERROR(INDEX('Rule Updates'!$C:$C,MATCH(A389,'Rule Updates'!$A:$A,0)),"Review"))</f>
        <v/>
      </c>
      <c r="D389" s="10">
        <f>COUNTIF('Amex Transactions'!$C:$C,A389)</f>
        <v/>
      </c>
      <c r="E389" s="10">
        <f>SUMIFS('Amex Transactions'!$G:$G,'Amex Transactions'!$C:$C,A389,'Amex Transactions'!$G:$G,"&gt;0")</f>
        <v/>
      </c>
      <c r="F389" s="11" t="n">
        <v>45645</v>
      </c>
      <c r="G389" s="10">
        <f>IF(COUNTIFS('Amex Transactions'!$C:$C,A389,'Amex Transactions'!$I:$I,"Check")&gt;0,"Check","")</f>
        <v/>
      </c>
    </row>
    <row r="390">
      <c r="A390" s="10" t="inlineStr">
        <is>
          <t>LULULEMON HK LIMITED WANCHAI</t>
        </is>
      </c>
      <c r="B390" s="10">
        <f>IFERROR(INDEX('Review Items'!$D:$D,MATCH(A390,'Review Items'!$B:$B,0)),IFERROR(INDEX('Rule Updates'!$B:$B,MATCH(A390,'Rule Updates'!$A:$A,0)),"Uncategorised"))</f>
        <v/>
      </c>
      <c r="C390" s="10">
        <f>IFERROR(INDEX('Review Items'!$E:$E,MATCH(A390,'Review Items'!$B:$B,0)),IFERROR(INDEX('Rule Updates'!$C:$C,MATCH(A390,'Rule Updates'!$A:$A,0)),"Review"))</f>
        <v/>
      </c>
      <c r="D390" s="10">
        <f>COUNTIF('Amex Transactions'!$C:$C,A390)</f>
        <v/>
      </c>
      <c r="E390" s="10">
        <f>SUMIFS('Amex Transactions'!$G:$G,'Amex Transactions'!$C:$C,A390,'Amex Transactions'!$G:$G,"&gt;0")</f>
        <v/>
      </c>
      <c r="F390" s="11" t="n">
        <v>45964</v>
      </c>
      <c r="G390" s="10">
        <f>IF(COUNTIFS('Amex Transactions'!$C:$C,A390,'Amex Transactions'!$I:$I,"Check")&gt;0,"Check","")</f>
        <v/>
      </c>
    </row>
    <row r="391">
      <c r="A391" s="10" t="inlineStr">
        <is>
          <t>THE DAIRY FARM MANNINGSK WUN TONG</t>
        </is>
      </c>
      <c r="B391" s="10">
        <f>IFERROR(INDEX('Review Items'!$D:$D,MATCH(A391,'Review Items'!$B:$B,0)),IFERROR(INDEX('Rule Updates'!$B:$B,MATCH(A391,'Rule Updates'!$A:$A,0)),"Uncategorised"))</f>
        <v/>
      </c>
      <c r="C391" s="10">
        <f>IFERROR(INDEX('Review Items'!$E:$E,MATCH(A391,'Review Items'!$B:$B,0)),IFERROR(INDEX('Rule Updates'!$C:$C,MATCH(A391,'Rule Updates'!$A:$A,0)),"Review"))</f>
        <v/>
      </c>
      <c r="D391" s="10">
        <f>COUNTIF('Amex Transactions'!$C:$C,A391)</f>
        <v/>
      </c>
      <c r="E391" s="10">
        <f>SUMIFS('Amex Transactions'!$G:$G,'Amex Transactions'!$C:$C,A391,'Amex Transactions'!$G:$G,"&gt;0")</f>
        <v/>
      </c>
      <c r="F391" s="11" t="n">
        <v>46008</v>
      </c>
      <c r="G391" s="10">
        <f>IF(COUNTIFS('Amex Transactions'!$C:$C,A391,'Amex Transactions'!$I:$I,"Check")&gt;0,"Check","")</f>
        <v/>
      </c>
    </row>
    <row r="392">
      <c r="A392" s="10" t="inlineStr">
        <is>
          <t>SP ST. ALI SOUTH MELBOURNE</t>
        </is>
      </c>
      <c r="B392" s="10">
        <f>IFERROR(INDEX('Review Items'!$D:$D,MATCH(A392,'Review Items'!$B:$B,0)),IFERROR(INDEX('Rule Updates'!$B:$B,MATCH(A392,'Rule Updates'!$A:$A,0)),"Uncategorised"))</f>
        <v/>
      </c>
      <c r="C392" s="10">
        <f>IFERROR(INDEX('Review Items'!$E:$E,MATCH(A392,'Review Items'!$B:$B,0)),IFERROR(INDEX('Rule Updates'!$C:$C,MATCH(A392,'Rule Updates'!$A:$A,0)),"Review"))</f>
        <v/>
      </c>
      <c r="D392" s="10">
        <f>COUNTIF('Amex Transactions'!$C:$C,A392)</f>
        <v/>
      </c>
      <c r="E392" s="10">
        <f>SUMIFS('Amex Transactions'!$G:$G,'Amex Transactions'!$C:$C,A392,'Amex Transactions'!$G:$G,"&gt;0")</f>
        <v/>
      </c>
      <c r="F392" s="11" t="n">
        <v>45653</v>
      </c>
      <c r="G392" s="10">
        <f>IF(COUNTIFS('Amex Transactions'!$C:$C,A392,'Amex Transactions'!$I:$I,"Check")&gt;0,"Check","")</f>
        <v/>
      </c>
    </row>
    <row r="393">
      <c r="A393" s="10" t="inlineStr">
        <is>
          <t>DAND DEPARTMENT KYOTO KYOTO</t>
        </is>
      </c>
      <c r="B393" s="10">
        <f>IFERROR(INDEX('Review Items'!$D:$D,MATCH(A393,'Review Items'!$B:$B,0)),IFERROR(INDEX('Rule Updates'!$B:$B,MATCH(A393,'Rule Updates'!$A:$A,0)),"Uncategorised"))</f>
        <v/>
      </c>
      <c r="C393" s="10">
        <f>IFERROR(INDEX('Review Items'!$E:$E,MATCH(A393,'Review Items'!$B:$B,0)),IFERROR(INDEX('Rule Updates'!$C:$C,MATCH(A393,'Rule Updates'!$A:$A,0)),"Review"))</f>
        <v/>
      </c>
      <c r="D393" s="10">
        <f>COUNTIF('Amex Transactions'!$C:$C,A393)</f>
        <v/>
      </c>
      <c r="E393" s="10">
        <f>SUMIFS('Amex Transactions'!$G:$G,'Amex Transactions'!$C:$C,A393,'Amex Transactions'!$G:$G,"&gt;0")</f>
        <v/>
      </c>
      <c r="F393" s="11" t="n">
        <v>45641</v>
      </c>
      <c r="G393" s="10">
        <f>IF(COUNTIFS('Amex Transactions'!$C:$C,A393,'Amex Transactions'!$I:$I,"Check")&gt;0,"Check","")</f>
        <v/>
      </c>
    </row>
    <row r="394">
      <c r="A394" s="10" t="inlineStr">
        <is>
          <t>AMZNMKTPLACE*AF1BP49T5 AMAZON.CO.UK</t>
        </is>
      </c>
      <c r="B394" s="10">
        <f>IFERROR(INDEX('Review Items'!$D:$D,MATCH(A394,'Review Items'!$B:$B,0)),IFERROR(INDEX('Rule Updates'!$B:$B,MATCH(A394,'Rule Updates'!$A:$A,0)),"Uncategorised"))</f>
        <v/>
      </c>
      <c r="C394" s="10">
        <f>IFERROR(INDEX('Review Items'!$E:$E,MATCH(A394,'Review Items'!$B:$B,0)),IFERROR(INDEX('Rule Updates'!$C:$C,MATCH(A394,'Rule Updates'!$A:$A,0)),"Review"))</f>
        <v/>
      </c>
      <c r="D394" s="10">
        <f>COUNTIF('Amex Transactions'!$C:$C,A394)</f>
        <v/>
      </c>
      <c r="E394" s="10">
        <f>SUMIFS('Amex Transactions'!$G:$G,'Amex Transactions'!$C:$C,A394,'Amex Transactions'!$G:$G,"&gt;0")</f>
        <v/>
      </c>
      <c r="F394" s="11" t="n">
        <v>45625</v>
      </c>
      <c r="G394" s="10">
        <f>IF(COUNTIFS('Amex Transactions'!$C:$C,A394,'Amex Transactions'!$I:$I,"Check")&gt;0,"Check","")</f>
        <v/>
      </c>
    </row>
    <row r="395">
      <c r="A395" s="10" t="inlineStr">
        <is>
          <t>M u sinsa Co. , Ltd. M u sin SEOUL</t>
        </is>
      </c>
      <c r="B395" s="10">
        <f>IFERROR(INDEX('Review Items'!$D:$D,MATCH(A395,'Review Items'!$B:$B,0)),IFERROR(INDEX('Rule Updates'!$B:$B,MATCH(A395,'Rule Updates'!$A:$A,0)),"Uncategorised"))</f>
        <v/>
      </c>
      <c r="C395" s="10">
        <f>IFERROR(INDEX('Review Items'!$E:$E,MATCH(A395,'Review Items'!$B:$B,0)),IFERROR(INDEX('Rule Updates'!$C:$C,MATCH(A395,'Rule Updates'!$A:$A,0)),"Review"))</f>
        <v/>
      </c>
      <c r="D395" s="10">
        <f>COUNTIF('Amex Transactions'!$C:$C,A395)</f>
        <v/>
      </c>
      <c r="E395" s="10">
        <f>SUMIFS('Amex Transactions'!$G:$G,'Amex Transactions'!$C:$C,A395,'Amex Transactions'!$G:$G,"&gt;0")</f>
        <v/>
      </c>
      <c r="F395" s="11" t="n">
        <v>45968</v>
      </c>
      <c r="G395" s="10">
        <f>IF(COUNTIFS('Amex Transactions'!$C:$C,A395,'Amex Transactions'!$I:$I,"Check")&gt;0,"Check","")</f>
        <v/>
      </c>
    </row>
    <row r="396">
      <c r="A396" s="10" t="inlineStr">
        <is>
          <t>STOCKXX*14576436151932 PHILADELPHIA</t>
        </is>
      </c>
      <c r="B396" s="10">
        <f>IFERROR(INDEX('Review Items'!$D:$D,MATCH(A396,'Review Items'!$B:$B,0)),IFERROR(INDEX('Rule Updates'!$B:$B,MATCH(A396,'Rule Updates'!$A:$A,0)),"Uncategorised"))</f>
        <v/>
      </c>
      <c r="C396" s="10">
        <f>IFERROR(INDEX('Review Items'!$E:$E,MATCH(A396,'Review Items'!$B:$B,0)),IFERROR(INDEX('Rule Updates'!$C:$C,MATCH(A396,'Rule Updates'!$A:$A,0)),"Review"))</f>
        <v/>
      </c>
      <c r="D396" s="10">
        <f>COUNTIF('Amex Transactions'!$C:$C,A396)</f>
        <v/>
      </c>
      <c r="E396" s="10">
        <f>SUMIFS('Amex Transactions'!$G:$G,'Amex Transactions'!$C:$C,A396,'Amex Transactions'!$G:$G,"&gt;0")</f>
        <v/>
      </c>
      <c r="F396" s="11" t="n">
        <v>45680</v>
      </c>
      <c r="G396" s="10">
        <f>IF(COUNTIFS('Amex Transactions'!$C:$C,A396,'Amex Transactions'!$I:$I,"Check")&gt;0,"Check","")</f>
        <v/>
      </c>
    </row>
    <row r="397">
      <c r="A397" s="10" t="inlineStr">
        <is>
          <t>SUMUP*BIOCOL LABS LISBOA</t>
        </is>
      </c>
      <c r="B397" s="10">
        <f>IFERROR(INDEX('Review Items'!$D:$D,MATCH(A397,'Review Items'!$B:$B,0)),IFERROR(INDEX('Rule Updates'!$B:$B,MATCH(A397,'Rule Updates'!$A:$A,0)),"Uncategorised"))</f>
        <v/>
      </c>
      <c r="C397" s="10">
        <f>IFERROR(INDEX('Review Items'!$E:$E,MATCH(A397,'Review Items'!$B:$B,0)),IFERROR(INDEX('Rule Updates'!$C:$C,MATCH(A397,'Rule Updates'!$A:$A,0)),"Review"))</f>
        <v/>
      </c>
      <c r="D397" s="10">
        <f>COUNTIF('Amex Transactions'!$C:$C,A397)</f>
        <v/>
      </c>
      <c r="E397" s="10">
        <f>SUMIFS('Amex Transactions'!$G:$G,'Amex Transactions'!$C:$C,A397,'Amex Transactions'!$G:$G,"&gt;0")</f>
        <v/>
      </c>
      <c r="F397" s="11" t="n">
        <v>46052</v>
      </c>
      <c r="G397" s="10">
        <f>IF(COUNTIFS('Amex Transactions'!$C:$C,A397,'Amex Transactions'!$I:$I,"Check")&gt;0,"Check","")</f>
        <v/>
      </c>
    </row>
    <row r="398">
      <c r="A398" s="10" t="inlineStr">
        <is>
          <t>KRP * Exim b ay SEOUL</t>
        </is>
      </c>
      <c r="B398" s="10">
        <f>IFERROR(INDEX('Review Items'!$D:$D,MATCH(A398,'Review Items'!$B:$B,0)),IFERROR(INDEX('Rule Updates'!$B:$B,MATCH(A398,'Rule Updates'!$A:$A,0)),"Uncategorised"))</f>
        <v/>
      </c>
      <c r="C398" s="10">
        <f>IFERROR(INDEX('Review Items'!$E:$E,MATCH(A398,'Review Items'!$B:$B,0)),IFERROR(INDEX('Rule Updates'!$C:$C,MATCH(A398,'Rule Updates'!$A:$A,0)),"Review"))</f>
        <v/>
      </c>
      <c r="D398" s="10">
        <f>COUNTIF('Amex Transactions'!$C:$C,A398)</f>
        <v/>
      </c>
      <c r="E398" s="10">
        <f>SUMIFS('Amex Transactions'!$G:$G,'Amex Transactions'!$C:$C,A398,'Amex Transactions'!$G:$G,"&gt;0")</f>
        <v/>
      </c>
      <c r="F398" s="11" t="n">
        <v>45967</v>
      </c>
      <c r="G398" s="10">
        <f>IF(COUNTIFS('Amex Transactions'!$C:$C,A398,'Amex Transactions'!$I:$I,"Check")&gt;0,"Check","")</f>
        <v/>
      </c>
    </row>
    <row r="399">
      <c r="A399" s="10" t="inlineStr">
        <is>
          <t>BEON/ BEONINHAL SEOUL</t>
        </is>
      </c>
      <c r="B399" s="10">
        <f>IFERROR(INDEX('Review Items'!$D:$D,MATCH(A399,'Review Items'!$B:$B,0)),IFERROR(INDEX('Rule Updates'!$B:$B,MATCH(A399,'Rule Updates'!$A:$A,0)),"Uncategorised"))</f>
        <v/>
      </c>
      <c r="C399" s="10">
        <f>IFERROR(INDEX('Review Items'!$E:$E,MATCH(A399,'Review Items'!$B:$B,0)),IFERROR(INDEX('Rule Updates'!$C:$C,MATCH(A399,'Rule Updates'!$A:$A,0)),"Review"))</f>
        <v/>
      </c>
      <c r="D399" s="10">
        <f>COUNTIF('Amex Transactions'!$C:$C,A399)</f>
        <v/>
      </c>
      <c r="E399" s="10">
        <f>SUMIFS('Amex Transactions'!$G:$G,'Amex Transactions'!$C:$C,A399,'Amex Transactions'!$G:$G,"&gt;0")</f>
        <v/>
      </c>
      <c r="F399" s="11" t="n">
        <v>45933</v>
      </c>
      <c r="G399" s="10">
        <f>IF(COUNTIFS('Amex Transactions'!$C:$C,A399,'Amex Transactions'!$I:$I,"Check")&gt;0,"Check","")</f>
        <v/>
      </c>
    </row>
    <row r="400">
      <c r="A400" s="10" t="inlineStr">
        <is>
          <t>SKITTLE LANE Circular Quay</t>
        </is>
      </c>
      <c r="B400" s="10">
        <f>IFERROR(INDEX('Review Items'!$D:$D,MATCH(A400,'Review Items'!$B:$B,0)),IFERROR(INDEX('Rule Updates'!$B:$B,MATCH(A400,'Rule Updates'!$A:$A,0)),"Uncategorised"))</f>
        <v/>
      </c>
      <c r="C400" s="10">
        <f>IFERROR(INDEX('Review Items'!$E:$E,MATCH(A400,'Review Items'!$B:$B,0)),IFERROR(INDEX('Rule Updates'!$C:$C,MATCH(A400,'Rule Updates'!$A:$A,0)),"Review"))</f>
        <v/>
      </c>
      <c r="D400" s="10">
        <f>COUNTIF('Amex Transactions'!$C:$C,A400)</f>
        <v/>
      </c>
      <c r="E400" s="10">
        <f>SUMIFS('Amex Transactions'!$G:$G,'Amex Transactions'!$C:$C,A400,'Amex Transactions'!$G:$G,"&gt;0")</f>
        <v/>
      </c>
      <c r="F400" s="11" t="n">
        <v>45882</v>
      </c>
      <c r="G400" s="10">
        <f>IF(COUNTIFS('Amex Transactions'!$C:$C,A400,'Amex Transactions'!$I:$I,"Check")&gt;0,"Check","")</f>
        <v/>
      </c>
    </row>
    <row r="401">
      <c r="A401" s="10" t="inlineStr">
        <is>
          <t>SP MOMOFUKU PEACHY KNEW YORK</t>
        </is>
      </c>
      <c r="B401" s="10">
        <f>IFERROR(INDEX('Review Items'!$D:$D,MATCH(A401,'Review Items'!$B:$B,0)),IFERROR(INDEX('Rule Updates'!$B:$B,MATCH(A401,'Rule Updates'!$A:$A,0)),"Uncategorised"))</f>
        <v/>
      </c>
      <c r="C401" s="10">
        <f>IFERROR(INDEX('Review Items'!$E:$E,MATCH(A401,'Review Items'!$B:$B,0)),IFERROR(INDEX('Rule Updates'!$C:$C,MATCH(A401,'Rule Updates'!$A:$A,0)),"Review"))</f>
        <v/>
      </c>
      <c r="D401" s="10">
        <f>COUNTIF('Amex Transactions'!$C:$C,A401)</f>
        <v/>
      </c>
      <c r="E401" s="10">
        <f>SUMIFS('Amex Transactions'!$G:$G,'Amex Transactions'!$C:$C,A401,'Amex Transactions'!$G:$G,"&gt;0")</f>
        <v/>
      </c>
      <c r="F401" s="11" t="n">
        <v>45781</v>
      </c>
      <c r="G401" s="10">
        <f>IF(COUNTIFS('Amex Transactions'!$C:$C,A401,'Amex Transactions'!$I:$I,"Check")&gt;0,"Check","")</f>
        <v/>
      </c>
    </row>
    <row r="402">
      <c r="A402" s="10" t="inlineStr">
        <is>
          <t>SIMPLY TOYS ADMIRALTY</t>
        </is>
      </c>
      <c r="B402" s="10">
        <f>IFERROR(INDEX('Review Items'!$D:$D,MATCH(A402,'Review Items'!$B:$B,0)),IFERROR(INDEX('Rule Updates'!$B:$B,MATCH(A402,'Rule Updates'!$A:$A,0)),"Uncategorised"))</f>
        <v/>
      </c>
      <c r="C402" s="10">
        <f>IFERROR(INDEX('Review Items'!$E:$E,MATCH(A402,'Review Items'!$B:$B,0)),IFERROR(INDEX('Rule Updates'!$C:$C,MATCH(A402,'Rule Updates'!$A:$A,0)),"Review"))</f>
        <v/>
      </c>
      <c r="D402" s="10">
        <f>COUNTIF('Amex Transactions'!$C:$C,A402)</f>
        <v/>
      </c>
      <c r="E402" s="10">
        <f>SUMIFS('Amex Transactions'!$G:$G,'Amex Transactions'!$C:$C,A402,'Amex Transactions'!$G:$G,"&gt;0")</f>
        <v/>
      </c>
      <c r="F402" s="11" t="n">
        <v>45875</v>
      </c>
      <c r="G402" s="10">
        <f>IF(COUNTIFS('Amex Transactions'!$C:$C,A402,'Amex Transactions'!$I:$I,"Check")&gt;0,"Check","")</f>
        <v/>
      </c>
    </row>
    <row r="403">
      <c r="A403" s="10" t="inlineStr">
        <is>
          <t>FOOD PANDA 521446 HK</t>
        </is>
      </c>
      <c r="B403" s="10">
        <f>IFERROR(INDEX('Review Items'!$D:$D,MATCH(A403,'Review Items'!$B:$B,0)),IFERROR(INDEX('Rule Updates'!$B:$B,MATCH(A403,'Rule Updates'!$A:$A,0)),"Uncategorised"))</f>
        <v/>
      </c>
      <c r="C403" s="10">
        <f>IFERROR(INDEX('Review Items'!$E:$E,MATCH(A403,'Review Items'!$B:$B,0)),IFERROR(INDEX('Rule Updates'!$C:$C,MATCH(A403,'Rule Updates'!$A:$A,0)),"Review"))</f>
        <v/>
      </c>
      <c r="D403" s="10">
        <f>COUNTIF('Amex Transactions'!$C:$C,A403)</f>
        <v/>
      </c>
      <c r="E403" s="10">
        <f>SUMIFS('Amex Transactions'!$G:$G,'Amex Transactions'!$C:$C,A403,'Amex Transactions'!$G:$G,"&gt;0")</f>
        <v/>
      </c>
      <c r="F403" s="11" t="n">
        <v>45862</v>
      </c>
      <c r="G403" s="10">
        <f>IF(COUNTIFS('Amex Transactions'!$C:$C,A403,'Amex Transactions'!$I:$I,"Check")&gt;0,"Check","")</f>
        <v/>
      </c>
    </row>
    <row r="404">
      <c r="A404" s="10" t="inlineStr">
        <is>
          <t>APPLE STORER 335 R 335 BATH</t>
        </is>
      </c>
      <c r="B404" s="10">
        <f>IFERROR(INDEX('Review Items'!$D:$D,MATCH(A404,'Review Items'!$B:$B,0)),IFERROR(INDEX('Rule Updates'!$B:$B,MATCH(A404,'Rule Updates'!$A:$A,0)),"Uncategorised"))</f>
        <v/>
      </c>
      <c r="C404" s="10">
        <f>IFERROR(INDEX('Review Items'!$E:$E,MATCH(A404,'Review Items'!$B:$B,0)),IFERROR(INDEX('Rule Updates'!$C:$C,MATCH(A404,'Rule Updates'!$A:$A,0)),"Review"))</f>
        <v/>
      </c>
      <c r="D404" s="10">
        <f>COUNTIF('Amex Transactions'!$C:$C,A404)</f>
        <v/>
      </c>
      <c r="E404" s="10">
        <f>SUMIFS('Amex Transactions'!$G:$G,'Amex Transactions'!$C:$C,A404,'Amex Transactions'!$G:$G,"&gt;0")</f>
        <v/>
      </c>
      <c r="F404" s="11" t="n">
        <v>46044</v>
      </c>
      <c r="G404" s="10">
        <f>IF(COUNTIFS('Amex Transactions'!$C:$C,A404,'Amex Transactions'!$I:$I,"Check")&gt;0,"Check","")</f>
        <v/>
      </c>
    </row>
    <row r="405">
      <c r="A405" s="10" t="inlineStr">
        <is>
          <t>ZARA-I F CCENTRAL</t>
        </is>
      </c>
      <c r="B405" s="10">
        <f>IFERROR(INDEX('Review Items'!$D:$D,MATCH(A405,'Review Items'!$B:$B,0)),IFERROR(INDEX('Rule Updates'!$B:$B,MATCH(A405,'Rule Updates'!$A:$A,0)),"Uncategorised"))</f>
        <v/>
      </c>
      <c r="C405" s="10">
        <f>IFERROR(INDEX('Review Items'!$E:$E,MATCH(A405,'Review Items'!$B:$B,0)),IFERROR(INDEX('Rule Updates'!$C:$C,MATCH(A405,'Rule Updates'!$A:$A,0)),"Review"))</f>
        <v/>
      </c>
      <c r="D405" s="10">
        <f>COUNTIF('Amex Transactions'!$C:$C,A405)</f>
        <v/>
      </c>
      <c r="E405" s="10">
        <f>SUMIFS('Amex Transactions'!$G:$G,'Amex Transactions'!$C:$C,A405,'Amex Transactions'!$G:$G,"&gt;0")</f>
        <v/>
      </c>
      <c r="F405" s="11" t="n">
        <v>45962</v>
      </c>
      <c r="G405" s="10">
        <f>IF(COUNTIFS('Amex Transactions'!$C:$C,A405,'Amex Transactions'!$I:$I,"Check")&gt;0,"Check","")</f>
        <v/>
      </c>
    </row>
    <row r="406">
      <c r="A406" s="10" t="inlineStr">
        <is>
          <t>FALCONE CENTRAL</t>
        </is>
      </c>
      <c r="B406" s="10">
        <f>IFERROR(INDEX('Review Items'!$D:$D,MATCH(A406,'Review Items'!$B:$B,0)),IFERROR(INDEX('Rule Updates'!$B:$B,MATCH(A406,'Rule Updates'!$A:$A,0)),"Uncategorised"))</f>
        <v/>
      </c>
      <c r="C406" s="10">
        <f>IFERROR(INDEX('Review Items'!$E:$E,MATCH(A406,'Review Items'!$B:$B,0)),IFERROR(INDEX('Rule Updates'!$C:$C,MATCH(A406,'Rule Updates'!$A:$A,0)),"Review"))</f>
        <v/>
      </c>
      <c r="D406" s="10">
        <f>COUNTIF('Amex Transactions'!$C:$C,A406)</f>
        <v/>
      </c>
      <c r="E406" s="10">
        <f>SUMIFS('Amex Transactions'!$G:$G,'Amex Transactions'!$C:$C,A406,'Amex Transactions'!$G:$G,"&gt;0")</f>
        <v/>
      </c>
      <c r="F406" s="11" t="n">
        <v>45997</v>
      </c>
      <c r="G406" s="10">
        <f>IF(COUNTIFS('Amex Transactions'!$C:$C,A406,'Amex Transactions'!$I:$I,"Check")&gt;0,"Check","")</f>
        <v/>
      </c>
    </row>
    <row r="407">
      <c r="A407" s="10" t="inlineStr">
        <is>
          <t>RA FF LES HOTEL SINGAPORE SINGAPORE</t>
        </is>
      </c>
      <c r="B407" s="10">
        <f>IFERROR(INDEX('Review Items'!$D:$D,MATCH(A407,'Review Items'!$B:$B,0)),IFERROR(INDEX('Rule Updates'!$B:$B,MATCH(A407,'Rule Updates'!$A:$A,0)),"Uncategorised"))</f>
        <v/>
      </c>
      <c r="C407" s="10">
        <f>IFERROR(INDEX('Review Items'!$E:$E,MATCH(A407,'Review Items'!$B:$B,0)),IFERROR(INDEX('Rule Updates'!$C:$C,MATCH(A407,'Rule Updates'!$A:$A,0)),"Review"))</f>
        <v/>
      </c>
      <c r="D407" s="10">
        <f>COUNTIF('Amex Transactions'!$C:$C,A407)</f>
        <v/>
      </c>
      <c r="E407" s="10">
        <f>SUMIFS('Amex Transactions'!$G:$G,'Amex Transactions'!$C:$C,A407,'Amex Transactions'!$G:$G,"&gt;0")</f>
        <v/>
      </c>
      <c r="F407" s="11" t="n">
        <v>46093</v>
      </c>
      <c r="G407" s="10">
        <f>IF(COUNTIFS('Amex Transactions'!$C:$C,A407,'Amex Transactions'!$I:$I,"Check")&gt;0,"Check","")</f>
        <v/>
      </c>
    </row>
    <row r="408">
      <c r="A408" s="10" t="inlineStr">
        <is>
          <t>PAYPAL *CONDE NAST 8008252510</t>
        </is>
      </c>
      <c r="B408" s="10">
        <f>IFERROR(INDEX('Review Items'!$D:$D,MATCH(A408,'Review Items'!$B:$B,0)),IFERROR(INDEX('Rule Updates'!$B:$B,MATCH(A408,'Rule Updates'!$A:$A,0)),"Uncategorised"))</f>
        <v/>
      </c>
      <c r="C408" s="10">
        <f>IFERROR(INDEX('Review Items'!$E:$E,MATCH(A408,'Review Items'!$B:$B,0)),IFERROR(INDEX('Rule Updates'!$C:$C,MATCH(A408,'Rule Updates'!$A:$A,0)),"Review"))</f>
        <v/>
      </c>
      <c r="D408" s="10">
        <f>COUNTIF('Amex Transactions'!$C:$C,A408)</f>
        <v/>
      </c>
      <c r="E408" s="10">
        <f>SUMIFS('Amex Transactions'!$G:$G,'Amex Transactions'!$C:$C,A408,'Amex Transactions'!$G:$G,"&gt;0")</f>
        <v/>
      </c>
      <c r="F408" s="11" t="n">
        <v>45799</v>
      </c>
      <c r="G408" s="10">
        <f>IF(COUNTIFS('Amex Transactions'!$C:$C,A408,'Amex Transactions'!$I:$I,"Check")&gt;0,"Check","")</f>
        <v/>
      </c>
    </row>
    <row r="409">
      <c r="A409" s="10" t="inlineStr">
        <is>
          <t>COLONNA &amp; SMALL'SLIMIT Bath</t>
        </is>
      </c>
      <c r="B409" s="10">
        <f>IFERROR(INDEX('Review Items'!$D:$D,MATCH(A409,'Review Items'!$B:$B,0)),IFERROR(INDEX('Rule Updates'!$B:$B,MATCH(A409,'Rule Updates'!$A:$A,0)),"Uncategorised"))</f>
        <v/>
      </c>
      <c r="C409" s="10">
        <f>IFERROR(INDEX('Review Items'!$E:$E,MATCH(A409,'Review Items'!$B:$B,0)),IFERROR(INDEX('Rule Updates'!$C:$C,MATCH(A409,'Rule Updates'!$A:$A,0)),"Review"))</f>
        <v/>
      </c>
      <c r="D409" s="10">
        <f>COUNTIF('Amex Transactions'!$C:$C,A409)</f>
        <v/>
      </c>
      <c r="E409" s="10">
        <f>SUMIFS('Amex Transactions'!$G:$G,'Amex Transactions'!$C:$C,A409,'Amex Transactions'!$G:$G,"&gt;0")</f>
        <v/>
      </c>
      <c r="F409" s="11" t="n">
        <v>45838</v>
      </c>
      <c r="G409" s="10">
        <f>IF(COUNTIFS('Amex Transactions'!$C:$C,A409,'Amex Transactions'!$I:$I,"Check")&gt;0,"Check","")</f>
        <v/>
      </c>
    </row>
    <row r="410">
      <c r="A410" s="10" t="inlineStr">
        <is>
          <t>SP AKUBRA KEMPSEY</t>
        </is>
      </c>
      <c r="B410" s="10">
        <f>IFERROR(INDEX('Review Items'!$D:$D,MATCH(A410,'Review Items'!$B:$B,0)),IFERROR(INDEX('Rule Updates'!$B:$B,MATCH(A410,'Rule Updates'!$A:$A,0)),"Uncategorised"))</f>
        <v/>
      </c>
      <c r="C410" s="10">
        <f>IFERROR(INDEX('Review Items'!$E:$E,MATCH(A410,'Review Items'!$B:$B,0)),IFERROR(INDEX('Rule Updates'!$C:$C,MATCH(A410,'Rule Updates'!$A:$A,0)),"Review"))</f>
        <v/>
      </c>
      <c r="D410" s="10">
        <f>COUNTIF('Amex Transactions'!$C:$C,A410)</f>
        <v/>
      </c>
      <c r="E410" s="10">
        <f>SUMIFS('Amex Transactions'!$G:$G,'Amex Transactions'!$C:$C,A410,'Amex Transactions'!$G:$G,"&gt;0")</f>
        <v/>
      </c>
      <c r="F410" s="11" t="n">
        <v>45867</v>
      </c>
      <c r="G410" s="10">
        <f>IF(COUNTIFS('Amex Transactions'!$C:$C,A410,'Amex Transactions'!$I:$I,"Check")&gt;0,"Check","")</f>
        <v/>
      </c>
    </row>
    <row r="411">
      <c r="A411" s="10" t="inlineStr">
        <is>
          <t>SP INSTANT SWIM GUILDFORD</t>
        </is>
      </c>
      <c r="B411" s="10">
        <f>IFERROR(INDEX('Review Items'!$D:$D,MATCH(A411,'Review Items'!$B:$B,0)),IFERROR(INDEX('Rule Updates'!$B:$B,MATCH(A411,'Rule Updates'!$A:$A,0)),"Uncategorised"))</f>
        <v/>
      </c>
      <c r="C411" s="10">
        <f>IFERROR(INDEX('Review Items'!$E:$E,MATCH(A411,'Review Items'!$B:$B,0)),IFERROR(INDEX('Rule Updates'!$C:$C,MATCH(A411,'Rule Updates'!$A:$A,0)),"Review"))</f>
        <v/>
      </c>
      <c r="D411" s="10">
        <f>COUNTIF('Amex Transactions'!$C:$C,A411)</f>
        <v/>
      </c>
      <c r="E411" s="10">
        <f>SUMIFS('Amex Transactions'!$G:$G,'Amex Transactions'!$C:$C,A411,'Amex Transactions'!$G:$G,"&gt;0")</f>
        <v/>
      </c>
      <c r="F411" s="11" t="n">
        <v>45808</v>
      </c>
      <c r="G411" s="10">
        <f>IF(COUNTIFS('Amex Transactions'!$C:$C,A411,'Amex Transactions'!$I:$I,"Check")&gt;0,"Check","")</f>
        <v/>
      </c>
    </row>
    <row r="412">
      <c r="A412" s="10" t="inlineStr">
        <is>
          <t>BOBBI BROWN ESSENTIALS CENTRAL</t>
        </is>
      </c>
      <c r="B412" s="10">
        <f>IFERROR(INDEX('Review Items'!$D:$D,MATCH(A412,'Review Items'!$B:$B,0)),IFERROR(INDEX('Rule Updates'!$B:$B,MATCH(A412,'Rule Updates'!$A:$A,0)),"Uncategorised"))</f>
        <v/>
      </c>
      <c r="C412" s="10">
        <f>IFERROR(INDEX('Review Items'!$E:$E,MATCH(A412,'Review Items'!$B:$B,0)),IFERROR(INDEX('Rule Updates'!$C:$C,MATCH(A412,'Rule Updates'!$A:$A,0)),"Review"))</f>
        <v/>
      </c>
      <c r="D412" s="10">
        <f>COUNTIF('Amex Transactions'!$C:$C,A412)</f>
        <v/>
      </c>
      <c r="E412" s="10">
        <f>SUMIFS('Amex Transactions'!$G:$G,'Amex Transactions'!$C:$C,A412,'Amex Transactions'!$G:$G,"&gt;0")</f>
        <v/>
      </c>
      <c r="F412" s="11" t="n">
        <v>45581</v>
      </c>
      <c r="G412" s="10">
        <f>IF(COUNTIFS('Amex Transactions'!$C:$C,A412,'Amex Transactions'!$I:$I,"Check")&gt;0,"Check","")</f>
        <v/>
      </c>
    </row>
    <row r="413">
      <c r="A413" s="10" t="inlineStr">
        <is>
          <t>ASIA MILES LI MITED HONG KONG</t>
        </is>
      </c>
      <c r="B413" s="10">
        <f>IFERROR(INDEX('Review Items'!$D:$D,MATCH(A413,'Review Items'!$B:$B,0)),IFERROR(INDEX('Rule Updates'!$B:$B,MATCH(A413,'Rule Updates'!$A:$A,0)),"Uncategorised"))</f>
        <v/>
      </c>
      <c r="C413" s="10">
        <f>IFERROR(INDEX('Review Items'!$E:$E,MATCH(A413,'Review Items'!$B:$B,0)),IFERROR(INDEX('Rule Updates'!$C:$C,MATCH(A413,'Rule Updates'!$A:$A,0)),"Review"))</f>
        <v/>
      </c>
      <c r="D413" s="10">
        <f>COUNTIF('Amex Transactions'!$C:$C,A413)</f>
        <v/>
      </c>
      <c r="E413" s="10">
        <f>SUMIFS('Amex Transactions'!$G:$G,'Amex Transactions'!$C:$C,A413,'Amex Transactions'!$G:$G,"&gt;0")</f>
        <v/>
      </c>
      <c r="F413" s="11" t="n">
        <v>46006</v>
      </c>
      <c r="G413" s="10">
        <f>IF(COUNTIFS('Amex Transactions'!$C:$C,A413,'Amex Transactions'!$I:$I,"Check")&gt;0,"Check","")</f>
        <v/>
      </c>
    </row>
    <row r="414">
      <c r="A414" s="10" t="inlineStr">
        <is>
          <t>SP IKKARI SURRY HILLS</t>
        </is>
      </c>
      <c r="B414" s="10">
        <f>IFERROR(INDEX('Review Items'!$D:$D,MATCH(A414,'Review Items'!$B:$B,0)),IFERROR(INDEX('Rule Updates'!$B:$B,MATCH(A414,'Rule Updates'!$A:$A,0)),"Uncategorised"))</f>
        <v/>
      </c>
      <c r="C414" s="10">
        <f>IFERROR(INDEX('Review Items'!$E:$E,MATCH(A414,'Review Items'!$B:$B,0)),IFERROR(INDEX('Rule Updates'!$C:$C,MATCH(A414,'Rule Updates'!$A:$A,0)),"Review"))</f>
        <v/>
      </c>
      <c r="D414" s="10">
        <f>COUNTIF('Amex Transactions'!$C:$C,A414)</f>
        <v/>
      </c>
      <c r="E414" s="10">
        <f>SUMIFS('Amex Transactions'!$G:$G,'Amex Transactions'!$C:$C,A414,'Amex Transactions'!$G:$G,"&gt;0")</f>
        <v/>
      </c>
      <c r="F414" s="11" t="n">
        <v>46012</v>
      </c>
      <c r="G414" s="10">
        <f>IF(COUNTIFS('Amex Transactions'!$C:$C,A414,'Amex Transactions'!$I:$I,"Check")&gt;0,"Check","")</f>
        <v/>
      </c>
    </row>
    <row r="415">
      <c r="A415" s="10" t="inlineStr">
        <is>
          <t>FINELINE GLO BAL BRANDS WOOLLAHRA</t>
        </is>
      </c>
      <c r="B415" s="10">
        <f>IFERROR(INDEX('Review Items'!$D:$D,MATCH(A415,'Review Items'!$B:$B,0)),IFERROR(INDEX('Rule Updates'!$B:$B,MATCH(A415,'Rule Updates'!$A:$A,0)),"Uncategorised"))</f>
        <v/>
      </c>
      <c r="C415" s="10">
        <f>IFERROR(INDEX('Review Items'!$E:$E,MATCH(A415,'Review Items'!$B:$B,0)),IFERROR(INDEX('Rule Updates'!$C:$C,MATCH(A415,'Rule Updates'!$A:$A,0)),"Review"))</f>
        <v/>
      </c>
      <c r="D415" s="10">
        <f>COUNTIF('Amex Transactions'!$C:$C,A415)</f>
        <v/>
      </c>
      <c r="E415" s="10">
        <f>SUMIFS('Amex Transactions'!$G:$G,'Amex Transactions'!$C:$C,A415,'Amex Transactions'!$G:$G,"&gt;0")</f>
        <v/>
      </c>
      <c r="F415" s="11" t="n">
        <v>46011</v>
      </c>
      <c r="G415" s="10">
        <f>IF(COUNTIFS('Amex Transactions'!$C:$C,A415,'Amex Transactions'!$I:$I,"Check")&gt;0,"Check","")</f>
        <v/>
      </c>
    </row>
    <row r="416">
      <c r="A416" s="10" t="inlineStr">
        <is>
          <t>SCMP* SCMP HONG KONG</t>
        </is>
      </c>
      <c r="B416" s="10">
        <f>IFERROR(INDEX('Review Items'!$D:$D,MATCH(A416,'Review Items'!$B:$B,0)),IFERROR(INDEX('Rule Updates'!$B:$B,MATCH(A416,'Rule Updates'!$A:$A,0)),"Uncategorised"))</f>
        <v/>
      </c>
      <c r="C416" s="10">
        <f>IFERROR(INDEX('Review Items'!$E:$E,MATCH(A416,'Review Items'!$B:$B,0)),IFERROR(INDEX('Rule Updates'!$C:$C,MATCH(A416,'Rule Updates'!$A:$A,0)),"Review"))</f>
        <v/>
      </c>
      <c r="D416" s="10">
        <f>COUNTIF('Amex Transactions'!$C:$C,A416)</f>
        <v/>
      </c>
      <c r="E416" s="10">
        <f>SUMIFS('Amex Transactions'!$G:$G,'Amex Transactions'!$C:$C,A416,'Amex Transactions'!$G:$G,"&gt;0")</f>
        <v/>
      </c>
      <c r="F416" s="11" t="n">
        <v>46077</v>
      </c>
      <c r="G416" s="10">
        <f>IF(COUNTIFS('Amex Transactions'!$C:$C,A416,'Amex Transactions'!$I:$I,"Check")&gt;0,"Check","")</f>
        <v/>
      </c>
    </row>
    <row r="417">
      <c r="A417" s="10" t="inlineStr">
        <is>
          <t>Colonna and Smalls Ltd Bath</t>
        </is>
      </c>
      <c r="B417" s="10">
        <f>IFERROR(INDEX('Review Items'!$D:$D,MATCH(A417,'Review Items'!$B:$B,0)),IFERROR(INDEX('Rule Updates'!$B:$B,MATCH(A417,'Rule Updates'!$A:$A,0)),"Uncategorised"))</f>
        <v/>
      </c>
      <c r="C417" s="10">
        <f>IFERROR(INDEX('Review Items'!$E:$E,MATCH(A417,'Review Items'!$B:$B,0)),IFERROR(INDEX('Rule Updates'!$C:$C,MATCH(A417,'Rule Updates'!$A:$A,0)),"Review"))</f>
        <v/>
      </c>
      <c r="D417" s="10">
        <f>COUNTIF('Amex Transactions'!$C:$C,A417)</f>
        <v/>
      </c>
      <c r="E417" s="10">
        <f>SUMIFS('Amex Transactions'!$G:$G,'Amex Transactions'!$C:$C,A417,'Amex Transactions'!$G:$G,"&gt;0")</f>
        <v/>
      </c>
      <c r="F417" s="11" t="n">
        <v>45771</v>
      </c>
      <c r="G417" s="10">
        <f>IF(COUNTIFS('Amex Transactions'!$C:$C,A417,'Amex Transactions'!$I:$I,"Check")&gt;0,"Check","")</f>
        <v/>
      </c>
    </row>
    <row r="418">
      <c r="A418" s="10" t="inlineStr">
        <is>
          <t>BAYSIDE NATURAL HEALTH DOUBLE BAY</t>
        </is>
      </c>
      <c r="B418" s="10">
        <f>IFERROR(INDEX('Review Items'!$D:$D,MATCH(A418,'Review Items'!$B:$B,0)),IFERROR(INDEX('Rule Updates'!$B:$B,MATCH(A418,'Rule Updates'!$A:$A,0)),"Uncategorised"))</f>
        <v/>
      </c>
      <c r="C418" s="10">
        <f>IFERROR(INDEX('Review Items'!$E:$E,MATCH(A418,'Review Items'!$B:$B,0)),IFERROR(INDEX('Rule Updates'!$C:$C,MATCH(A418,'Rule Updates'!$A:$A,0)),"Review"))</f>
        <v/>
      </c>
      <c r="D418" s="10">
        <f>COUNTIF('Amex Transactions'!$C:$C,A418)</f>
        <v/>
      </c>
      <c r="E418" s="10">
        <f>SUMIFS('Amex Transactions'!$G:$G,'Amex Transactions'!$C:$C,A418,'Amex Transactions'!$G:$G,"&gt;0")</f>
        <v/>
      </c>
      <c r="F418" s="11" t="n">
        <v>45665</v>
      </c>
      <c r="G418" s="10">
        <f>IF(COUNTIFS('Amex Transactions'!$C:$C,A418,'Amex Transactions'!$I:$I,"Check")&gt;0,"Check","")</f>
        <v/>
      </c>
    </row>
    <row r="419">
      <c r="A419" s="10" t="inlineStr">
        <is>
          <t>PAYPAL * DROPB O XINTE 4029357733</t>
        </is>
      </c>
      <c r="B419" s="10">
        <f>IFERROR(INDEX('Review Items'!$D:$D,MATCH(A419,'Review Items'!$B:$B,0)),IFERROR(INDEX('Rule Updates'!$B:$B,MATCH(A419,'Rule Updates'!$A:$A,0)),"Uncategorised"))</f>
        <v/>
      </c>
      <c r="C419" s="10">
        <f>IFERROR(INDEX('Review Items'!$E:$E,MATCH(A419,'Review Items'!$B:$B,0)),IFERROR(INDEX('Rule Updates'!$C:$C,MATCH(A419,'Rule Updates'!$A:$A,0)),"Review"))</f>
        <v/>
      </c>
      <c r="D419" s="10">
        <f>COUNTIF('Amex Transactions'!$C:$C,A419)</f>
        <v/>
      </c>
      <c r="E419" s="10">
        <f>SUMIFS('Amex Transactions'!$G:$G,'Amex Transactions'!$C:$C,A419,'Amex Transactions'!$G:$G,"&gt;0")</f>
        <v/>
      </c>
      <c r="F419" s="11" t="n">
        <v>45982</v>
      </c>
      <c r="G419" s="10">
        <f>IF(COUNTIFS('Amex Transactions'!$C:$C,A419,'Amex Transactions'!$I:$I,"Check")&gt;0,"Check","")</f>
        <v/>
      </c>
    </row>
    <row r="420">
      <c r="A420" s="10" t="inlineStr">
        <is>
          <t>FOOT LOCKER AUSTALIA IN MURARRIE</t>
        </is>
      </c>
      <c r="B420" s="10">
        <f>IFERROR(INDEX('Review Items'!$D:$D,MATCH(A420,'Review Items'!$B:$B,0)),IFERROR(INDEX('Rule Updates'!$B:$B,MATCH(A420,'Rule Updates'!$A:$A,0)),"Uncategorised"))</f>
        <v/>
      </c>
      <c r="C420" s="10">
        <f>IFERROR(INDEX('Review Items'!$E:$E,MATCH(A420,'Review Items'!$B:$B,0)),IFERROR(INDEX('Rule Updates'!$C:$C,MATCH(A420,'Rule Updates'!$A:$A,0)),"Review"))</f>
        <v/>
      </c>
      <c r="D420" s="10">
        <f>COUNTIF('Amex Transactions'!$C:$C,A420)</f>
        <v/>
      </c>
      <c r="E420" s="10">
        <f>SUMIFS('Amex Transactions'!$G:$G,'Amex Transactions'!$C:$C,A420,'Amex Transactions'!$G:$G,"&gt;0")</f>
        <v/>
      </c>
      <c r="F420" s="11" t="n">
        <v>45664</v>
      </c>
      <c r="G420" s="10">
        <f>IF(COUNTIFS('Amex Transactions'!$C:$C,A420,'Amex Transactions'!$I:$I,"Check")&gt;0,"Check","")</f>
        <v/>
      </c>
    </row>
    <row r="421">
      <c r="A421" s="10" t="inlineStr">
        <is>
          <t>THE DAIRY FARM MANNINGS CHEK LAP KOK</t>
        </is>
      </c>
      <c r="B421" s="10">
        <f>IFERROR(INDEX('Review Items'!$D:$D,MATCH(A421,'Review Items'!$B:$B,0)),IFERROR(INDEX('Rule Updates'!$B:$B,MATCH(A421,'Rule Updates'!$A:$A,0)),"Uncategorised"))</f>
        <v/>
      </c>
      <c r="C421" s="10">
        <f>IFERROR(INDEX('Review Items'!$E:$E,MATCH(A421,'Review Items'!$B:$B,0)),IFERROR(INDEX('Rule Updates'!$C:$C,MATCH(A421,'Rule Updates'!$A:$A,0)),"Review"))</f>
        <v/>
      </c>
      <c r="D421" s="10">
        <f>COUNTIF('Amex Transactions'!$C:$C,A421)</f>
        <v/>
      </c>
      <c r="E421" s="10">
        <f>SUMIFS('Amex Transactions'!$G:$G,'Amex Transactions'!$C:$C,A421,'Amex Transactions'!$G:$G,"&gt;0")</f>
        <v/>
      </c>
      <c r="F421" s="11" t="n">
        <v>45737</v>
      </c>
      <c r="G421" s="10">
        <f>IF(COUNTIFS('Amex Transactions'!$C:$C,A421,'Amex Transactions'!$I:$I,"Check")&gt;0,"Check","")</f>
        <v/>
      </c>
    </row>
    <row r="422">
      <c r="A422" s="10" t="inlineStr">
        <is>
          <t>CINEMA.COM.HK LTD ADMIRALTY</t>
        </is>
      </c>
      <c r="B422" s="10">
        <f>IFERROR(INDEX('Review Items'!$D:$D,MATCH(A422,'Review Items'!$B:$B,0)),IFERROR(INDEX('Rule Updates'!$B:$B,MATCH(A422,'Rule Updates'!$A:$A,0)),"Uncategorised"))</f>
        <v/>
      </c>
      <c r="C422" s="10">
        <f>IFERROR(INDEX('Review Items'!$E:$E,MATCH(A422,'Review Items'!$B:$B,0)),IFERROR(INDEX('Rule Updates'!$C:$C,MATCH(A422,'Rule Updates'!$A:$A,0)),"Review"))</f>
        <v/>
      </c>
      <c r="D422" s="10">
        <f>COUNTIF('Amex Transactions'!$C:$C,A422)</f>
        <v/>
      </c>
      <c r="E422" s="10">
        <f>SUMIFS('Amex Transactions'!$G:$G,'Amex Transactions'!$C:$C,A422,'Amex Transactions'!$G:$G,"&gt;0")</f>
        <v/>
      </c>
      <c r="F422" s="11" t="n">
        <v>45851</v>
      </c>
      <c r="G422" s="10">
        <f>IF(COUNTIFS('Amex Transactions'!$C:$C,A422,'Amex Transactions'!$I:$I,"Check")&gt;0,"Check","")</f>
        <v/>
      </c>
    </row>
    <row r="423">
      <c r="A423" s="10" t="inlineStr">
        <is>
          <t>WAI KEEJ E WELLERS LTD CENTRAL</t>
        </is>
      </c>
      <c r="B423" s="10">
        <f>IFERROR(INDEX('Review Items'!$D:$D,MATCH(A423,'Review Items'!$B:$B,0)),IFERROR(INDEX('Rule Updates'!$B:$B,MATCH(A423,'Rule Updates'!$A:$A,0)),"Uncategorised"))</f>
        <v/>
      </c>
      <c r="C423" s="10">
        <f>IFERROR(INDEX('Review Items'!$E:$E,MATCH(A423,'Review Items'!$B:$B,0)),IFERROR(INDEX('Rule Updates'!$C:$C,MATCH(A423,'Rule Updates'!$A:$A,0)),"Review"))</f>
        <v/>
      </c>
      <c r="D423" s="10">
        <f>COUNTIF('Amex Transactions'!$C:$C,A423)</f>
        <v/>
      </c>
      <c r="E423" s="10">
        <f>SUMIFS('Amex Transactions'!$G:$G,'Amex Transactions'!$C:$C,A423,'Amex Transactions'!$G:$G,"&gt;0")</f>
        <v/>
      </c>
      <c r="F423" s="11" t="n">
        <v>45954</v>
      </c>
      <c r="G423" s="10">
        <f>IF(COUNTIFS('Amex Transactions'!$C:$C,A423,'Amex Transactions'!$I:$I,"Check")&gt;0,"Check","")</f>
        <v/>
      </c>
    </row>
    <row r="424">
      <c r="A424" s="10" t="inlineStr">
        <is>
          <t>GELSON ' SMARKET # 34 000 LOS ANGELES</t>
        </is>
      </c>
      <c r="B424" s="10">
        <f>IFERROR(INDEX('Review Items'!$D:$D,MATCH(A424,'Review Items'!$B:$B,0)),IFERROR(INDEX('Rule Updates'!$B:$B,MATCH(A424,'Rule Updates'!$A:$A,0)),"Uncategorised"))</f>
        <v/>
      </c>
      <c r="C424" s="10">
        <f>IFERROR(INDEX('Review Items'!$E:$E,MATCH(A424,'Review Items'!$B:$B,0)),IFERROR(INDEX('Rule Updates'!$C:$C,MATCH(A424,'Rule Updates'!$A:$A,0)),"Review"))</f>
        <v/>
      </c>
      <c r="D424" s="10">
        <f>COUNTIF('Amex Transactions'!$C:$C,A424)</f>
        <v/>
      </c>
      <c r="E424" s="10">
        <f>SUMIFS('Amex Transactions'!$G:$G,'Amex Transactions'!$C:$C,A424,'Amex Transactions'!$G:$G,"&gt;0")</f>
        <v/>
      </c>
      <c r="F424" s="11" t="n">
        <v>45948</v>
      </c>
      <c r="G424" s="10">
        <f>IF(COUNTIFS('Amex Transactions'!$C:$C,A424,'Amex Transactions'!$I:$I,"Check")&gt;0,"Check","")</f>
        <v/>
      </c>
    </row>
    <row r="425">
      <c r="A425" s="10" t="inlineStr">
        <is>
          <t>AMZNMKTPLACE*TU5BI5445 AMAZON.CO.UK</t>
        </is>
      </c>
      <c r="B425" s="10">
        <f>IFERROR(INDEX('Review Items'!$D:$D,MATCH(A425,'Review Items'!$B:$B,0)),IFERROR(INDEX('Rule Updates'!$B:$B,MATCH(A425,'Rule Updates'!$A:$A,0)),"Uncategorised"))</f>
        <v/>
      </c>
      <c r="C425" s="10">
        <f>IFERROR(INDEX('Review Items'!$E:$E,MATCH(A425,'Review Items'!$B:$B,0)),IFERROR(INDEX('Rule Updates'!$C:$C,MATCH(A425,'Rule Updates'!$A:$A,0)),"Review"))</f>
        <v/>
      </c>
      <c r="D425" s="10">
        <f>COUNTIF('Amex Transactions'!$C:$C,A425)</f>
        <v/>
      </c>
      <c r="E425" s="10">
        <f>SUMIFS('Amex Transactions'!$G:$G,'Amex Transactions'!$C:$C,A425,'Amex Transactions'!$G:$G,"&gt;0")</f>
        <v/>
      </c>
      <c r="F425" s="11" t="n">
        <v>45770</v>
      </c>
      <c r="G425" s="10">
        <f>IF(COUNTIFS('Amex Transactions'!$C:$C,A425,'Amex Transactions'!$I:$I,"Check")&gt;0,"Check","")</f>
        <v/>
      </c>
    </row>
    <row r="426">
      <c r="A426" s="10" t="inlineStr">
        <is>
          <t>SYDNEY INTERNATIONAL PI MASCOT</t>
        </is>
      </c>
      <c r="B426" s="10">
        <f>IFERROR(INDEX('Review Items'!$D:$D,MATCH(A426,'Review Items'!$B:$B,0)),IFERROR(INDEX('Rule Updates'!$B:$B,MATCH(A426,'Rule Updates'!$A:$A,0)),"Uncategorised"))</f>
        <v/>
      </c>
      <c r="C426" s="10">
        <f>IFERROR(INDEX('Review Items'!$E:$E,MATCH(A426,'Review Items'!$B:$B,0)),IFERROR(INDEX('Rule Updates'!$C:$C,MATCH(A426,'Rule Updates'!$A:$A,0)),"Review"))</f>
        <v/>
      </c>
      <c r="D426" s="10">
        <f>COUNTIF('Amex Transactions'!$C:$C,A426)</f>
        <v/>
      </c>
      <c r="E426" s="10">
        <f>SUMIFS('Amex Transactions'!$G:$G,'Amex Transactions'!$C:$C,A426,'Amex Transactions'!$G:$G,"&gt;0")</f>
        <v/>
      </c>
      <c r="F426" s="11" t="n">
        <v>46030</v>
      </c>
      <c r="G426" s="10">
        <f>IF(COUNTIFS('Amex Transactions'!$C:$C,A426,'Amex Transactions'!$I:$I,"Check")&gt;0,"Check","")</f>
        <v/>
      </c>
    </row>
    <row r="427">
      <c r="A427" s="10" t="inlineStr">
        <is>
          <t>PI ZZ ARTE Ne w York</t>
        </is>
      </c>
      <c r="B427" s="10">
        <f>IFERROR(INDEX('Review Items'!$D:$D,MATCH(A427,'Review Items'!$B:$B,0)),IFERROR(INDEX('Rule Updates'!$B:$B,MATCH(A427,'Rule Updates'!$A:$A,0)),"Uncategorised"))</f>
        <v/>
      </c>
      <c r="C427" s="10">
        <f>IFERROR(INDEX('Review Items'!$E:$E,MATCH(A427,'Review Items'!$B:$B,0)),IFERROR(INDEX('Rule Updates'!$C:$C,MATCH(A427,'Rule Updates'!$A:$A,0)),"Review"))</f>
        <v/>
      </c>
      <c r="D427" s="10">
        <f>COUNTIF('Amex Transactions'!$C:$C,A427)</f>
        <v/>
      </c>
      <c r="E427" s="10">
        <f>SUMIFS('Amex Transactions'!$G:$G,'Amex Transactions'!$C:$C,A427,'Amex Transactions'!$G:$G,"&gt;0")</f>
        <v/>
      </c>
      <c r="F427" s="11" t="n">
        <v>46059</v>
      </c>
      <c r="G427" s="10">
        <f>IF(COUNTIFS('Amex Transactions'!$C:$C,A427,'Amex Transactions'!$I:$I,"Check")&gt;0,"Check","")</f>
        <v/>
      </c>
    </row>
    <row r="428">
      <c r="A428" s="10" t="inlineStr">
        <is>
          <t>PAYPAL *CHOCOLATETR 08700508244</t>
        </is>
      </c>
      <c r="B428" s="10">
        <f>IFERROR(INDEX('Review Items'!$D:$D,MATCH(A428,'Review Items'!$B:$B,0)),IFERROR(INDEX('Rule Updates'!$B:$B,MATCH(A428,'Rule Updates'!$A:$A,0)),"Uncategorised"))</f>
        <v/>
      </c>
      <c r="C428" s="10">
        <f>IFERROR(INDEX('Review Items'!$E:$E,MATCH(A428,'Review Items'!$B:$B,0)),IFERROR(INDEX('Rule Updates'!$C:$C,MATCH(A428,'Rule Updates'!$A:$A,0)),"Review"))</f>
        <v/>
      </c>
      <c r="D428" s="10">
        <f>COUNTIF('Amex Transactions'!$C:$C,A428)</f>
        <v/>
      </c>
      <c r="E428" s="10">
        <f>SUMIFS('Amex Transactions'!$G:$G,'Amex Transactions'!$C:$C,A428,'Amex Transactions'!$G:$G,"&gt;0")</f>
        <v/>
      </c>
      <c r="F428" s="11" t="n">
        <v>45773</v>
      </c>
      <c r="G428" s="10">
        <f>IF(COUNTIFS('Amex Transactions'!$C:$C,A428,'Amex Transactions'!$I:$I,"Check")&gt;0,"Check","")</f>
        <v/>
      </c>
    </row>
    <row r="429">
      <c r="A429" s="10" t="inlineStr">
        <is>
          <t>SP VENROY PADDINGTON</t>
        </is>
      </c>
      <c r="B429" s="10">
        <f>IFERROR(INDEX('Review Items'!$D:$D,MATCH(A429,'Review Items'!$B:$B,0)),IFERROR(INDEX('Rule Updates'!$B:$B,MATCH(A429,'Rule Updates'!$A:$A,0)),"Uncategorised"))</f>
        <v/>
      </c>
      <c r="C429" s="10">
        <f>IFERROR(INDEX('Review Items'!$E:$E,MATCH(A429,'Review Items'!$B:$B,0)),IFERROR(INDEX('Rule Updates'!$C:$C,MATCH(A429,'Rule Updates'!$A:$A,0)),"Review"))</f>
        <v/>
      </c>
      <c r="D429" s="10">
        <f>COUNTIF('Amex Transactions'!$C:$C,A429)</f>
        <v/>
      </c>
      <c r="E429" s="10">
        <f>SUMIFS('Amex Transactions'!$G:$G,'Amex Transactions'!$C:$C,A429,'Amex Transactions'!$G:$G,"&gt;0")</f>
        <v/>
      </c>
      <c r="F429" s="11" t="n">
        <v>46011</v>
      </c>
      <c r="G429" s="10">
        <f>IF(COUNTIFS('Amex Transactions'!$C:$C,A429,'Amex Transactions'!$I:$I,"Check")&gt;0,"Check","")</f>
        <v/>
      </c>
    </row>
    <row r="430">
      <c r="A430" s="10" t="inlineStr">
        <is>
          <t>GARMIN (EUROPE) LIMITED SOUTHAMPTON</t>
        </is>
      </c>
      <c r="B430" s="10">
        <f>IFERROR(INDEX('Review Items'!$D:$D,MATCH(A430,'Review Items'!$B:$B,0)),IFERROR(INDEX('Rule Updates'!$B:$B,MATCH(A430,'Rule Updates'!$A:$A,0)),"Uncategorised"))</f>
        <v/>
      </c>
      <c r="C430" s="10">
        <f>IFERROR(INDEX('Review Items'!$E:$E,MATCH(A430,'Review Items'!$B:$B,0)),IFERROR(INDEX('Rule Updates'!$C:$C,MATCH(A430,'Rule Updates'!$A:$A,0)),"Review"))</f>
        <v/>
      </c>
      <c r="D430" s="10">
        <f>COUNTIF('Amex Transactions'!$C:$C,A430)</f>
        <v/>
      </c>
      <c r="E430" s="10">
        <f>SUMIFS('Amex Transactions'!$G:$G,'Amex Transactions'!$C:$C,A430,'Amex Transactions'!$G:$G,"&gt;0")</f>
        <v/>
      </c>
      <c r="F430" s="11" t="n">
        <v>45890</v>
      </c>
      <c r="G430" s="10">
        <f>IF(COUNTIFS('Amex Transactions'!$C:$C,A430,'Amex Transactions'!$I:$I,"Check")&gt;0,"Check","")</f>
        <v/>
      </c>
    </row>
    <row r="431">
      <c r="A431" s="10" t="inlineStr">
        <is>
          <t>PARK HYATT Niseko CHINA *</t>
        </is>
      </c>
      <c r="B431" s="10">
        <f>IFERROR(INDEX('Review Items'!$D:$D,MATCH(A431,'Review Items'!$B:$B,0)),IFERROR(INDEX('Rule Updates'!$B:$B,MATCH(A431,'Rule Updates'!$A:$A,0)),"Uncategorised"))</f>
        <v/>
      </c>
      <c r="C431" s="10">
        <f>IFERROR(INDEX('Review Items'!$E:$E,MATCH(A431,'Review Items'!$B:$B,0)),IFERROR(INDEX('Rule Updates'!$C:$C,MATCH(A431,'Rule Updates'!$A:$A,0)),"Review"))</f>
        <v/>
      </c>
      <c r="D431" s="10">
        <f>COUNTIF('Amex Transactions'!$C:$C,A431)</f>
        <v/>
      </c>
      <c r="E431" s="10">
        <f>SUMIFS('Amex Transactions'!$G:$G,'Amex Transactions'!$C:$C,A431,'Amex Transactions'!$G:$G,"&gt;0")</f>
        <v/>
      </c>
      <c r="F431" s="11" t="n">
        <v>45719</v>
      </c>
      <c r="G431" s="10">
        <f>IF(COUNTIFS('Amex Transactions'!$C:$C,A431,'Amex Transactions'!$I:$I,"Check")&gt;0,"Check","")</f>
        <v/>
      </c>
    </row>
    <row r="432">
      <c r="A432" s="10" t="inlineStr">
        <is>
          <t>PARK HYATT Niseko OLIVI *</t>
        </is>
      </c>
      <c r="B432" s="10">
        <f>IFERROR(INDEX('Review Items'!$D:$D,MATCH(A432,'Review Items'!$B:$B,0)),IFERROR(INDEX('Rule Updates'!$B:$B,MATCH(A432,'Rule Updates'!$A:$A,0)),"Uncategorised"))</f>
        <v/>
      </c>
      <c r="C432" s="10">
        <f>IFERROR(INDEX('Review Items'!$E:$E,MATCH(A432,'Review Items'!$B:$B,0)),IFERROR(INDEX('Rule Updates'!$C:$C,MATCH(A432,'Rule Updates'!$A:$A,0)),"Review"))</f>
        <v/>
      </c>
      <c r="D432" s="10">
        <f>COUNTIF('Amex Transactions'!$C:$C,A432)</f>
        <v/>
      </c>
      <c r="E432" s="10">
        <f>SUMIFS('Amex Transactions'!$G:$G,'Amex Transactions'!$C:$C,A432,'Amex Transactions'!$G:$G,"&gt;0")</f>
        <v/>
      </c>
      <c r="F432" s="11" t="n">
        <v>45721</v>
      </c>
      <c r="G432" s="10">
        <f>IF(COUNTIFS('Amex Transactions'!$C:$C,A432,'Amex Transactions'!$I:$I,"Check")&gt;0,"Check","")</f>
        <v/>
      </c>
    </row>
    <row r="433">
      <c r="A433" s="10" t="inlineStr">
        <is>
          <t>WH SMITH TRAVEL RETAIL HOUNSLOW</t>
        </is>
      </c>
      <c r="B433" s="10">
        <f>IFERROR(INDEX('Review Items'!$D:$D,MATCH(A433,'Review Items'!$B:$B,0)),IFERROR(INDEX('Rule Updates'!$B:$B,MATCH(A433,'Rule Updates'!$A:$A,0)),"Uncategorised"))</f>
        <v/>
      </c>
      <c r="C433" s="10">
        <f>IFERROR(INDEX('Review Items'!$E:$E,MATCH(A433,'Review Items'!$B:$B,0)),IFERROR(INDEX('Rule Updates'!$C:$C,MATCH(A433,'Rule Updates'!$A:$A,0)),"Review"))</f>
        <v/>
      </c>
      <c r="D433" s="10">
        <f>COUNTIF('Amex Transactions'!$C:$C,A433)</f>
        <v/>
      </c>
      <c r="E433" s="10">
        <f>SUMIFS('Amex Transactions'!$G:$G,'Amex Transactions'!$C:$C,A433,'Amex Transactions'!$G:$G,"&gt;0")</f>
        <v/>
      </c>
      <c r="F433" s="11" t="n">
        <v>45635</v>
      </c>
      <c r="G433" s="10">
        <f>IF(COUNTIFS('Amex Transactions'!$C:$C,A433,'Amex Transactions'!$I:$I,"Check")&gt;0,"Check","")</f>
        <v/>
      </c>
    </row>
    <row r="434">
      <c r="A434" s="10" t="inlineStr">
        <is>
          <t>NEW CHITOSE APTT.BLDG JAPAN</t>
        </is>
      </c>
      <c r="B434" s="10">
        <f>IFERROR(INDEX('Review Items'!$D:$D,MATCH(A434,'Review Items'!$B:$B,0)),IFERROR(INDEX('Rule Updates'!$B:$B,MATCH(A434,'Rule Updates'!$A:$A,0)),"Uncategorised"))</f>
        <v/>
      </c>
      <c r="C434" s="10">
        <f>IFERROR(INDEX('Review Items'!$E:$E,MATCH(A434,'Review Items'!$B:$B,0)),IFERROR(INDEX('Rule Updates'!$C:$C,MATCH(A434,'Rule Updates'!$A:$A,0)),"Review"))</f>
        <v/>
      </c>
      <c r="D434" s="10">
        <f>COUNTIF('Amex Transactions'!$C:$C,A434)</f>
        <v/>
      </c>
      <c r="E434" s="10">
        <f>SUMIFS('Amex Transactions'!$G:$G,'Amex Transactions'!$C:$C,A434,'Amex Transactions'!$G:$G,"&gt;0")</f>
        <v/>
      </c>
      <c r="F434" s="11" t="n">
        <v>45732</v>
      </c>
      <c r="G434" s="10">
        <f>IF(COUNTIFS('Amex Transactions'!$C:$C,A434,'Amex Transactions'!$I:$I,"Check")&gt;0,"Check","")</f>
        <v/>
      </c>
    </row>
    <row r="435">
      <c r="A435" s="10" t="inlineStr">
        <is>
          <t>AMZNMKTPLACE*RW7BN3U94 AMAZON.CO.UK</t>
        </is>
      </c>
      <c r="B435" s="10">
        <f>IFERROR(INDEX('Review Items'!$D:$D,MATCH(A435,'Review Items'!$B:$B,0)),IFERROR(INDEX('Rule Updates'!$B:$B,MATCH(A435,'Rule Updates'!$A:$A,0)),"Uncategorised"))</f>
        <v/>
      </c>
      <c r="C435" s="10">
        <f>IFERROR(INDEX('Review Items'!$E:$E,MATCH(A435,'Review Items'!$B:$B,0)),IFERROR(INDEX('Rule Updates'!$C:$C,MATCH(A435,'Rule Updates'!$A:$A,0)),"Review"))</f>
        <v/>
      </c>
      <c r="D435" s="10">
        <f>COUNTIF('Amex Transactions'!$C:$C,A435)</f>
        <v/>
      </c>
      <c r="E435" s="10">
        <f>SUMIFS('Amex Transactions'!$G:$G,'Amex Transactions'!$C:$C,A435,'Amex Transactions'!$G:$G,"&gt;0")</f>
        <v/>
      </c>
      <c r="F435" s="11" t="n">
        <v>45740</v>
      </c>
      <c r="G435" s="10">
        <f>IF(COUNTIFS('Amex Transactions'!$C:$C,A435,'Amex Transactions'!$I:$I,"Check")&gt;0,"Check","")</f>
        <v/>
      </c>
    </row>
    <row r="436">
      <c r="A436" s="10" t="inlineStr">
        <is>
          <t>SP BORN IN THE SUN LONDON</t>
        </is>
      </c>
      <c r="B436" s="10">
        <f>IFERROR(INDEX('Review Items'!$D:$D,MATCH(A436,'Review Items'!$B:$B,0)),IFERROR(INDEX('Rule Updates'!$B:$B,MATCH(A436,'Rule Updates'!$A:$A,0)),"Uncategorised"))</f>
        <v/>
      </c>
      <c r="C436" s="10">
        <f>IFERROR(INDEX('Review Items'!$E:$E,MATCH(A436,'Review Items'!$B:$B,0)),IFERROR(INDEX('Rule Updates'!$C:$C,MATCH(A436,'Rule Updates'!$A:$A,0)),"Review"))</f>
        <v/>
      </c>
      <c r="D436" s="10">
        <f>COUNTIF('Amex Transactions'!$C:$C,A436)</f>
        <v/>
      </c>
      <c r="E436" s="10">
        <f>SUMIFS('Amex Transactions'!$G:$G,'Amex Transactions'!$C:$C,A436,'Amex Transactions'!$G:$G,"&gt;0")</f>
        <v/>
      </c>
      <c r="F436" s="11" t="n">
        <v>45739</v>
      </c>
      <c r="G436" s="10">
        <f>IF(COUNTIFS('Amex Transactions'!$C:$C,A436,'Amex Transactions'!$I:$I,"Check")&gt;0,"Check","")</f>
        <v/>
      </c>
    </row>
    <row r="437">
      <c r="A437" s="10" t="inlineStr">
        <is>
          <t>BONTAE BAKMOOLGOANJ E J U-DO</t>
        </is>
      </c>
      <c r="B437" s="10">
        <f>IFERROR(INDEX('Review Items'!$D:$D,MATCH(A437,'Review Items'!$B:$B,0)),IFERROR(INDEX('Rule Updates'!$B:$B,MATCH(A437,'Rule Updates'!$A:$A,0)),"Uncategorised"))</f>
        <v/>
      </c>
      <c r="C437" s="10">
        <f>IFERROR(INDEX('Review Items'!$E:$E,MATCH(A437,'Review Items'!$B:$B,0)),IFERROR(INDEX('Rule Updates'!$C:$C,MATCH(A437,'Rule Updates'!$A:$A,0)),"Review"))</f>
        <v/>
      </c>
      <c r="D437" s="10">
        <f>COUNTIF('Amex Transactions'!$C:$C,A437)</f>
        <v/>
      </c>
      <c r="E437" s="10">
        <f>SUMIFS('Amex Transactions'!$G:$G,'Amex Transactions'!$C:$C,A437,'Amex Transactions'!$G:$G,"&gt;0")</f>
        <v/>
      </c>
      <c r="F437" s="11" t="n">
        <v>45971</v>
      </c>
      <c r="G437" s="10">
        <f>IF(COUNTIFS('Amex Transactions'!$C:$C,A437,'Amex Transactions'!$I:$I,"Check")&gt;0,"Check","")</f>
        <v/>
      </c>
    </row>
    <row r="438">
      <c r="A438" s="10" t="inlineStr">
        <is>
          <t>TA JIMAHALHIRAHUTEN PG HOKKAIDO</t>
        </is>
      </c>
      <c r="B438" s="10">
        <f>IFERROR(INDEX('Review Items'!$D:$D,MATCH(A438,'Review Items'!$B:$B,0)),IFERROR(INDEX('Rule Updates'!$B:$B,MATCH(A438,'Rule Updates'!$A:$A,0)),"Uncategorised"))</f>
        <v/>
      </c>
      <c r="C438" s="10">
        <f>IFERROR(INDEX('Review Items'!$E:$E,MATCH(A438,'Review Items'!$B:$B,0)),IFERROR(INDEX('Rule Updates'!$C:$C,MATCH(A438,'Rule Updates'!$A:$A,0)),"Review"))</f>
        <v/>
      </c>
      <c r="D438" s="10">
        <f>COUNTIF('Amex Transactions'!$C:$C,A438)</f>
        <v/>
      </c>
      <c r="E438" s="10">
        <f>SUMIFS('Amex Transactions'!$G:$G,'Amex Transactions'!$C:$C,A438,'Amex Transactions'!$G:$G,"&gt;0")</f>
        <v/>
      </c>
      <c r="F438" s="11" t="n">
        <v>46082</v>
      </c>
      <c r="G438" s="10">
        <f>IF(COUNTIFS('Amex Transactions'!$C:$C,A438,'Amex Transactions'!$I:$I,"Check")&gt;0,"Check","")</f>
        <v/>
      </c>
    </row>
    <row r="439">
      <c r="A439" s="10" t="inlineStr">
        <is>
          <t>SP LUCYFOLKJ E WELLERY MEL BOURNE</t>
        </is>
      </c>
      <c r="B439" s="10">
        <f>IFERROR(INDEX('Review Items'!$D:$D,MATCH(A439,'Review Items'!$B:$B,0)),IFERROR(INDEX('Rule Updates'!$B:$B,MATCH(A439,'Rule Updates'!$A:$A,0)),"Uncategorised"))</f>
        <v/>
      </c>
      <c r="C439" s="10">
        <f>IFERROR(INDEX('Review Items'!$E:$E,MATCH(A439,'Review Items'!$B:$B,0)),IFERROR(INDEX('Rule Updates'!$C:$C,MATCH(A439,'Rule Updates'!$A:$A,0)),"Review"))</f>
        <v/>
      </c>
      <c r="D439" s="10">
        <f>COUNTIF('Amex Transactions'!$C:$C,A439)</f>
        <v/>
      </c>
      <c r="E439" s="10">
        <f>SUMIFS('Amex Transactions'!$G:$G,'Amex Transactions'!$C:$C,A439,'Amex Transactions'!$G:$G,"&gt;0")</f>
        <v/>
      </c>
      <c r="F439" s="11" t="n">
        <v>46029</v>
      </c>
      <c r="G439" s="10">
        <f>IF(COUNTIFS('Amex Transactions'!$C:$C,A439,'Amex Transactions'!$I:$I,"Check")&gt;0,"Check","")</f>
        <v/>
      </c>
    </row>
    <row r="440">
      <c r="A440" s="10" t="inlineStr">
        <is>
          <t>HING FAT FLOWER WHOLESA MONGKOK</t>
        </is>
      </c>
      <c r="B440" s="10">
        <f>IFERROR(INDEX('Review Items'!$D:$D,MATCH(A440,'Review Items'!$B:$B,0)),IFERROR(INDEX('Rule Updates'!$B:$B,MATCH(A440,'Rule Updates'!$A:$A,0)),"Uncategorised"))</f>
        <v/>
      </c>
      <c r="C440" s="10">
        <f>IFERROR(INDEX('Review Items'!$E:$E,MATCH(A440,'Review Items'!$B:$B,0)),IFERROR(INDEX('Rule Updates'!$C:$C,MATCH(A440,'Rule Updates'!$A:$A,0)),"Review"))</f>
        <v/>
      </c>
      <c r="D440" s="10">
        <f>COUNTIF('Amex Transactions'!$C:$C,A440)</f>
        <v/>
      </c>
      <c r="E440" s="10">
        <f>SUMIFS('Amex Transactions'!$G:$G,'Amex Transactions'!$C:$C,A440,'Amex Transactions'!$G:$G,"&gt;0")</f>
        <v/>
      </c>
      <c r="F440" s="11" t="n">
        <v>45586</v>
      </c>
      <c r="G440" s="10">
        <f>IF(COUNTIFS('Amex Transactions'!$C:$C,A440,'Amex Transactions'!$I:$I,"Check")&gt;0,"Check","")</f>
        <v/>
      </c>
    </row>
    <row r="441">
      <c r="A441" s="10" t="inlineStr">
        <is>
          <t>LAWSON *</t>
        </is>
      </c>
      <c r="B441" s="10">
        <f>IFERROR(INDEX('Review Items'!$D:$D,MATCH(A441,'Review Items'!$B:$B,0)),IFERROR(INDEX('Rule Updates'!$B:$B,MATCH(A441,'Rule Updates'!$A:$A,0)),"Uncategorised"))</f>
        <v/>
      </c>
      <c r="C441" s="10">
        <f>IFERROR(INDEX('Review Items'!$E:$E,MATCH(A441,'Review Items'!$B:$B,0)),IFERROR(INDEX('Rule Updates'!$C:$C,MATCH(A441,'Rule Updates'!$A:$A,0)),"Review"))</f>
        <v/>
      </c>
      <c r="D441" s="10">
        <f>COUNTIF('Amex Transactions'!$C:$C,A441)</f>
        <v/>
      </c>
      <c r="E441" s="10">
        <f>SUMIFS('Amex Transactions'!$G:$G,'Amex Transactions'!$C:$C,A441,'Amex Transactions'!$G:$G,"&gt;0")</f>
        <v/>
      </c>
      <c r="F441" s="11" t="n">
        <v>45732</v>
      </c>
      <c r="G441" s="10">
        <f>IF(COUNTIFS('Amex Transactions'!$C:$C,A441,'Amex Transactions'!$I:$I,"Check")&gt;0,"Check","")</f>
        <v/>
      </c>
    </row>
    <row r="442">
      <c r="A442" s="10" t="inlineStr">
        <is>
          <t>AESOP GOUGH STREET CENTRAL</t>
        </is>
      </c>
      <c r="B442" s="10">
        <f>IFERROR(INDEX('Review Items'!$D:$D,MATCH(A442,'Review Items'!$B:$B,0)),IFERROR(INDEX('Rule Updates'!$B:$B,MATCH(A442,'Rule Updates'!$A:$A,0)),"Uncategorised"))</f>
        <v/>
      </c>
      <c r="C442" s="10">
        <f>IFERROR(INDEX('Review Items'!$E:$E,MATCH(A442,'Review Items'!$B:$B,0)),IFERROR(INDEX('Rule Updates'!$C:$C,MATCH(A442,'Rule Updates'!$A:$A,0)),"Review"))</f>
        <v/>
      </c>
      <c r="D442" s="10">
        <f>COUNTIF('Amex Transactions'!$C:$C,A442)</f>
        <v/>
      </c>
      <c r="E442" s="10">
        <f>SUMIFS('Amex Transactions'!$G:$G,'Amex Transactions'!$C:$C,A442,'Amex Transactions'!$G:$G,"&gt;0")</f>
        <v/>
      </c>
      <c r="F442" s="11" t="n">
        <v>45672</v>
      </c>
      <c r="G442" s="10">
        <f>IF(COUNTIFS('Amex Transactions'!$C:$C,A442,'Amex Transactions'!$I:$I,"Check")&gt;0,"Check","")</f>
        <v/>
      </c>
    </row>
    <row r="443">
      <c r="A443" s="10" t="inlineStr">
        <is>
          <t>ACH BRITO &amp; CA SA VILA DO CONDE</t>
        </is>
      </c>
      <c r="B443" s="10">
        <f>IFERROR(INDEX('Review Items'!$D:$D,MATCH(A443,'Review Items'!$B:$B,0)),IFERROR(INDEX('Rule Updates'!$B:$B,MATCH(A443,'Rule Updates'!$A:$A,0)),"Uncategorised"))</f>
        <v/>
      </c>
      <c r="C443" s="10">
        <f>IFERROR(INDEX('Review Items'!$E:$E,MATCH(A443,'Review Items'!$B:$B,0)),IFERROR(INDEX('Rule Updates'!$C:$C,MATCH(A443,'Rule Updates'!$A:$A,0)),"Review"))</f>
        <v/>
      </c>
      <c r="D443" s="10">
        <f>COUNTIF('Amex Transactions'!$C:$C,A443)</f>
        <v/>
      </c>
      <c r="E443" s="10">
        <f>SUMIFS('Amex Transactions'!$G:$G,'Amex Transactions'!$C:$C,A443,'Amex Transactions'!$G:$G,"&gt;0")</f>
        <v/>
      </c>
      <c r="F443" s="11" t="n">
        <v>46046</v>
      </c>
      <c r="G443" s="10">
        <f>IF(COUNTIFS('Amex Transactions'!$C:$C,A443,'Amex Transactions'!$I:$I,"Check")&gt;0,"Check","")</f>
        <v/>
      </c>
    </row>
    <row r="444">
      <c r="A444" s="10" t="inlineStr">
        <is>
          <t>AMZNMKTPLACE*VF9038ZU5 AMAZON.CO.UK</t>
        </is>
      </c>
      <c r="B444" s="10">
        <f>IFERROR(INDEX('Review Items'!$D:$D,MATCH(A444,'Review Items'!$B:$B,0)),IFERROR(INDEX('Rule Updates'!$B:$B,MATCH(A444,'Rule Updates'!$A:$A,0)),"Uncategorised"))</f>
        <v/>
      </c>
      <c r="C444" s="10">
        <f>IFERROR(INDEX('Review Items'!$E:$E,MATCH(A444,'Review Items'!$B:$B,0)),IFERROR(INDEX('Rule Updates'!$C:$C,MATCH(A444,'Rule Updates'!$A:$A,0)),"Review"))</f>
        <v/>
      </c>
      <c r="D444" s="10">
        <f>COUNTIF('Amex Transactions'!$C:$C,A444)</f>
        <v/>
      </c>
      <c r="E444" s="10">
        <f>SUMIFS('Amex Transactions'!$G:$G,'Amex Transactions'!$C:$C,A444,'Amex Transactions'!$G:$G,"&gt;0")</f>
        <v/>
      </c>
      <c r="F444" s="11" t="n">
        <v>45771</v>
      </c>
      <c r="G444" s="10">
        <f>IF(COUNTIFS('Amex Transactions'!$C:$C,A444,'Amex Transactions'!$I:$I,"Check")&gt;0,"Check","")</f>
        <v/>
      </c>
    </row>
    <row r="445">
      <c r="A445" s="10" t="inlineStr">
        <is>
          <t>THE POTTS POINT BOOK SELIZABETH BAY</t>
        </is>
      </c>
      <c r="B445" s="10">
        <f>IFERROR(INDEX('Review Items'!$D:$D,MATCH(A445,'Review Items'!$B:$B,0)),IFERROR(INDEX('Rule Updates'!$B:$B,MATCH(A445,'Rule Updates'!$A:$A,0)),"Uncategorised"))</f>
        <v/>
      </c>
      <c r="C445" s="10">
        <f>IFERROR(INDEX('Review Items'!$E:$E,MATCH(A445,'Review Items'!$B:$B,0)),IFERROR(INDEX('Rule Updates'!$C:$C,MATCH(A445,'Rule Updates'!$A:$A,0)),"Review"))</f>
        <v/>
      </c>
      <c r="D445" s="10">
        <f>COUNTIF('Amex Transactions'!$C:$C,A445)</f>
        <v/>
      </c>
      <c r="E445" s="10">
        <f>SUMIFS('Amex Transactions'!$G:$G,'Amex Transactions'!$C:$C,A445,'Amex Transactions'!$G:$G,"&gt;0")</f>
        <v/>
      </c>
      <c r="F445" s="11" t="n">
        <v>45656</v>
      </c>
      <c r="G445" s="10">
        <f>IF(COUNTIFS('Amex Transactions'!$C:$C,A445,'Amex Transactions'!$I:$I,"Check")&gt;0,"Check","")</f>
        <v/>
      </c>
    </row>
    <row r="446">
      <c r="A446" s="10" t="inlineStr">
        <is>
          <t>KPAY * MEDIMART 000000000 HONG KONG</t>
        </is>
      </c>
      <c r="B446" s="10">
        <f>IFERROR(INDEX('Review Items'!$D:$D,MATCH(A446,'Review Items'!$B:$B,0)),IFERROR(INDEX('Rule Updates'!$B:$B,MATCH(A446,'Rule Updates'!$A:$A,0)),"Uncategorised"))</f>
        <v/>
      </c>
      <c r="C446" s="10">
        <f>IFERROR(INDEX('Review Items'!$E:$E,MATCH(A446,'Review Items'!$B:$B,0)),IFERROR(INDEX('Rule Updates'!$C:$C,MATCH(A446,'Rule Updates'!$A:$A,0)),"Review"))</f>
        <v/>
      </c>
      <c r="D446" s="10">
        <f>COUNTIF('Amex Transactions'!$C:$C,A446)</f>
        <v/>
      </c>
      <c r="E446" s="10">
        <f>SUMIFS('Amex Transactions'!$G:$G,'Amex Transactions'!$C:$C,A446,'Amex Transactions'!$G:$G,"&gt;0")</f>
        <v/>
      </c>
      <c r="F446" s="11" t="n">
        <v>45902</v>
      </c>
      <c r="G446" s="10">
        <f>IF(COUNTIFS('Amex Transactions'!$C:$C,A446,'Amex Transactions'!$I:$I,"Check")&gt;0,"Check","")</f>
        <v/>
      </c>
    </row>
    <row r="447">
      <c r="A447" s="10" t="inlineStr">
        <is>
          <t>O li v e Yo u n g SEOUL</t>
        </is>
      </c>
      <c r="B447" s="10">
        <f>IFERROR(INDEX('Review Items'!$D:$D,MATCH(A447,'Review Items'!$B:$B,0)),IFERROR(INDEX('Rule Updates'!$B:$B,MATCH(A447,'Rule Updates'!$A:$A,0)),"Uncategorised"))</f>
        <v/>
      </c>
      <c r="C447" s="10">
        <f>IFERROR(INDEX('Review Items'!$E:$E,MATCH(A447,'Review Items'!$B:$B,0)),IFERROR(INDEX('Rule Updates'!$C:$C,MATCH(A447,'Rule Updates'!$A:$A,0)),"Review"))</f>
        <v/>
      </c>
      <c r="D447" s="10">
        <f>COUNTIF('Amex Transactions'!$C:$C,A447)</f>
        <v/>
      </c>
      <c r="E447" s="10">
        <f>SUMIFS('Amex Transactions'!$G:$G,'Amex Transactions'!$C:$C,A447,'Amex Transactions'!$G:$G,"&gt;0")</f>
        <v/>
      </c>
      <c r="F447" s="11" t="n">
        <v>45933</v>
      </c>
      <c r="G447" s="10">
        <f>IF(COUNTIFS('Amex Transactions'!$C:$C,A447,'Amex Transactions'!$I:$I,"Check")&gt;0,"Check","")</f>
        <v/>
      </c>
    </row>
    <row r="448">
      <c r="A448" s="10" t="inlineStr">
        <is>
          <t>ICE BERGS DINING SYDNEY</t>
        </is>
      </c>
      <c r="B448" s="10">
        <f>IFERROR(INDEX('Review Items'!$D:$D,MATCH(A448,'Review Items'!$B:$B,0)),IFERROR(INDEX('Rule Updates'!$B:$B,MATCH(A448,'Rule Updates'!$A:$A,0)),"Uncategorised"))</f>
        <v/>
      </c>
      <c r="C448" s="10">
        <f>IFERROR(INDEX('Review Items'!$E:$E,MATCH(A448,'Review Items'!$B:$B,0)),IFERROR(INDEX('Rule Updates'!$C:$C,MATCH(A448,'Rule Updates'!$A:$A,0)),"Review"))</f>
        <v/>
      </c>
      <c r="D448" s="10">
        <f>COUNTIF('Amex Transactions'!$C:$C,A448)</f>
        <v/>
      </c>
      <c r="E448" s="10">
        <f>SUMIFS('Amex Transactions'!$G:$G,'Amex Transactions'!$C:$C,A448,'Amex Transactions'!$G:$G,"&gt;0")</f>
        <v/>
      </c>
      <c r="F448" s="11" t="n">
        <v>46029</v>
      </c>
      <c r="G448" s="10">
        <f>IF(COUNTIFS('Amex Transactions'!$C:$C,A448,'Amex Transactions'!$I:$I,"Check")&gt;0,"Check","")</f>
        <v/>
      </c>
    </row>
    <row r="449">
      <c r="A449" s="10" t="inlineStr">
        <is>
          <t>SHIMBASHI SOBA - PARAGO SINGAPORE</t>
        </is>
      </c>
      <c r="B449" s="10">
        <f>IFERROR(INDEX('Review Items'!$D:$D,MATCH(A449,'Review Items'!$B:$B,0)),IFERROR(INDEX('Rule Updates'!$B:$B,MATCH(A449,'Rule Updates'!$A:$A,0)),"Uncategorised"))</f>
        <v/>
      </c>
      <c r="C449" s="10">
        <f>IFERROR(INDEX('Review Items'!$E:$E,MATCH(A449,'Review Items'!$B:$B,0)),IFERROR(INDEX('Rule Updates'!$C:$C,MATCH(A449,'Rule Updates'!$A:$A,0)),"Review"))</f>
        <v/>
      </c>
      <c r="D449" s="10">
        <f>COUNTIF('Amex Transactions'!$C:$C,A449)</f>
        <v/>
      </c>
      <c r="E449" s="10">
        <f>SUMIFS('Amex Transactions'!$G:$G,'Amex Transactions'!$C:$C,A449,'Amex Transactions'!$G:$G,"&gt;0")</f>
        <v/>
      </c>
      <c r="F449" s="11" t="n">
        <v>45547</v>
      </c>
      <c r="G449" s="10">
        <f>IF(COUNTIFS('Amex Transactions'!$C:$C,A449,'Amex Transactions'!$I:$I,"Check")&gt;0,"Check","")</f>
        <v/>
      </c>
    </row>
    <row r="450">
      <c r="A450" s="10" t="inlineStr">
        <is>
          <t>KPAY*LEMON KING 0000000 HONG KONG</t>
        </is>
      </c>
      <c r="B450" s="10">
        <f>IFERROR(INDEX('Review Items'!$D:$D,MATCH(A450,'Review Items'!$B:$B,0)),IFERROR(INDEX('Rule Updates'!$B:$B,MATCH(A450,'Rule Updates'!$A:$A,0)),"Uncategorised"))</f>
        <v/>
      </c>
      <c r="C450" s="10">
        <f>IFERROR(INDEX('Review Items'!$E:$E,MATCH(A450,'Review Items'!$B:$B,0)),IFERROR(INDEX('Rule Updates'!$C:$C,MATCH(A450,'Rule Updates'!$A:$A,0)),"Review"))</f>
        <v/>
      </c>
      <c r="D450" s="10">
        <f>COUNTIF('Amex Transactions'!$C:$C,A450)</f>
        <v/>
      </c>
      <c r="E450" s="10">
        <f>SUMIFS('Amex Transactions'!$G:$G,'Amex Transactions'!$C:$C,A450,'Amex Transactions'!$G:$G,"&gt;0")</f>
        <v/>
      </c>
      <c r="F450" s="11" t="n">
        <v>45681</v>
      </c>
      <c r="G450" s="10">
        <f>IF(COUNTIFS('Amex Transactions'!$C:$C,A450,'Amex Transactions'!$I:$I,"Check")&gt;0,"Check","")</f>
        <v/>
      </c>
    </row>
    <row r="451">
      <c r="A451" s="10" t="inlineStr">
        <is>
          <t>KARUIZ A WASNOOPY VILLAGE NAGANO</t>
        </is>
      </c>
      <c r="B451" s="10">
        <f>IFERROR(INDEX('Review Items'!$D:$D,MATCH(A451,'Review Items'!$B:$B,0)),IFERROR(INDEX('Rule Updates'!$B:$B,MATCH(A451,'Rule Updates'!$A:$A,0)),"Uncategorised"))</f>
        <v/>
      </c>
      <c r="C451" s="10">
        <f>IFERROR(INDEX('Review Items'!$E:$E,MATCH(A451,'Review Items'!$B:$B,0)),IFERROR(INDEX('Rule Updates'!$C:$C,MATCH(A451,'Rule Updates'!$A:$A,0)),"Review"))</f>
        <v/>
      </c>
      <c r="D451" s="10">
        <f>COUNTIF('Amex Transactions'!$C:$C,A451)</f>
        <v/>
      </c>
      <c r="E451" s="10">
        <f>SUMIFS('Amex Transactions'!$G:$G,'Amex Transactions'!$C:$C,A451,'Amex Transactions'!$G:$G,"&gt;0")</f>
        <v/>
      </c>
      <c r="F451" s="11" t="n">
        <v>45979</v>
      </c>
      <c r="G451" s="10">
        <f>IF(COUNTIFS('Amex Transactions'!$C:$C,A451,'Amex Transactions'!$I:$I,"Check")&gt;0,"Check","")</f>
        <v/>
      </c>
    </row>
    <row r="452">
      <c r="A452" s="10" t="inlineStr">
        <is>
          <t>NIKUSENKA HAFU HONTEN KYOTO</t>
        </is>
      </c>
      <c r="B452" s="10">
        <f>IFERROR(INDEX('Review Items'!$D:$D,MATCH(A452,'Review Items'!$B:$B,0)),IFERROR(INDEX('Rule Updates'!$B:$B,MATCH(A452,'Rule Updates'!$A:$A,0)),"Uncategorised"))</f>
        <v/>
      </c>
      <c r="C452" s="10">
        <f>IFERROR(INDEX('Review Items'!$E:$E,MATCH(A452,'Review Items'!$B:$B,0)),IFERROR(INDEX('Rule Updates'!$C:$C,MATCH(A452,'Rule Updates'!$A:$A,0)),"Review"))</f>
        <v/>
      </c>
      <c r="D452" s="10">
        <f>COUNTIF('Amex Transactions'!$C:$C,A452)</f>
        <v/>
      </c>
      <c r="E452" s="10">
        <f>SUMIFS('Amex Transactions'!$G:$G,'Amex Transactions'!$C:$C,A452,'Amex Transactions'!$G:$G,"&gt;0")</f>
        <v/>
      </c>
      <c r="F452" s="11" t="n">
        <v>45641</v>
      </c>
      <c r="G452" s="10">
        <f>IF(COUNTIFS('Amex Transactions'!$C:$C,A452,'Amex Transactions'!$I:$I,"Check")&gt;0,"Check","")</f>
        <v/>
      </c>
    </row>
    <row r="453">
      <c r="A453" s="10" t="inlineStr">
        <is>
          <t>THE FINE CHEESE CO THE BATH</t>
        </is>
      </c>
      <c r="B453" s="10">
        <f>IFERROR(INDEX('Review Items'!$D:$D,MATCH(A453,'Review Items'!$B:$B,0)),IFERROR(INDEX('Rule Updates'!$B:$B,MATCH(A453,'Rule Updates'!$A:$A,0)),"Uncategorised"))</f>
        <v/>
      </c>
      <c r="C453" s="10">
        <f>IFERROR(INDEX('Review Items'!$E:$E,MATCH(A453,'Review Items'!$B:$B,0)),IFERROR(INDEX('Rule Updates'!$C:$C,MATCH(A453,'Rule Updates'!$A:$A,0)),"Review"))</f>
        <v/>
      </c>
      <c r="D453" s="10">
        <f>COUNTIF('Amex Transactions'!$C:$C,A453)</f>
        <v/>
      </c>
      <c r="E453" s="10">
        <f>SUMIFS('Amex Transactions'!$G:$G,'Amex Transactions'!$C:$C,A453,'Amex Transactions'!$G:$G,"&gt;0")</f>
        <v/>
      </c>
      <c r="F453" s="11" t="n">
        <v>45771</v>
      </c>
      <c r="G453" s="10">
        <f>IF(COUNTIFS('Amex Transactions'!$C:$C,A453,'Amex Transactions'!$I:$I,"Check")&gt;0,"Check","")</f>
        <v/>
      </c>
    </row>
    <row r="454">
      <c r="A454" s="10" t="inlineStr">
        <is>
          <t>OUTDOOR VOICES AUSTIN</t>
        </is>
      </c>
      <c r="B454" s="10">
        <f>IFERROR(INDEX('Review Items'!$D:$D,MATCH(A454,'Review Items'!$B:$B,0)),IFERROR(INDEX('Rule Updates'!$B:$B,MATCH(A454,'Rule Updates'!$A:$A,0)),"Uncategorised"))</f>
        <v/>
      </c>
      <c r="C454" s="10">
        <f>IFERROR(INDEX('Review Items'!$E:$E,MATCH(A454,'Review Items'!$B:$B,0)),IFERROR(INDEX('Rule Updates'!$C:$C,MATCH(A454,'Rule Updates'!$A:$A,0)),"Review"))</f>
        <v/>
      </c>
      <c r="D454" s="10">
        <f>COUNTIF('Amex Transactions'!$C:$C,A454)</f>
        <v/>
      </c>
      <c r="E454" s="10">
        <f>SUMIFS('Amex Transactions'!$G:$G,'Amex Transactions'!$C:$C,A454,'Amex Transactions'!$G:$G,"&gt;0")</f>
        <v/>
      </c>
      <c r="F454" s="11" t="n">
        <v>45540</v>
      </c>
      <c r="G454" s="10">
        <f>IF(COUNTIFS('Amex Transactions'!$C:$C,A454,'Amex Transactions'!$I:$I,"Check")&gt;0,"Check","")</f>
        <v/>
      </c>
    </row>
    <row r="455">
      <c r="A455" s="10" t="inlineStr">
        <is>
          <t>HTOKUMINE@JAPANCENTRE.CLONDON</t>
        </is>
      </c>
      <c r="B455" s="10">
        <f>IFERROR(INDEX('Review Items'!$D:$D,MATCH(A455,'Review Items'!$B:$B,0)),IFERROR(INDEX('Rule Updates'!$B:$B,MATCH(A455,'Rule Updates'!$A:$A,0)),"Uncategorised"))</f>
        <v/>
      </c>
      <c r="C455" s="10">
        <f>IFERROR(INDEX('Review Items'!$E:$E,MATCH(A455,'Review Items'!$B:$B,0)),IFERROR(INDEX('Rule Updates'!$C:$C,MATCH(A455,'Rule Updates'!$A:$A,0)),"Review"))</f>
        <v/>
      </c>
      <c r="D455" s="10">
        <f>COUNTIF('Amex Transactions'!$C:$C,A455)</f>
        <v/>
      </c>
      <c r="E455" s="10">
        <f>SUMIFS('Amex Transactions'!$G:$G,'Amex Transactions'!$C:$C,A455,'Amex Transactions'!$G:$G,"&gt;0")</f>
        <v/>
      </c>
      <c r="F455" s="11" t="n">
        <v>45755</v>
      </c>
      <c r="G455" s="10">
        <f>IF(COUNTIFS('Amex Transactions'!$C:$C,A455,'Amex Transactions'!$I:$I,"Check")&gt;0,"Check","")</f>
        <v/>
      </c>
    </row>
    <row r="456">
      <c r="A456" s="10" t="inlineStr">
        <is>
          <t>ALL PURPOSE BAKERY Sydney</t>
        </is>
      </c>
      <c r="B456" s="10">
        <f>IFERROR(INDEX('Review Items'!$D:$D,MATCH(A456,'Review Items'!$B:$B,0)),IFERROR(INDEX('Rule Updates'!$B:$B,MATCH(A456,'Rule Updates'!$A:$A,0)),"Uncategorised"))</f>
        <v/>
      </c>
      <c r="C456" s="10">
        <f>IFERROR(INDEX('Review Items'!$E:$E,MATCH(A456,'Review Items'!$B:$B,0)),IFERROR(INDEX('Rule Updates'!$C:$C,MATCH(A456,'Rule Updates'!$A:$A,0)),"Review"))</f>
        <v/>
      </c>
      <c r="D456" s="10">
        <f>COUNTIF('Amex Transactions'!$C:$C,A456)</f>
        <v/>
      </c>
      <c r="E456" s="10">
        <f>SUMIFS('Amex Transactions'!$G:$G,'Amex Transactions'!$C:$C,A456,'Amex Transactions'!$G:$G,"&gt;0")</f>
        <v/>
      </c>
      <c r="F456" s="11" t="n">
        <v>45882</v>
      </c>
      <c r="G456" s="10">
        <f>IF(COUNTIFS('Amex Transactions'!$C:$C,A456,'Amex Transactions'!$I:$I,"Check")&gt;0,"Check","")</f>
        <v/>
      </c>
    </row>
    <row r="457">
      <c r="A457" s="10" t="inlineStr">
        <is>
          <t>FLOUR AND STONE ANNEXE Woolloomooloo</t>
        </is>
      </c>
      <c r="B457" s="10">
        <f>IFERROR(INDEX('Review Items'!$D:$D,MATCH(A457,'Review Items'!$B:$B,0)),IFERROR(INDEX('Rule Updates'!$B:$B,MATCH(A457,'Rule Updates'!$A:$A,0)),"Uncategorised"))</f>
        <v/>
      </c>
      <c r="C457" s="10">
        <f>IFERROR(INDEX('Review Items'!$E:$E,MATCH(A457,'Review Items'!$B:$B,0)),IFERROR(INDEX('Rule Updates'!$C:$C,MATCH(A457,'Rule Updates'!$A:$A,0)),"Review"))</f>
        <v/>
      </c>
      <c r="D457" s="10">
        <f>COUNTIF('Amex Transactions'!$C:$C,A457)</f>
        <v/>
      </c>
      <c r="E457" s="10">
        <f>SUMIFS('Amex Transactions'!$G:$G,'Amex Transactions'!$C:$C,A457,'Amex Transactions'!$G:$G,"&gt;0")</f>
        <v/>
      </c>
      <c r="F457" s="11" t="n">
        <v>45881</v>
      </c>
      <c r="G457" s="10">
        <f>IF(COUNTIFS('Amex Transactions'!$C:$C,A457,'Amex Transactions'!$I:$I,"Check")&gt;0,"Check","")</f>
        <v/>
      </c>
    </row>
    <row r="458">
      <c r="A458" s="10" t="inlineStr">
        <is>
          <t>PAYPAL *LARQ 5106769438</t>
        </is>
      </c>
      <c r="B458" s="10">
        <f>IFERROR(INDEX('Review Items'!$D:$D,MATCH(A458,'Review Items'!$B:$B,0)),IFERROR(INDEX('Rule Updates'!$B:$B,MATCH(A458,'Rule Updates'!$A:$A,0)),"Uncategorised"))</f>
        <v/>
      </c>
      <c r="C458" s="10">
        <f>IFERROR(INDEX('Review Items'!$E:$E,MATCH(A458,'Review Items'!$B:$B,0)),IFERROR(INDEX('Rule Updates'!$C:$C,MATCH(A458,'Rule Updates'!$A:$A,0)),"Review"))</f>
        <v/>
      </c>
      <c r="D458" s="10">
        <f>COUNTIF('Amex Transactions'!$C:$C,A458)</f>
        <v/>
      </c>
      <c r="E458" s="10">
        <f>SUMIFS('Amex Transactions'!$G:$G,'Amex Transactions'!$C:$C,A458,'Amex Transactions'!$G:$G,"&gt;0")</f>
        <v/>
      </c>
      <c r="F458" s="11" t="n">
        <v>45781</v>
      </c>
      <c r="G458" s="10">
        <f>IF(COUNTIFS('Amex Transactions'!$C:$C,A458,'Amex Transactions'!$I:$I,"Check")&gt;0,"Check","")</f>
        <v/>
      </c>
    </row>
    <row r="459">
      <c r="A459" s="10" t="inlineStr">
        <is>
          <t>DELSOLE Niseko, K.K. meng tian jun</t>
        </is>
      </c>
      <c r="B459" s="10">
        <f>IFERROR(INDEX('Review Items'!$D:$D,MATCH(A459,'Review Items'!$B:$B,0)),IFERROR(INDEX('Rule Updates'!$B:$B,MATCH(A459,'Rule Updates'!$A:$A,0)),"Uncategorised"))</f>
        <v/>
      </c>
      <c r="C459" s="10">
        <f>IFERROR(INDEX('Review Items'!$E:$E,MATCH(A459,'Review Items'!$B:$B,0)),IFERROR(INDEX('Rule Updates'!$C:$C,MATCH(A459,'Rule Updates'!$A:$A,0)),"Review"))</f>
        <v/>
      </c>
      <c r="D459" s="10">
        <f>COUNTIF('Amex Transactions'!$C:$C,A459)</f>
        <v/>
      </c>
      <c r="E459" s="10">
        <f>SUMIFS('Amex Transactions'!$G:$G,'Amex Transactions'!$C:$C,A459,'Amex Transactions'!$G:$G,"&gt;0")</f>
        <v/>
      </c>
      <c r="F459" s="11" t="n">
        <v>45719</v>
      </c>
      <c r="G459" s="10">
        <f>IF(COUNTIFS('Amex Transactions'!$C:$C,A459,'Amex Transactions'!$I:$I,"Check")&gt;0,"Check","")</f>
        <v/>
      </c>
    </row>
    <row r="460">
      <c r="A460" s="10" t="inlineStr">
        <is>
          <t>QUAY QUARTER PHARMACY 1 SYDNEY</t>
        </is>
      </c>
      <c r="B460" s="10">
        <f>IFERROR(INDEX('Review Items'!$D:$D,MATCH(A460,'Review Items'!$B:$B,0)),IFERROR(INDEX('Rule Updates'!$B:$B,MATCH(A460,'Rule Updates'!$A:$A,0)),"Uncategorised"))</f>
        <v/>
      </c>
      <c r="C460" s="10">
        <f>IFERROR(INDEX('Review Items'!$E:$E,MATCH(A460,'Review Items'!$B:$B,0)),IFERROR(INDEX('Rule Updates'!$C:$C,MATCH(A460,'Rule Updates'!$A:$A,0)),"Review"))</f>
        <v/>
      </c>
      <c r="D460" s="10">
        <f>COUNTIF('Amex Transactions'!$C:$C,A460)</f>
        <v/>
      </c>
      <c r="E460" s="10">
        <f>SUMIFS('Amex Transactions'!$G:$G,'Amex Transactions'!$C:$C,A460,'Amex Transactions'!$G:$G,"&gt;0")</f>
        <v/>
      </c>
      <c r="F460" s="11" t="n">
        <v>45867</v>
      </c>
      <c r="G460" s="10">
        <f>IF(COUNTIFS('Amex Transactions'!$C:$C,A460,'Amex Transactions'!$I:$I,"Check")&gt;0,"Check","")</f>
        <v/>
      </c>
    </row>
    <row r="461">
      <c r="A461" s="10" t="inlineStr">
        <is>
          <t>HARRIS FARM MARKETS PTY BONDI BEACH</t>
        </is>
      </c>
      <c r="B461" s="10">
        <f>IFERROR(INDEX('Review Items'!$D:$D,MATCH(A461,'Review Items'!$B:$B,0)),IFERROR(INDEX('Rule Updates'!$B:$B,MATCH(A461,'Rule Updates'!$A:$A,0)),"Uncategorised"))</f>
        <v/>
      </c>
      <c r="C461" s="10">
        <f>IFERROR(INDEX('Review Items'!$E:$E,MATCH(A461,'Review Items'!$B:$B,0)),IFERROR(INDEX('Rule Updates'!$C:$C,MATCH(A461,'Rule Updates'!$A:$A,0)),"Review"))</f>
        <v/>
      </c>
      <c r="D461" s="10">
        <f>COUNTIF('Amex Transactions'!$C:$C,A461)</f>
        <v/>
      </c>
      <c r="E461" s="10">
        <f>SUMIFS('Amex Transactions'!$G:$G,'Amex Transactions'!$C:$C,A461,'Amex Transactions'!$G:$G,"&gt;0")</f>
        <v/>
      </c>
      <c r="F461" s="11" t="n">
        <v>46029</v>
      </c>
      <c r="G461" s="10">
        <f>IF(COUNTIFS('Amex Transactions'!$C:$C,A461,'Amex Transactions'!$I:$I,"Check")&gt;0,"Check","")</f>
        <v/>
      </c>
    </row>
    <row r="462">
      <c r="A462" s="10" t="inlineStr">
        <is>
          <t>THE PURE PRACTICE LIMI BATH</t>
        </is>
      </c>
      <c r="B462" s="10">
        <f>IFERROR(INDEX('Review Items'!$D:$D,MATCH(A462,'Review Items'!$B:$B,0)),IFERROR(INDEX('Rule Updates'!$B:$B,MATCH(A462,'Rule Updates'!$A:$A,0)),"Uncategorised"))</f>
        <v/>
      </c>
      <c r="C462" s="10">
        <f>IFERROR(INDEX('Review Items'!$E:$E,MATCH(A462,'Review Items'!$B:$B,0)),IFERROR(INDEX('Rule Updates'!$C:$C,MATCH(A462,'Rule Updates'!$A:$A,0)),"Review"))</f>
        <v/>
      </c>
      <c r="D462" s="10">
        <f>COUNTIF('Amex Transactions'!$C:$C,A462)</f>
        <v/>
      </c>
      <c r="E462" s="10">
        <f>SUMIFS('Amex Transactions'!$G:$G,'Amex Transactions'!$C:$C,A462,'Amex Transactions'!$G:$G,"&gt;0")</f>
        <v/>
      </c>
      <c r="F462" s="11" t="n">
        <v>45818</v>
      </c>
      <c r="G462" s="10">
        <f>IF(COUNTIFS('Amex Transactions'!$C:$C,A462,'Amex Transactions'!$I:$I,"Check")&gt;0,"Check","")</f>
        <v/>
      </c>
    </row>
    <row r="463">
      <c r="A463" s="10" t="inlineStr">
        <is>
          <t>BOOTS THE CHEMIST HOUNSLOW</t>
        </is>
      </c>
      <c r="B463" s="10">
        <f>IFERROR(INDEX('Review Items'!$D:$D,MATCH(A463,'Review Items'!$B:$B,0)),IFERROR(INDEX('Rule Updates'!$B:$B,MATCH(A463,'Rule Updates'!$A:$A,0)),"Uncategorised"))</f>
        <v/>
      </c>
      <c r="C463" s="10">
        <f>IFERROR(INDEX('Review Items'!$E:$E,MATCH(A463,'Review Items'!$B:$B,0)),IFERROR(INDEX('Rule Updates'!$C:$C,MATCH(A463,'Rule Updates'!$A:$A,0)),"Review"))</f>
        <v/>
      </c>
      <c r="D463" s="10">
        <f>COUNTIF('Amex Transactions'!$C:$C,A463)</f>
        <v/>
      </c>
      <c r="E463" s="10">
        <f>SUMIFS('Amex Transactions'!$G:$G,'Amex Transactions'!$C:$C,A463,'Amex Transactions'!$G:$G,"&gt;0")</f>
        <v/>
      </c>
      <c r="F463" s="11" t="n">
        <v>45824</v>
      </c>
      <c r="G463" s="10">
        <f>IF(COUNTIFS('Amex Transactions'!$C:$C,A463,'Amex Transactions'!$I:$I,"Check")&gt;0,"Check","")</f>
        <v/>
      </c>
    </row>
    <row r="464">
      <c r="A464" s="10" t="inlineStr">
        <is>
          <t>CVS/PHARMACY #09652 000 WEST HOLLYWOO</t>
        </is>
      </c>
      <c r="B464" s="10">
        <f>IFERROR(INDEX('Review Items'!$D:$D,MATCH(A464,'Review Items'!$B:$B,0)),IFERROR(INDEX('Rule Updates'!$B:$B,MATCH(A464,'Rule Updates'!$A:$A,0)),"Uncategorised"))</f>
        <v/>
      </c>
      <c r="C464" s="10">
        <f>IFERROR(INDEX('Review Items'!$E:$E,MATCH(A464,'Review Items'!$B:$B,0)),IFERROR(INDEX('Rule Updates'!$C:$C,MATCH(A464,'Rule Updates'!$A:$A,0)),"Review"))</f>
        <v/>
      </c>
      <c r="D464" s="10">
        <f>COUNTIF('Amex Transactions'!$C:$C,A464)</f>
        <v/>
      </c>
      <c r="E464" s="10">
        <f>SUMIFS('Amex Transactions'!$G:$G,'Amex Transactions'!$C:$C,A464,'Amex Transactions'!$G:$G,"&gt;0")</f>
        <v/>
      </c>
      <c r="F464" s="11" t="n">
        <v>45797</v>
      </c>
      <c r="G464" s="10">
        <f>IF(COUNTIFS('Amex Transactions'!$C:$C,A464,'Amex Transactions'!$I:$I,"Check")&gt;0,"Check","")</f>
        <v/>
      </c>
    </row>
    <row r="465">
      <c r="A465" s="10" t="inlineStr">
        <is>
          <t>NE WCHITOSE APTT.BLDG JAPAN</t>
        </is>
      </c>
      <c r="B465" s="10">
        <f>IFERROR(INDEX('Review Items'!$D:$D,MATCH(A465,'Review Items'!$B:$B,0)),IFERROR(INDEX('Rule Updates'!$B:$B,MATCH(A465,'Rule Updates'!$A:$A,0)),"Uncategorised"))</f>
        <v/>
      </c>
      <c r="C465" s="10">
        <f>IFERROR(INDEX('Review Items'!$E:$E,MATCH(A465,'Review Items'!$B:$B,0)),IFERROR(INDEX('Rule Updates'!$C:$C,MATCH(A465,'Rule Updates'!$A:$A,0)),"Review"))</f>
        <v/>
      </c>
      <c r="D465" s="10">
        <f>COUNTIF('Amex Transactions'!$C:$C,A465)</f>
        <v/>
      </c>
      <c r="E465" s="10">
        <f>SUMIFS('Amex Transactions'!$G:$G,'Amex Transactions'!$C:$C,A465,'Amex Transactions'!$G:$G,"&gt;0")</f>
        <v/>
      </c>
      <c r="F465" s="11" t="n">
        <v>46087</v>
      </c>
      <c r="G465" s="10">
        <f>IF(COUNTIFS('Amex Transactions'!$C:$C,A465,'Amex Transactions'!$I:$I,"Check")&gt;0,"Check","")</f>
        <v/>
      </c>
    </row>
    <row r="466">
      <c r="A466" s="10" t="inlineStr">
        <is>
          <t>SIXT USA POS FORT LAUDERDALE</t>
        </is>
      </c>
      <c r="B466" s="10">
        <f>IFERROR(INDEX('Review Items'!$D:$D,MATCH(A466,'Review Items'!$B:$B,0)),IFERROR(INDEX('Rule Updates'!$B:$B,MATCH(A466,'Rule Updates'!$A:$A,0)),"Uncategorised"))</f>
        <v/>
      </c>
      <c r="C466" s="10">
        <f>IFERROR(INDEX('Review Items'!$E:$E,MATCH(A466,'Review Items'!$B:$B,0)),IFERROR(INDEX('Rule Updates'!$C:$C,MATCH(A466,'Rule Updates'!$A:$A,0)),"Review"))</f>
        <v/>
      </c>
      <c r="D466" s="10">
        <f>COUNTIF('Amex Transactions'!$C:$C,A466)</f>
        <v/>
      </c>
      <c r="E466" s="10">
        <f>SUMIFS('Amex Transactions'!$G:$G,'Amex Transactions'!$C:$C,A466,'Amex Transactions'!$G:$G,"&gt;0")</f>
        <v/>
      </c>
      <c r="F466" s="11" t="n">
        <v>45798</v>
      </c>
      <c r="G466" s="10">
        <f>IF(COUNTIFS('Amex Transactions'!$C:$C,A466,'Amex Transactions'!$I:$I,"Check")&gt;0,"Check","")</f>
        <v/>
      </c>
    </row>
    <row r="467">
      <c r="A467" s="10" t="inlineStr">
        <is>
          <t>CJ_OLIVE YOUNG SEOUL</t>
        </is>
      </c>
      <c r="B467" s="10">
        <f>IFERROR(INDEX('Review Items'!$D:$D,MATCH(A467,'Review Items'!$B:$B,0)),IFERROR(INDEX('Rule Updates'!$B:$B,MATCH(A467,'Rule Updates'!$A:$A,0)),"Uncategorised"))</f>
        <v/>
      </c>
      <c r="C467" s="10">
        <f>IFERROR(INDEX('Review Items'!$E:$E,MATCH(A467,'Review Items'!$B:$B,0)),IFERROR(INDEX('Rule Updates'!$C:$C,MATCH(A467,'Rule Updates'!$A:$A,0)),"Review"))</f>
        <v/>
      </c>
      <c r="D467" s="10">
        <f>COUNTIF('Amex Transactions'!$C:$C,A467)</f>
        <v/>
      </c>
      <c r="E467" s="10">
        <f>SUMIFS('Amex Transactions'!$G:$G,'Amex Transactions'!$C:$C,A467,'Amex Transactions'!$G:$G,"&gt;0")</f>
        <v/>
      </c>
      <c r="F467" s="11" t="n">
        <v>45586</v>
      </c>
      <c r="G467" s="10">
        <f>IF(COUNTIFS('Amex Transactions'!$C:$C,A467,'Amex Transactions'!$I:$I,"Check")&gt;0,"Check","")</f>
        <v/>
      </c>
    </row>
    <row r="468">
      <c r="A468" s="10" t="inlineStr">
        <is>
          <t>TAXIWORLD*LONDON TAXI 6 GLASGOW</t>
        </is>
      </c>
      <c r="B468" s="10">
        <f>IFERROR(INDEX('Review Items'!$D:$D,MATCH(A468,'Review Items'!$B:$B,0)),IFERROR(INDEX('Rule Updates'!$B:$B,MATCH(A468,'Rule Updates'!$A:$A,0)),"Uncategorised"))</f>
        <v/>
      </c>
      <c r="C468" s="10">
        <f>IFERROR(INDEX('Review Items'!$E:$E,MATCH(A468,'Review Items'!$B:$B,0)),IFERROR(INDEX('Rule Updates'!$C:$C,MATCH(A468,'Rule Updates'!$A:$A,0)),"Review"))</f>
        <v/>
      </c>
      <c r="D468" s="10">
        <f>COUNTIF('Amex Transactions'!$C:$C,A468)</f>
        <v/>
      </c>
      <c r="E468" s="10">
        <f>SUMIFS('Amex Transactions'!$G:$G,'Amex Transactions'!$C:$C,A468,'Amex Transactions'!$G:$G,"&gt;0")</f>
        <v/>
      </c>
      <c r="F468" s="11" t="n">
        <v>45820</v>
      </c>
      <c r="G468" s="10">
        <f>IF(COUNTIFS('Amex Transactions'!$C:$C,A468,'Amex Transactions'!$I:$I,"Check")&gt;0,"Check","")</f>
        <v/>
      </c>
    </row>
    <row r="469">
      <c r="A469" s="10" t="inlineStr">
        <is>
          <t>AELLISEU SEOUL</t>
        </is>
      </c>
      <c r="B469" s="10">
        <f>IFERROR(INDEX('Review Items'!$D:$D,MATCH(A469,'Review Items'!$B:$B,0)),IFERROR(INDEX('Rule Updates'!$B:$B,MATCH(A469,'Rule Updates'!$A:$A,0)),"Uncategorised"))</f>
        <v/>
      </c>
      <c r="C469" s="10">
        <f>IFERROR(INDEX('Review Items'!$E:$E,MATCH(A469,'Review Items'!$B:$B,0)),IFERROR(INDEX('Rule Updates'!$C:$C,MATCH(A469,'Rule Updates'!$A:$A,0)),"Review"))</f>
        <v/>
      </c>
      <c r="D469" s="10">
        <f>COUNTIF('Amex Transactions'!$C:$C,A469)</f>
        <v/>
      </c>
      <c r="E469" s="10">
        <f>SUMIFS('Amex Transactions'!$G:$G,'Amex Transactions'!$C:$C,A469,'Amex Transactions'!$G:$G,"&gt;0")</f>
        <v/>
      </c>
      <c r="F469" s="11" t="n">
        <v>45931</v>
      </c>
      <c r="G469" s="10">
        <f>IF(COUNTIFS('Amex Transactions'!$C:$C,A469,'Amex Transactions'!$I:$I,"Check")&gt;0,"Check","")</f>
        <v/>
      </c>
    </row>
    <row r="470">
      <c r="A470" s="10" t="inlineStr">
        <is>
          <t>FIATA CENTRAL</t>
        </is>
      </c>
      <c r="B470" s="10">
        <f>IFERROR(INDEX('Review Items'!$D:$D,MATCH(A470,'Review Items'!$B:$B,0)),IFERROR(INDEX('Rule Updates'!$B:$B,MATCH(A470,'Rule Updates'!$A:$A,0)),"Uncategorised"))</f>
        <v/>
      </c>
      <c r="C470" s="10">
        <f>IFERROR(INDEX('Review Items'!$E:$E,MATCH(A470,'Review Items'!$B:$B,0)),IFERROR(INDEX('Rule Updates'!$C:$C,MATCH(A470,'Rule Updates'!$A:$A,0)),"Review"))</f>
        <v/>
      </c>
      <c r="D470" s="10">
        <f>COUNTIF('Amex Transactions'!$C:$C,A470)</f>
        <v/>
      </c>
      <c r="E470" s="10">
        <f>SUMIFS('Amex Transactions'!$G:$G,'Amex Transactions'!$C:$C,A470,'Amex Transactions'!$G:$G,"&gt;0")</f>
        <v/>
      </c>
      <c r="F470" s="11" t="n">
        <v>45590</v>
      </c>
      <c r="G470" s="10">
        <f>IF(COUNTIFS('Amex Transactions'!$C:$C,A470,'Amex Transactions'!$I:$I,"Check")&gt;0,"Check","")</f>
        <v/>
      </c>
    </row>
    <row r="471">
      <c r="A471" s="10" t="inlineStr">
        <is>
          <t>CITEES CARTAGENACARMEN MURCIA</t>
        </is>
      </c>
      <c r="B471" s="10">
        <f>IFERROR(INDEX('Review Items'!$D:$D,MATCH(A471,'Review Items'!$B:$B,0)),IFERROR(INDEX('Rule Updates'!$B:$B,MATCH(A471,'Rule Updates'!$A:$A,0)),"Uncategorised"))</f>
        <v/>
      </c>
      <c r="C471" s="10">
        <f>IFERROR(INDEX('Review Items'!$E:$E,MATCH(A471,'Review Items'!$B:$B,0)),IFERROR(INDEX('Rule Updates'!$C:$C,MATCH(A471,'Rule Updates'!$A:$A,0)),"Review"))</f>
        <v/>
      </c>
      <c r="D471" s="10">
        <f>COUNTIF('Amex Transactions'!$C:$C,A471)</f>
        <v/>
      </c>
      <c r="E471" s="10">
        <f>SUMIFS('Amex Transactions'!$G:$G,'Amex Transactions'!$C:$C,A471,'Amex Transactions'!$G:$G,"&gt;0")</f>
        <v/>
      </c>
      <c r="F471" s="11" t="n">
        <v>45622</v>
      </c>
      <c r="G471" s="10">
        <f>IF(COUNTIFS('Amex Transactions'!$C:$C,A471,'Amex Transactions'!$I:$I,"Check")&gt;0,"Check","")</f>
        <v/>
      </c>
    </row>
    <row r="472">
      <c r="A472" s="10" t="inlineStr">
        <is>
          <t>U BER TRIP HELP.U BER.COM</t>
        </is>
      </c>
      <c r="B472" s="10">
        <f>IFERROR(INDEX('Review Items'!$D:$D,MATCH(A472,'Review Items'!$B:$B,0)),IFERROR(INDEX('Rule Updates'!$B:$B,MATCH(A472,'Rule Updates'!$A:$A,0)),"Uncategorised"))</f>
        <v/>
      </c>
      <c r="C472" s="10">
        <f>IFERROR(INDEX('Review Items'!$E:$E,MATCH(A472,'Review Items'!$B:$B,0)),IFERROR(INDEX('Rule Updates'!$C:$C,MATCH(A472,'Rule Updates'!$A:$A,0)),"Review"))</f>
        <v/>
      </c>
      <c r="D472" s="10">
        <f>COUNTIF('Amex Transactions'!$C:$C,A472)</f>
        <v/>
      </c>
      <c r="E472" s="10">
        <f>SUMIFS('Amex Transactions'!$G:$G,'Amex Transactions'!$C:$C,A472,'Amex Transactions'!$G:$G,"&gt;0")</f>
        <v/>
      </c>
      <c r="F472" s="11" t="n">
        <v>46010</v>
      </c>
      <c r="G472" s="10">
        <f>IF(COUNTIFS('Amex Transactions'!$C:$C,A472,'Amex Transactions'!$I:$I,"Check")&gt;0,"Check","")</f>
        <v/>
      </c>
    </row>
    <row r="473">
      <c r="A473" s="10" t="inlineStr">
        <is>
          <t>Kumo meng t ian j u n</t>
        </is>
      </c>
      <c r="B473" s="10">
        <f>IFERROR(INDEX('Review Items'!$D:$D,MATCH(A473,'Review Items'!$B:$B,0)),IFERROR(INDEX('Rule Updates'!$B:$B,MATCH(A473,'Rule Updates'!$A:$A,0)),"Uncategorised"))</f>
        <v/>
      </c>
      <c r="C473" s="10">
        <f>IFERROR(INDEX('Review Items'!$E:$E,MATCH(A473,'Review Items'!$B:$B,0)),IFERROR(INDEX('Rule Updates'!$C:$C,MATCH(A473,'Rule Updates'!$A:$A,0)),"Review"))</f>
        <v/>
      </c>
      <c r="D473" s="10">
        <f>COUNTIF('Amex Transactions'!$C:$C,A473)</f>
        <v/>
      </c>
      <c r="E473" s="10">
        <f>SUMIFS('Amex Transactions'!$G:$G,'Amex Transactions'!$C:$C,A473,'Amex Transactions'!$G:$G,"&gt;0")</f>
        <v/>
      </c>
      <c r="F473" s="11" t="n">
        <v>46080</v>
      </c>
      <c r="G473" s="10">
        <f>IF(COUNTIFS('Amex Transactions'!$C:$C,A473,'Amex Transactions'!$I:$I,"Check")&gt;0,"Check","")</f>
        <v/>
      </c>
    </row>
    <row r="474">
      <c r="A474" s="10" t="inlineStr">
        <is>
          <t>Hidden Stand meng tian jun</t>
        </is>
      </c>
      <c r="B474" s="10">
        <f>IFERROR(INDEX('Review Items'!$D:$D,MATCH(A474,'Review Items'!$B:$B,0)),IFERROR(INDEX('Rule Updates'!$B:$B,MATCH(A474,'Rule Updates'!$A:$A,0)),"Uncategorised"))</f>
        <v/>
      </c>
      <c r="C474" s="10">
        <f>IFERROR(INDEX('Review Items'!$E:$E,MATCH(A474,'Review Items'!$B:$B,0)),IFERROR(INDEX('Rule Updates'!$C:$C,MATCH(A474,'Rule Updates'!$A:$A,0)),"Review"))</f>
        <v/>
      </c>
      <c r="D474" s="10">
        <f>COUNTIF('Amex Transactions'!$C:$C,A474)</f>
        <v/>
      </c>
      <c r="E474" s="10">
        <f>SUMIFS('Amex Transactions'!$G:$G,'Amex Transactions'!$C:$C,A474,'Amex Transactions'!$G:$G,"&gt;0")</f>
        <v/>
      </c>
      <c r="F474" s="11" t="n">
        <v>45729</v>
      </c>
      <c r="G474" s="10">
        <f>IF(COUNTIFS('Amex Transactions'!$C:$C,A474,'Amex Transactions'!$I:$I,"Check")&gt;0,"Check","")</f>
        <v/>
      </c>
    </row>
    <row r="475">
      <c r="A475" s="10" t="inlineStr">
        <is>
          <t>OTTOLENGHI.CO.UK LONDON</t>
        </is>
      </c>
      <c r="B475" s="10">
        <f>IFERROR(INDEX('Review Items'!$D:$D,MATCH(A475,'Review Items'!$B:$B,0)),IFERROR(INDEX('Rule Updates'!$B:$B,MATCH(A475,'Rule Updates'!$A:$A,0)),"Uncategorised"))</f>
        <v/>
      </c>
      <c r="C475" s="10">
        <f>IFERROR(INDEX('Review Items'!$E:$E,MATCH(A475,'Review Items'!$B:$B,0)),IFERROR(INDEX('Rule Updates'!$C:$C,MATCH(A475,'Rule Updates'!$A:$A,0)),"Review"))</f>
        <v/>
      </c>
      <c r="D475" s="10">
        <f>COUNTIF('Amex Transactions'!$C:$C,A475)</f>
        <v/>
      </c>
      <c r="E475" s="10">
        <f>SUMIFS('Amex Transactions'!$G:$G,'Amex Transactions'!$C:$C,A475,'Amex Transactions'!$G:$G,"&gt;0")</f>
        <v/>
      </c>
      <c r="F475" s="11" t="n">
        <v>45818</v>
      </c>
      <c r="G475" s="10">
        <f>IF(COUNTIFS('Amex Transactions'!$C:$C,A475,'Amex Transactions'!$I:$I,"Check")&gt;0,"Check","")</f>
        <v/>
      </c>
    </row>
    <row r="476">
      <c r="A476" s="10" t="inlineStr">
        <is>
          <t>PROCOOK GLOUCESTER</t>
        </is>
      </c>
      <c r="B476" s="10">
        <f>IFERROR(INDEX('Review Items'!$D:$D,MATCH(A476,'Review Items'!$B:$B,0)),IFERROR(INDEX('Rule Updates'!$B:$B,MATCH(A476,'Rule Updates'!$A:$A,0)),"Uncategorised"))</f>
        <v/>
      </c>
      <c r="C476" s="10">
        <f>IFERROR(INDEX('Review Items'!$E:$E,MATCH(A476,'Review Items'!$B:$B,0)),IFERROR(INDEX('Rule Updates'!$C:$C,MATCH(A476,'Rule Updates'!$A:$A,0)),"Review"))</f>
        <v/>
      </c>
      <c r="D476" s="10">
        <f>COUNTIF('Amex Transactions'!$C:$C,A476)</f>
        <v/>
      </c>
      <c r="E476" s="10">
        <f>SUMIFS('Amex Transactions'!$G:$G,'Amex Transactions'!$C:$C,A476,'Amex Transactions'!$G:$G,"&gt;0")</f>
        <v/>
      </c>
      <c r="F476" s="11" t="n">
        <v>45771</v>
      </c>
      <c r="G476" s="10">
        <f>IF(COUNTIFS('Amex Transactions'!$C:$C,A476,'Amex Transactions'!$I:$I,"Check")&gt;0,"Check","")</f>
        <v/>
      </c>
    </row>
    <row r="477">
      <c r="A477" s="10" t="inlineStr">
        <is>
          <t>( JOO ) INISEUPEULI JEOIJ O J E J U-DO</t>
        </is>
      </c>
      <c r="B477" s="10">
        <f>IFERROR(INDEX('Review Items'!$D:$D,MATCH(A477,'Review Items'!$B:$B,0)),IFERROR(INDEX('Rule Updates'!$B:$B,MATCH(A477,'Rule Updates'!$A:$A,0)),"Uncategorised"))</f>
        <v/>
      </c>
      <c r="C477" s="10">
        <f>IFERROR(INDEX('Review Items'!$E:$E,MATCH(A477,'Review Items'!$B:$B,0)),IFERROR(INDEX('Rule Updates'!$C:$C,MATCH(A477,'Rule Updates'!$A:$A,0)),"Review"))</f>
        <v/>
      </c>
      <c r="D477" s="10">
        <f>COUNTIF('Amex Transactions'!$C:$C,A477)</f>
        <v/>
      </c>
      <c r="E477" s="10">
        <f>SUMIFS('Amex Transactions'!$G:$G,'Amex Transactions'!$C:$C,A477,'Amex Transactions'!$G:$G,"&gt;0")</f>
        <v/>
      </c>
      <c r="F477" s="11" t="n">
        <v>45970</v>
      </c>
      <c r="G477" s="10">
        <f>IF(COUNTIFS('Amex Transactions'!$C:$C,A477,'Amex Transactions'!$I:$I,"Check")&gt;0,"Check","")</f>
        <v/>
      </c>
    </row>
    <row r="478">
      <c r="A478" s="10" t="inlineStr">
        <is>
          <t>B ' IN SELECT 00000000000 HONG KONG</t>
        </is>
      </c>
      <c r="B478" s="10">
        <f>IFERROR(INDEX('Review Items'!$D:$D,MATCH(A478,'Review Items'!$B:$B,0)),IFERROR(INDEX('Rule Updates'!$B:$B,MATCH(A478,'Rule Updates'!$A:$A,0)),"Uncategorised"))</f>
        <v/>
      </c>
      <c r="C478" s="10">
        <f>IFERROR(INDEX('Review Items'!$E:$E,MATCH(A478,'Review Items'!$B:$B,0)),IFERROR(INDEX('Rule Updates'!$C:$C,MATCH(A478,'Rule Updates'!$A:$A,0)),"Review"))</f>
        <v/>
      </c>
      <c r="D478" s="10">
        <f>COUNTIF('Amex Transactions'!$C:$C,A478)</f>
        <v/>
      </c>
      <c r="E478" s="10">
        <f>SUMIFS('Amex Transactions'!$G:$G,'Amex Transactions'!$C:$C,A478,'Amex Transactions'!$G:$G,"&gt;0")</f>
        <v/>
      </c>
      <c r="F478" s="11" t="n">
        <v>46060</v>
      </c>
      <c r="G478" s="10">
        <f>IF(COUNTIFS('Amex Transactions'!$C:$C,A478,'Amex Transactions'!$I:$I,"Check")&gt;0,"Check","")</f>
        <v/>
      </c>
    </row>
    <row r="479">
      <c r="A479" s="10" t="inlineStr">
        <is>
          <t>IPPODO TEA KYOTO</t>
        </is>
      </c>
      <c r="B479" s="10">
        <f>IFERROR(INDEX('Review Items'!$D:$D,MATCH(A479,'Review Items'!$B:$B,0)),IFERROR(INDEX('Rule Updates'!$B:$B,MATCH(A479,'Rule Updates'!$A:$A,0)),"Uncategorised"))</f>
        <v/>
      </c>
      <c r="C479" s="10">
        <f>IFERROR(INDEX('Review Items'!$E:$E,MATCH(A479,'Review Items'!$B:$B,0)),IFERROR(INDEX('Rule Updates'!$C:$C,MATCH(A479,'Rule Updates'!$A:$A,0)),"Review"))</f>
        <v/>
      </c>
      <c r="D479" s="10">
        <f>COUNTIF('Amex Transactions'!$C:$C,A479)</f>
        <v/>
      </c>
      <c r="E479" s="10">
        <f>SUMIFS('Amex Transactions'!$G:$G,'Amex Transactions'!$C:$C,A479,'Amex Transactions'!$G:$G,"&gt;0")</f>
        <v/>
      </c>
      <c r="F479" s="11" t="n">
        <v>45641</v>
      </c>
      <c r="G479" s="10">
        <f>IF(COUNTIFS('Amex Transactions'!$C:$C,A479,'Amex Transactions'!$I:$I,"Check")&gt;0,"Check","")</f>
        <v/>
      </c>
    </row>
    <row r="480">
      <c r="A480" s="10" t="inlineStr">
        <is>
          <t>FARMACIA MATA 055606560 MALAGA</t>
        </is>
      </c>
      <c r="B480" s="10">
        <f>IFERROR(INDEX('Review Items'!$D:$D,MATCH(A480,'Review Items'!$B:$B,0)),IFERROR(INDEX('Rule Updates'!$B:$B,MATCH(A480,'Rule Updates'!$A:$A,0)),"Uncategorised"))</f>
        <v/>
      </c>
      <c r="C480" s="10">
        <f>IFERROR(INDEX('Review Items'!$E:$E,MATCH(A480,'Review Items'!$B:$B,0)),IFERROR(INDEX('Rule Updates'!$C:$C,MATCH(A480,'Rule Updates'!$A:$A,0)),"Review"))</f>
        <v/>
      </c>
      <c r="D480" s="10">
        <f>COUNTIF('Amex Transactions'!$C:$C,A480)</f>
        <v/>
      </c>
      <c r="E480" s="10">
        <f>SUMIFS('Amex Transactions'!$G:$G,'Amex Transactions'!$C:$C,A480,'Amex Transactions'!$G:$G,"&gt;0")</f>
        <v/>
      </c>
      <c r="F480" s="11" t="n">
        <v>45624</v>
      </c>
      <c r="G480" s="10">
        <f>IF(COUNTIFS('Amex Transactions'!$C:$C,A480,'Amex Transactions'!$I:$I,"Check")&gt;0,"Check","")</f>
        <v/>
      </c>
    </row>
    <row r="481">
      <c r="A481" s="10" t="inlineStr">
        <is>
          <t>Anemone Bath</t>
        </is>
      </c>
      <c r="B481" s="10">
        <f>IFERROR(INDEX('Review Items'!$D:$D,MATCH(A481,'Review Items'!$B:$B,0)),IFERROR(INDEX('Rule Updates'!$B:$B,MATCH(A481,'Rule Updates'!$A:$A,0)),"Uncategorised"))</f>
        <v/>
      </c>
      <c r="C481" s="10">
        <f>IFERROR(INDEX('Review Items'!$E:$E,MATCH(A481,'Review Items'!$B:$B,0)),IFERROR(INDEX('Rule Updates'!$C:$C,MATCH(A481,'Rule Updates'!$A:$A,0)),"Review"))</f>
        <v/>
      </c>
      <c r="D481" s="10">
        <f>COUNTIF('Amex Transactions'!$C:$C,A481)</f>
        <v/>
      </c>
      <c r="E481" s="10">
        <f>SUMIFS('Amex Transactions'!$G:$G,'Amex Transactions'!$C:$C,A481,'Amex Transactions'!$G:$G,"&gt;0")</f>
        <v/>
      </c>
      <c r="F481" s="11" t="n">
        <v>45771</v>
      </c>
      <c r="G481" s="10">
        <f>IF(COUNTIFS('Amex Transactions'!$C:$C,A481,'Amex Transactions'!$I:$I,"Check")&gt;0,"Check","")</f>
        <v/>
      </c>
    </row>
    <row r="482">
      <c r="A482" s="10" t="inlineStr">
        <is>
          <t>ROOM 10 POTTS POINT</t>
        </is>
      </c>
      <c r="B482" s="10">
        <f>IFERROR(INDEX('Review Items'!$D:$D,MATCH(A482,'Review Items'!$B:$B,0)),IFERROR(INDEX('Rule Updates'!$B:$B,MATCH(A482,'Rule Updates'!$A:$A,0)),"Uncategorised"))</f>
        <v/>
      </c>
      <c r="C482" s="10">
        <f>IFERROR(INDEX('Review Items'!$E:$E,MATCH(A482,'Review Items'!$B:$B,0)),IFERROR(INDEX('Rule Updates'!$C:$C,MATCH(A482,'Rule Updates'!$A:$A,0)),"Review"))</f>
        <v/>
      </c>
      <c r="D482" s="10">
        <f>COUNTIF('Amex Transactions'!$C:$C,A482)</f>
        <v/>
      </c>
      <c r="E482" s="10">
        <f>SUMIFS('Amex Transactions'!$G:$G,'Amex Transactions'!$C:$C,A482,'Amex Transactions'!$G:$G,"&gt;0")</f>
        <v/>
      </c>
      <c r="F482" s="11" t="n">
        <v>46011</v>
      </c>
      <c r="G482" s="10">
        <f>IF(COUNTIFS('Amex Transactions'!$C:$C,A482,'Amex Transactions'!$I:$I,"Check")&gt;0,"Check","")</f>
        <v/>
      </c>
    </row>
    <row r="483">
      <c r="A483" s="10" t="inlineStr">
        <is>
          <t>AP QUAY Sy d n ey</t>
        </is>
      </c>
      <c r="B483" s="10">
        <f>IFERROR(INDEX('Review Items'!$D:$D,MATCH(A483,'Review Items'!$B:$B,0)),IFERROR(INDEX('Rule Updates'!$B:$B,MATCH(A483,'Rule Updates'!$A:$A,0)),"Uncategorised"))</f>
        <v/>
      </c>
      <c r="C483" s="10">
        <f>IFERROR(INDEX('Review Items'!$E:$E,MATCH(A483,'Review Items'!$B:$B,0)),IFERROR(INDEX('Rule Updates'!$C:$C,MATCH(A483,'Rule Updates'!$A:$A,0)),"Review"))</f>
        <v/>
      </c>
      <c r="D483" s="10">
        <f>COUNTIF('Amex Transactions'!$C:$C,A483)</f>
        <v/>
      </c>
      <c r="E483" s="10">
        <f>SUMIFS('Amex Transactions'!$G:$G,'Amex Transactions'!$C:$C,A483,'Amex Transactions'!$G:$G,"&gt;0")</f>
        <v/>
      </c>
      <c r="F483" s="11" t="n">
        <v>46015</v>
      </c>
      <c r="G483" s="10">
        <f>IF(COUNTIFS('Amex Transactions'!$C:$C,A483,'Amex Transactions'!$I:$I,"Check")&gt;0,"Check","")</f>
        <v/>
      </c>
    </row>
    <row r="484">
      <c r="A484" s="10" t="inlineStr">
        <is>
          <t>CITY'SUPER CAUSEWAY BAY</t>
        </is>
      </c>
      <c r="B484" s="10">
        <f>IFERROR(INDEX('Review Items'!$D:$D,MATCH(A484,'Review Items'!$B:$B,0)),IFERROR(INDEX('Rule Updates'!$B:$B,MATCH(A484,'Rule Updates'!$A:$A,0)),"Uncategorised"))</f>
        <v/>
      </c>
      <c r="C484" s="10">
        <f>IFERROR(INDEX('Review Items'!$E:$E,MATCH(A484,'Review Items'!$B:$B,0)),IFERROR(INDEX('Rule Updates'!$C:$C,MATCH(A484,'Rule Updates'!$A:$A,0)),"Review"))</f>
        <v/>
      </c>
      <c r="D484" s="10">
        <f>COUNTIF('Amex Transactions'!$C:$C,A484)</f>
        <v/>
      </c>
      <c r="E484" s="10">
        <f>SUMIFS('Amex Transactions'!$G:$G,'Amex Transactions'!$C:$C,A484,'Amex Transactions'!$G:$G,"&gt;0")</f>
        <v/>
      </c>
      <c r="F484" s="11" t="n">
        <v>45587</v>
      </c>
      <c r="G484" s="10">
        <f>IF(COUNTIFS('Amex Transactions'!$C:$C,A484,'Amex Transactions'!$I:$I,"Check")&gt;0,"Check","")</f>
        <v/>
      </c>
    </row>
    <row r="485">
      <c r="A485" s="10" t="inlineStr">
        <is>
          <t>THE COCONUT Club - KIM SINGAPORE</t>
        </is>
      </c>
      <c r="B485" s="10">
        <f>IFERROR(INDEX('Review Items'!$D:$D,MATCH(A485,'Review Items'!$B:$B,0)),IFERROR(INDEX('Rule Updates'!$B:$B,MATCH(A485,'Rule Updates'!$A:$A,0)),"Uncategorised"))</f>
        <v/>
      </c>
      <c r="C485" s="10">
        <f>IFERROR(INDEX('Review Items'!$E:$E,MATCH(A485,'Review Items'!$B:$B,0)),IFERROR(INDEX('Rule Updates'!$C:$C,MATCH(A485,'Rule Updates'!$A:$A,0)),"Review"))</f>
        <v/>
      </c>
      <c r="D485" s="10">
        <f>COUNTIF('Amex Transactions'!$C:$C,A485)</f>
        <v/>
      </c>
      <c r="E485" s="10">
        <f>SUMIFS('Amex Transactions'!$G:$G,'Amex Transactions'!$C:$C,A485,'Amex Transactions'!$G:$G,"&gt;0")</f>
        <v/>
      </c>
      <c r="F485" s="11" t="n">
        <v>45549</v>
      </c>
      <c r="G485" s="10">
        <f>IF(COUNTIFS('Amex Transactions'!$C:$C,A485,'Amex Transactions'!$I:$I,"Check")&gt;0,"Check","")</f>
        <v/>
      </c>
    </row>
    <row r="486">
      <c r="A486" s="10" t="inlineStr">
        <is>
          <t>J U MPSPEAK WIL MINGTON</t>
        </is>
      </c>
      <c r="B486" s="10">
        <f>IFERROR(INDEX('Review Items'!$D:$D,MATCH(A486,'Review Items'!$B:$B,0)),IFERROR(INDEX('Rule Updates'!$B:$B,MATCH(A486,'Rule Updates'!$A:$A,0)),"Uncategorised"))</f>
        <v/>
      </c>
      <c r="C486" s="10">
        <f>IFERROR(INDEX('Review Items'!$E:$E,MATCH(A486,'Review Items'!$B:$B,0)),IFERROR(INDEX('Rule Updates'!$C:$C,MATCH(A486,'Rule Updates'!$A:$A,0)),"Review"))</f>
        <v/>
      </c>
      <c r="D486" s="10">
        <f>COUNTIF('Amex Transactions'!$C:$C,A486)</f>
        <v/>
      </c>
      <c r="E486" s="10">
        <f>SUMIFS('Amex Transactions'!$G:$G,'Amex Transactions'!$C:$C,A486,'Amex Transactions'!$G:$G,"&gt;0")</f>
        <v/>
      </c>
      <c r="F486" s="11" t="n">
        <v>46003</v>
      </c>
      <c r="G486" s="10">
        <f>IF(COUNTIFS('Amex Transactions'!$C:$C,A486,'Amex Transactions'!$I:$I,"Check")&gt;0,"Check","")</f>
        <v/>
      </c>
    </row>
    <row r="487">
      <c r="A487" s="10" t="inlineStr">
        <is>
          <t>AMZNMKTPLACE*TO11Y8184 AMAZON.CO.UK</t>
        </is>
      </c>
      <c r="B487" s="10">
        <f>IFERROR(INDEX('Review Items'!$D:$D,MATCH(A487,'Review Items'!$B:$B,0)),IFERROR(INDEX('Rule Updates'!$B:$B,MATCH(A487,'Rule Updates'!$A:$A,0)),"Uncategorised"))</f>
        <v/>
      </c>
      <c r="C487" s="10">
        <f>IFERROR(INDEX('Review Items'!$E:$E,MATCH(A487,'Review Items'!$B:$B,0)),IFERROR(INDEX('Rule Updates'!$C:$C,MATCH(A487,'Rule Updates'!$A:$A,0)),"Review"))</f>
        <v/>
      </c>
      <c r="D487" s="10">
        <f>COUNTIF('Amex Transactions'!$C:$C,A487)</f>
        <v/>
      </c>
      <c r="E487" s="10">
        <f>SUMIFS('Amex Transactions'!$G:$G,'Amex Transactions'!$C:$C,A487,'Amex Transactions'!$G:$G,"&gt;0")</f>
        <v/>
      </c>
      <c r="F487" s="11" t="n">
        <v>45570</v>
      </c>
      <c r="G487" s="10">
        <f>IF(COUNTIFS('Amex Transactions'!$C:$C,A487,'Amex Transactions'!$I:$I,"Check")&gt;0,"Check","")</f>
        <v/>
      </c>
    </row>
    <row r="488">
      <c r="A488" s="10" t="inlineStr">
        <is>
          <t>ROSSITERS OF BATH ROSSI BATH</t>
        </is>
      </c>
      <c r="B488" s="10">
        <f>IFERROR(INDEX('Review Items'!$D:$D,MATCH(A488,'Review Items'!$B:$B,0)),IFERROR(INDEX('Rule Updates'!$B:$B,MATCH(A488,'Rule Updates'!$A:$A,0)),"Uncategorised"))</f>
        <v/>
      </c>
      <c r="C488" s="10">
        <f>IFERROR(INDEX('Review Items'!$E:$E,MATCH(A488,'Review Items'!$B:$B,0)),IFERROR(INDEX('Rule Updates'!$C:$C,MATCH(A488,'Rule Updates'!$A:$A,0)),"Review"))</f>
        <v/>
      </c>
      <c r="D488" s="10">
        <f>COUNTIF('Amex Transactions'!$C:$C,A488)</f>
        <v/>
      </c>
      <c r="E488" s="10">
        <f>SUMIFS('Amex Transactions'!$G:$G,'Amex Transactions'!$C:$C,A488,'Amex Transactions'!$G:$G,"&gt;0")</f>
        <v/>
      </c>
      <c r="F488" s="11" t="n">
        <v>45771</v>
      </c>
      <c r="G488" s="10">
        <f>IF(COUNTIFS('Amex Transactions'!$C:$C,A488,'Amex Transactions'!$I:$I,"Check")&gt;0,"Check","")</f>
        <v/>
      </c>
    </row>
    <row r="489">
      <c r="A489" s="10" t="inlineStr">
        <is>
          <t>ET TA SOEUR BONIFACIO</t>
        </is>
      </c>
      <c r="B489" s="10">
        <f>IFERROR(INDEX('Review Items'!$D:$D,MATCH(A489,'Review Items'!$B:$B,0)),IFERROR(INDEX('Rule Updates'!$B:$B,MATCH(A489,'Rule Updates'!$A:$A,0)),"Uncategorised"))</f>
        <v/>
      </c>
      <c r="C489" s="10">
        <f>IFERROR(INDEX('Review Items'!$E:$E,MATCH(A489,'Review Items'!$B:$B,0)),IFERROR(INDEX('Rule Updates'!$C:$C,MATCH(A489,'Rule Updates'!$A:$A,0)),"Review"))</f>
        <v/>
      </c>
      <c r="D489" s="10">
        <f>COUNTIF('Amex Transactions'!$C:$C,A489)</f>
        <v/>
      </c>
      <c r="E489" s="10">
        <f>SUMIFS('Amex Transactions'!$G:$G,'Amex Transactions'!$C:$C,A489,'Amex Transactions'!$G:$G,"&gt;0")</f>
        <v/>
      </c>
      <c r="F489" s="11" t="n">
        <v>45829</v>
      </c>
      <c r="G489" s="10">
        <f>IF(COUNTIFS('Amex Transactions'!$C:$C,A489,'Amex Transactions'!$I:$I,"Check")&gt;0,"Check","")</f>
        <v/>
      </c>
    </row>
    <row r="490">
      <c r="A490" s="10" t="inlineStr">
        <is>
          <t>HKSH HEALTHCARE ( TANNER HONG KONG</t>
        </is>
      </c>
      <c r="B490" s="10">
        <f>IFERROR(INDEX('Review Items'!$D:$D,MATCH(A490,'Review Items'!$B:$B,0)),IFERROR(INDEX('Rule Updates'!$B:$B,MATCH(A490,'Rule Updates'!$A:$A,0)),"Uncategorised"))</f>
        <v/>
      </c>
      <c r="C490" s="10">
        <f>IFERROR(INDEX('Review Items'!$E:$E,MATCH(A490,'Review Items'!$B:$B,0)),IFERROR(INDEX('Rule Updates'!$C:$C,MATCH(A490,'Rule Updates'!$A:$A,0)),"Review"))</f>
        <v/>
      </c>
      <c r="D490" s="10">
        <f>COUNTIF('Amex Transactions'!$C:$C,A490)</f>
        <v/>
      </c>
      <c r="E490" s="10">
        <f>SUMIFS('Amex Transactions'!$G:$G,'Amex Transactions'!$C:$C,A490,'Amex Transactions'!$G:$G,"&gt;0")</f>
        <v/>
      </c>
      <c r="F490" s="11" t="n">
        <v>45903</v>
      </c>
      <c r="G490" s="10">
        <f>IF(COUNTIFS('Amex Transactions'!$C:$C,A490,'Amex Transactions'!$I:$I,"Check")&gt;0,"Check","")</f>
        <v/>
      </c>
    </row>
    <row r="491">
      <c r="A491" s="10" t="inlineStr">
        <is>
          <t>A FURISETSUNISEKO HOKKAIDO</t>
        </is>
      </c>
      <c r="B491" s="10">
        <f>IFERROR(INDEX('Review Items'!$D:$D,MATCH(A491,'Review Items'!$B:$B,0)),IFERROR(INDEX('Rule Updates'!$B:$B,MATCH(A491,'Rule Updates'!$A:$A,0)),"Uncategorised"))</f>
        <v/>
      </c>
      <c r="C491" s="10">
        <f>IFERROR(INDEX('Review Items'!$E:$E,MATCH(A491,'Review Items'!$B:$B,0)),IFERROR(INDEX('Rule Updates'!$C:$C,MATCH(A491,'Rule Updates'!$A:$A,0)),"Review"))</f>
        <v/>
      </c>
      <c r="D491" s="10">
        <f>COUNTIF('Amex Transactions'!$C:$C,A491)</f>
        <v/>
      </c>
      <c r="E491" s="10">
        <f>SUMIFS('Amex Transactions'!$G:$G,'Amex Transactions'!$C:$C,A491,'Amex Transactions'!$G:$G,"&gt;0")</f>
        <v/>
      </c>
      <c r="F491" s="11" t="n">
        <v>46086</v>
      </c>
      <c r="G491" s="10">
        <f>IF(COUNTIFS('Amex Transactions'!$C:$C,A491,'Amex Transactions'!$I:$I,"Check")&gt;0,"Check","")</f>
        <v/>
      </c>
    </row>
    <row r="492">
      <c r="A492" s="10" t="inlineStr">
        <is>
          <t>JOOSIKHOISA GOODLEONEOK SEOUL</t>
        </is>
      </c>
      <c r="B492" s="10">
        <f>IFERROR(INDEX('Review Items'!$D:$D,MATCH(A492,'Review Items'!$B:$B,0)),IFERROR(INDEX('Rule Updates'!$B:$B,MATCH(A492,'Rule Updates'!$A:$A,0)),"Uncategorised"))</f>
        <v/>
      </c>
      <c r="C492" s="10">
        <f>IFERROR(INDEX('Review Items'!$E:$E,MATCH(A492,'Review Items'!$B:$B,0)),IFERROR(INDEX('Rule Updates'!$C:$C,MATCH(A492,'Rule Updates'!$A:$A,0)),"Review"))</f>
        <v/>
      </c>
      <c r="D492" s="10">
        <f>COUNTIF('Amex Transactions'!$C:$C,A492)</f>
        <v/>
      </c>
      <c r="E492" s="10">
        <f>SUMIFS('Amex Transactions'!$G:$G,'Amex Transactions'!$C:$C,A492,'Amex Transactions'!$G:$G,"&gt;0")</f>
        <v/>
      </c>
      <c r="F492" s="11" t="n">
        <v>45932</v>
      </c>
      <c r="G492" s="10">
        <f>IF(COUNTIFS('Amex Transactions'!$C:$C,A492,'Amex Transactions'!$I:$I,"Check")&gt;0,"Check","")</f>
        <v/>
      </c>
    </row>
    <row r="493">
      <c r="A493" s="10" t="inlineStr">
        <is>
          <t>HACHIRIKI TAXI HOKKAIDO</t>
        </is>
      </c>
      <c r="B493" s="10">
        <f>IFERROR(INDEX('Review Items'!$D:$D,MATCH(A493,'Review Items'!$B:$B,0)),IFERROR(INDEX('Rule Updates'!$B:$B,MATCH(A493,'Rule Updates'!$A:$A,0)),"Uncategorised"))</f>
        <v/>
      </c>
      <c r="C493" s="10">
        <f>IFERROR(INDEX('Review Items'!$E:$E,MATCH(A493,'Review Items'!$B:$B,0)),IFERROR(INDEX('Rule Updates'!$C:$C,MATCH(A493,'Rule Updates'!$A:$A,0)),"Review"))</f>
        <v/>
      </c>
      <c r="D493" s="10">
        <f>COUNTIF('Amex Transactions'!$C:$C,A493)</f>
        <v/>
      </c>
      <c r="E493" s="10">
        <f>SUMIFS('Amex Transactions'!$G:$G,'Amex Transactions'!$C:$C,A493,'Amex Transactions'!$G:$G,"&gt;0")</f>
        <v/>
      </c>
      <c r="F493" s="11" t="n">
        <v>45719</v>
      </c>
      <c r="G493" s="10">
        <f>IF(COUNTIFS('Amex Transactions'!$C:$C,A493,'Amex Transactions'!$I:$I,"Check")&gt;0,"Check","")</f>
        <v/>
      </c>
    </row>
    <row r="494">
      <c r="A494" s="10" t="inlineStr">
        <is>
          <t>SHAKE SHACKI F C (0201) CENTRAL</t>
        </is>
      </c>
      <c r="B494" s="10">
        <f>IFERROR(INDEX('Review Items'!$D:$D,MATCH(A494,'Review Items'!$B:$B,0)),IFERROR(INDEX('Rule Updates'!$B:$B,MATCH(A494,'Rule Updates'!$A:$A,0)),"Uncategorised"))</f>
        <v/>
      </c>
      <c r="C494" s="10">
        <f>IFERROR(INDEX('Review Items'!$E:$E,MATCH(A494,'Review Items'!$B:$B,0)),IFERROR(INDEX('Rule Updates'!$C:$C,MATCH(A494,'Rule Updates'!$A:$A,0)),"Review"))</f>
        <v/>
      </c>
      <c r="D494" s="10">
        <f>COUNTIF('Amex Transactions'!$C:$C,A494)</f>
        <v/>
      </c>
      <c r="E494" s="10">
        <f>SUMIFS('Amex Transactions'!$G:$G,'Amex Transactions'!$C:$C,A494,'Amex Transactions'!$G:$G,"&gt;0")</f>
        <v/>
      </c>
      <c r="F494" s="11" t="n">
        <v>46096</v>
      </c>
      <c r="G494" s="10">
        <f>IF(COUNTIFS('Amex Transactions'!$C:$C,A494,'Amex Transactions'!$I:$I,"Check")&gt;0,"Check","")</f>
        <v/>
      </c>
    </row>
    <row r="495">
      <c r="A495" s="10" t="inlineStr">
        <is>
          <t>FREE PEOPLE 4804 38/39 LONDON</t>
        </is>
      </c>
      <c r="B495" s="10">
        <f>IFERROR(INDEX('Review Items'!$D:$D,MATCH(A495,'Review Items'!$B:$B,0)),IFERROR(INDEX('Rule Updates'!$B:$B,MATCH(A495,'Rule Updates'!$A:$A,0)),"Uncategorised"))</f>
        <v/>
      </c>
      <c r="C495" s="10">
        <f>IFERROR(INDEX('Review Items'!$E:$E,MATCH(A495,'Review Items'!$B:$B,0)),IFERROR(INDEX('Rule Updates'!$C:$C,MATCH(A495,'Rule Updates'!$A:$A,0)),"Review"))</f>
        <v/>
      </c>
      <c r="D495" s="10">
        <f>COUNTIF('Amex Transactions'!$C:$C,A495)</f>
        <v/>
      </c>
      <c r="E495" s="10">
        <f>SUMIFS('Amex Transactions'!$G:$G,'Amex Transactions'!$C:$C,A495,'Amex Transactions'!$G:$G,"&gt;0")</f>
        <v/>
      </c>
      <c r="F495" s="11" t="n">
        <v>45751</v>
      </c>
      <c r="G495" s="10">
        <f>IF(COUNTIFS('Amex Transactions'!$C:$C,A495,'Amex Transactions'!$I:$I,"Check")&gt;0,"Check","")</f>
        <v/>
      </c>
    </row>
    <row r="496">
      <c r="A496" s="10" t="inlineStr">
        <is>
          <t>EMPEUTI SEONGSOO SEOUL</t>
        </is>
      </c>
      <c r="B496" s="10">
        <f>IFERROR(INDEX('Review Items'!$D:$D,MATCH(A496,'Review Items'!$B:$B,0)),IFERROR(INDEX('Rule Updates'!$B:$B,MATCH(A496,'Rule Updates'!$A:$A,0)),"Uncategorised"))</f>
        <v/>
      </c>
      <c r="C496" s="10">
        <f>IFERROR(INDEX('Review Items'!$E:$E,MATCH(A496,'Review Items'!$B:$B,0)),IFERROR(INDEX('Rule Updates'!$C:$C,MATCH(A496,'Rule Updates'!$A:$A,0)),"Review"))</f>
        <v/>
      </c>
      <c r="D496" s="10">
        <f>COUNTIF('Amex Transactions'!$C:$C,A496)</f>
        <v/>
      </c>
      <c r="E496" s="10">
        <f>SUMIFS('Amex Transactions'!$G:$G,'Amex Transactions'!$C:$C,A496,'Amex Transactions'!$G:$G,"&gt;0")</f>
        <v/>
      </c>
      <c r="F496" s="11" t="n">
        <v>45968</v>
      </c>
      <c r="G496" s="10">
        <f>IF(COUNTIFS('Amex Transactions'!$C:$C,A496,'Amex Transactions'!$I:$I,"Check")&gt;0,"Check","")</f>
        <v/>
      </c>
    </row>
    <row r="497">
      <c r="A497" s="10" t="inlineStr">
        <is>
          <t>GARMIN ( EUROPE ) LIMITED SOUTHAMPTON</t>
        </is>
      </c>
      <c r="B497" s="10">
        <f>IFERROR(INDEX('Review Items'!$D:$D,MATCH(A497,'Review Items'!$B:$B,0)),IFERROR(INDEX('Rule Updates'!$B:$B,MATCH(A497,'Rule Updates'!$A:$A,0)),"Uncategorised"))</f>
        <v/>
      </c>
      <c r="C497" s="10">
        <f>IFERROR(INDEX('Review Items'!$E:$E,MATCH(A497,'Review Items'!$B:$B,0)),IFERROR(INDEX('Rule Updates'!$C:$C,MATCH(A497,'Rule Updates'!$A:$A,0)),"Review"))</f>
        <v/>
      </c>
      <c r="D497" s="10">
        <f>COUNTIF('Amex Transactions'!$C:$C,A497)</f>
        <v/>
      </c>
      <c r="E497" s="10">
        <f>SUMIFS('Amex Transactions'!$G:$G,'Amex Transactions'!$C:$C,A497,'Amex Transactions'!$G:$G,"&gt;0")</f>
        <v/>
      </c>
      <c r="F497" s="11" t="n">
        <v>46102</v>
      </c>
      <c r="G497" s="10">
        <f>IF(COUNTIFS('Amex Transactions'!$C:$C,A497,'Amex Transactions'!$I:$I,"Check")&gt;0,"Check","")</f>
        <v/>
      </c>
    </row>
    <row r="498">
      <c r="A498" s="10" t="inlineStr">
        <is>
          <t>UNIVERSITY OPTICAL SHOP CENTRAL</t>
        </is>
      </c>
      <c r="B498" s="10">
        <f>IFERROR(INDEX('Review Items'!$D:$D,MATCH(A498,'Review Items'!$B:$B,0)),IFERROR(INDEX('Rule Updates'!$B:$B,MATCH(A498,'Rule Updates'!$A:$A,0)),"Uncategorised"))</f>
        <v/>
      </c>
      <c r="C498" s="10">
        <f>IFERROR(INDEX('Review Items'!$E:$E,MATCH(A498,'Review Items'!$B:$B,0)),IFERROR(INDEX('Rule Updates'!$C:$C,MATCH(A498,'Rule Updates'!$A:$A,0)),"Review"))</f>
        <v/>
      </c>
      <c r="D498" s="10">
        <f>COUNTIF('Amex Transactions'!$C:$C,A498)</f>
        <v/>
      </c>
      <c r="E498" s="10">
        <f>SUMIFS('Amex Transactions'!$G:$G,'Amex Transactions'!$C:$C,A498,'Amex Transactions'!$G:$G,"&gt;0")</f>
        <v/>
      </c>
      <c r="F498" s="11" t="n">
        <v>46064</v>
      </c>
      <c r="G498" s="10">
        <f>IF(COUNTIFS('Amex Transactions'!$C:$C,A498,'Amex Transactions'!$I:$I,"Check")&gt;0,"Check","")</f>
        <v/>
      </c>
    </row>
    <row r="499">
      <c r="A499" s="10" t="inlineStr">
        <is>
          <t>SATSUDORA NISEKOHIRAHUT HOKKAIDO</t>
        </is>
      </c>
      <c r="B499" s="10">
        <f>IFERROR(INDEX('Review Items'!$D:$D,MATCH(A499,'Review Items'!$B:$B,0)),IFERROR(INDEX('Rule Updates'!$B:$B,MATCH(A499,'Rule Updates'!$A:$A,0)),"Uncategorised"))</f>
        <v/>
      </c>
      <c r="C499" s="10">
        <f>IFERROR(INDEX('Review Items'!$E:$E,MATCH(A499,'Review Items'!$B:$B,0)),IFERROR(INDEX('Rule Updates'!$C:$C,MATCH(A499,'Rule Updates'!$A:$A,0)),"Review"))</f>
        <v/>
      </c>
      <c r="D499" s="10">
        <f>COUNTIF('Amex Transactions'!$C:$C,A499)</f>
        <v/>
      </c>
      <c r="E499" s="10">
        <f>SUMIFS('Amex Transactions'!$G:$G,'Amex Transactions'!$C:$C,A499,'Amex Transactions'!$G:$G,"&gt;0")</f>
        <v/>
      </c>
      <c r="F499" s="11" t="n">
        <v>46081</v>
      </c>
      <c r="G499" s="10">
        <f>IF(COUNTIFS('Amex Transactions'!$C:$C,A499,'Amex Transactions'!$I:$I,"Check")&gt;0,"Check","")</f>
        <v/>
      </c>
    </row>
    <row r="500">
      <c r="A500" s="10" t="inlineStr">
        <is>
          <t>DY MOCKS PTY LTD SYDNEY SYDNEY</t>
        </is>
      </c>
      <c r="B500" s="10">
        <f>IFERROR(INDEX('Review Items'!$D:$D,MATCH(A500,'Review Items'!$B:$B,0)),IFERROR(INDEX('Rule Updates'!$B:$B,MATCH(A500,'Rule Updates'!$A:$A,0)),"Uncategorised"))</f>
        <v/>
      </c>
      <c r="C500" s="10">
        <f>IFERROR(INDEX('Review Items'!$E:$E,MATCH(A500,'Review Items'!$B:$B,0)),IFERROR(INDEX('Rule Updates'!$C:$C,MATCH(A500,'Rule Updates'!$A:$A,0)),"Review"))</f>
        <v/>
      </c>
      <c r="D500" s="10">
        <f>COUNTIF('Amex Transactions'!$C:$C,A500)</f>
        <v/>
      </c>
      <c r="E500" s="10">
        <f>SUMIFS('Amex Transactions'!$G:$G,'Amex Transactions'!$C:$C,A500,'Amex Transactions'!$G:$G,"&gt;0")</f>
        <v/>
      </c>
      <c r="F500" s="11" t="n">
        <v>46012</v>
      </c>
      <c r="G500" s="10">
        <f>IF(COUNTIFS('Amex Transactions'!$C:$C,A500,'Amex Transactions'!$I:$I,"Check")&gt;0,"Check","")</f>
        <v/>
      </c>
    </row>
    <row r="501">
      <c r="A501" s="10" t="inlineStr">
        <is>
          <t>KELLY &amp; WALSH LTD CENTRAL</t>
        </is>
      </c>
      <c r="B501" s="10">
        <f>IFERROR(INDEX('Review Items'!$D:$D,MATCH(A501,'Review Items'!$B:$B,0)),IFERROR(INDEX('Rule Updates'!$B:$B,MATCH(A501,'Rule Updates'!$A:$A,0)),"Uncategorised"))</f>
        <v/>
      </c>
      <c r="C501" s="10">
        <f>IFERROR(INDEX('Review Items'!$E:$E,MATCH(A501,'Review Items'!$B:$B,0)),IFERROR(INDEX('Rule Updates'!$C:$C,MATCH(A501,'Rule Updates'!$A:$A,0)),"Review"))</f>
        <v/>
      </c>
      <c r="D501" s="10">
        <f>COUNTIF('Amex Transactions'!$C:$C,A501)</f>
        <v/>
      </c>
      <c r="E501" s="10">
        <f>SUMIFS('Amex Transactions'!$G:$G,'Amex Transactions'!$C:$C,A501,'Amex Transactions'!$G:$G,"&gt;0")</f>
        <v/>
      </c>
      <c r="F501" s="11" t="n">
        <v>45875</v>
      </c>
      <c r="G501" s="10">
        <f>IF(COUNTIFS('Amex Transactions'!$C:$C,A501,'Amex Transactions'!$I:$I,"Check")&gt;0,"Check","")</f>
        <v/>
      </c>
    </row>
    <row r="502">
      <c r="A502" s="10" t="inlineStr">
        <is>
          <t>GREAT FOOD HALL (GPP-25 ADMIRALTY</t>
        </is>
      </c>
      <c r="B502" s="10">
        <f>IFERROR(INDEX('Review Items'!$D:$D,MATCH(A502,'Review Items'!$B:$B,0)),IFERROR(INDEX('Rule Updates'!$B:$B,MATCH(A502,'Rule Updates'!$A:$A,0)),"Uncategorised"))</f>
        <v/>
      </c>
      <c r="C502" s="10">
        <f>IFERROR(INDEX('Review Items'!$E:$E,MATCH(A502,'Review Items'!$B:$B,0)),IFERROR(INDEX('Rule Updates'!$C:$C,MATCH(A502,'Rule Updates'!$A:$A,0)),"Review"))</f>
        <v/>
      </c>
      <c r="D502" s="10">
        <f>COUNTIF('Amex Transactions'!$C:$C,A502)</f>
        <v/>
      </c>
      <c r="E502" s="10">
        <f>SUMIFS('Amex Transactions'!$G:$G,'Amex Transactions'!$C:$C,A502,'Amex Transactions'!$G:$G,"&gt;0")</f>
        <v/>
      </c>
      <c r="F502" s="11" t="n">
        <v>45649</v>
      </c>
      <c r="G502" s="10">
        <f>IF(COUNTIFS('Amex Transactions'!$C:$C,A502,'Amex Transactions'!$I:$I,"Check")&gt;0,"Check","")</f>
        <v/>
      </c>
    </row>
    <row r="503">
      <c r="A503" s="10" t="inlineStr">
        <is>
          <t>LS RUNNING BATH BATH</t>
        </is>
      </c>
      <c r="B503" s="10">
        <f>IFERROR(INDEX('Review Items'!$D:$D,MATCH(A503,'Review Items'!$B:$B,0)),IFERROR(INDEX('Rule Updates'!$B:$B,MATCH(A503,'Rule Updates'!$A:$A,0)),"Uncategorised"))</f>
        <v/>
      </c>
      <c r="C503" s="10">
        <f>IFERROR(INDEX('Review Items'!$E:$E,MATCH(A503,'Review Items'!$B:$B,0)),IFERROR(INDEX('Rule Updates'!$C:$C,MATCH(A503,'Rule Updates'!$A:$A,0)),"Review"))</f>
        <v/>
      </c>
      <c r="D503" s="10">
        <f>COUNTIF('Amex Transactions'!$C:$C,A503)</f>
        <v/>
      </c>
      <c r="E503" s="10">
        <f>SUMIFS('Amex Transactions'!$G:$G,'Amex Transactions'!$C:$C,A503,'Amex Transactions'!$G:$G,"&gt;0")</f>
        <v/>
      </c>
      <c r="F503" s="11" t="n">
        <v>45756</v>
      </c>
      <c r="G503" s="10">
        <f>IF(COUNTIFS('Amex Transactions'!$C:$C,A503,'Amex Transactions'!$I:$I,"Check")&gt;0,"Check","")</f>
        <v/>
      </c>
    </row>
    <row r="504">
      <c r="A504" s="10" t="inlineStr">
        <is>
          <t>KPAY * SC ROASTERY 000000 HONG KONG</t>
        </is>
      </c>
      <c r="B504" s="10">
        <f>IFERROR(INDEX('Review Items'!$D:$D,MATCH(A504,'Review Items'!$B:$B,0)),IFERROR(INDEX('Rule Updates'!$B:$B,MATCH(A504,'Rule Updates'!$A:$A,0)),"Uncategorised"))</f>
        <v/>
      </c>
      <c r="C504" s="10">
        <f>IFERROR(INDEX('Review Items'!$E:$E,MATCH(A504,'Review Items'!$B:$B,0)),IFERROR(INDEX('Rule Updates'!$C:$C,MATCH(A504,'Rule Updates'!$A:$A,0)),"Review"))</f>
        <v/>
      </c>
      <c r="D504" s="10">
        <f>COUNTIF('Amex Transactions'!$C:$C,A504)</f>
        <v/>
      </c>
      <c r="E504" s="10">
        <f>SUMIFS('Amex Transactions'!$G:$G,'Amex Transactions'!$C:$C,A504,'Amex Transactions'!$G:$G,"&gt;0")</f>
        <v/>
      </c>
      <c r="F504" s="11" t="n">
        <v>45940</v>
      </c>
      <c r="G504" s="10">
        <f>IF(COUNTIFS('Amex Transactions'!$C:$C,A504,'Amex Transactions'!$I:$I,"Check")&gt;0,"Check","")</f>
        <v/>
      </c>
    </row>
    <row r="505">
      <c r="A505" s="10" t="inlineStr">
        <is>
          <t>SA SA (HA02) CAUSEWAY BAY</t>
        </is>
      </c>
      <c r="B505" s="10">
        <f>IFERROR(INDEX('Review Items'!$D:$D,MATCH(A505,'Review Items'!$B:$B,0)),IFERROR(INDEX('Rule Updates'!$B:$B,MATCH(A505,'Rule Updates'!$A:$A,0)),"Uncategorised"))</f>
        <v/>
      </c>
      <c r="C505" s="10">
        <f>IFERROR(INDEX('Review Items'!$E:$E,MATCH(A505,'Review Items'!$B:$B,0)),IFERROR(INDEX('Rule Updates'!$C:$C,MATCH(A505,'Rule Updates'!$A:$A,0)),"Review"))</f>
        <v/>
      </c>
      <c r="D505" s="10">
        <f>COUNTIF('Amex Transactions'!$C:$C,A505)</f>
        <v/>
      </c>
      <c r="E505" s="10">
        <f>SUMIFS('Amex Transactions'!$G:$G,'Amex Transactions'!$C:$C,A505,'Amex Transactions'!$G:$G,"&gt;0")</f>
        <v/>
      </c>
      <c r="F505" s="11" t="n">
        <v>45562</v>
      </c>
      <c r="G505" s="10">
        <f>IF(COUNTIFS('Amex Transactions'!$C:$C,A505,'Amex Transactions'!$I:$I,"Check")&gt;0,"Check","")</f>
        <v/>
      </c>
    </row>
    <row r="506">
      <c r="A506" s="10" t="inlineStr">
        <is>
          <t>EMPEROR CINEMA HONG KONG</t>
        </is>
      </c>
      <c r="B506" s="10">
        <f>IFERROR(INDEX('Review Items'!$D:$D,MATCH(A506,'Review Items'!$B:$B,0)),IFERROR(INDEX('Rule Updates'!$B:$B,MATCH(A506,'Rule Updates'!$A:$A,0)),"Uncategorised"))</f>
        <v/>
      </c>
      <c r="C506" s="10">
        <f>IFERROR(INDEX('Review Items'!$E:$E,MATCH(A506,'Review Items'!$B:$B,0)),IFERROR(INDEX('Rule Updates'!$C:$C,MATCH(A506,'Rule Updates'!$A:$A,0)),"Review"))</f>
        <v/>
      </c>
      <c r="D506" s="10">
        <f>COUNTIF('Amex Transactions'!$C:$C,A506)</f>
        <v/>
      </c>
      <c r="E506" s="10">
        <f>SUMIFS('Amex Transactions'!$G:$G,'Amex Transactions'!$C:$C,A506,'Amex Transactions'!$G:$G,"&gt;0")</f>
        <v/>
      </c>
      <c r="F506" s="11" t="n">
        <v>45914</v>
      </c>
      <c r="G506" s="10">
        <f>IF(COUNTIFS('Amex Transactions'!$C:$C,A506,'Amex Transactions'!$I:$I,"Check")&gt;0,"Check","")</f>
        <v/>
      </c>
    </row>
    <row r="507">
      <c r="A507" s="10" t="inlineStr">
        <is>
          <t>FARMACIA EL SAGRARIO 01 MALAGA</t>
        </is>
      </c>
      <c r="B507" s="10">
        <f>IFERROR(INDEX('Review Items'!$D:$D,MATCH(A507,'Review Items'!$B:$B,0)),IFERROR(INDEX('Rule Updates'!$B:$B,MATCH(A507,'Rule Updates'!$A:$A,0)),"Uncategorised"))</f>
        <v/>
      </c>
      <c r="C507" s="10">
        <f>IFERROR(INDEX('Review Items'!$E:$E,MATCH(A507,'Review Items'!$B:$B,0)),IFERROR(INDEX('Rule Updates'!$C:$C,MATCH(A507,'Rule Updates'!$A:$A,0)),"Review"))</f>
        <v/>
      </c>
      <c r="D507" s="10">
        <f>COUNTIF('Amex Transactions'!$C:$C,A507)</f>
        <v/>
      </c>
      <c r="E507" s="10">
        <f>SUMIFS('Amex Transactions'!$G:$G,'Amex Transactions'!$C:$C,A507,'Amex Transactions'!$G:$G,"&gt;0")</f>
        <v/>
      </c>
      <c r="F507" s="11" t="n">
        <v>45623</v>
      </c>
      <c r="G507" s="10">
        <f>IF(COUNTIFS('Amex Transactions'!$C:$C,A507,'Amex Transactions'!$I:$I,"Check")&gt;0,"Check","")</f>
        <v/>
      </c>
    </row>
    <row r="508">
      <c r="A508" s="10" t="inlineStr">
        <is>
          <t>WOOLWORTHS 1416 DOUBLE DOUBLE BAY</t>
        </is>
      </c>
      <c r="B508" s="10">
        <f>IFERROR(INDEX('Review Items'!$D:$D,MATCH(A508,'Review Items'!$B:$B,0)),IFERROR(INDEX('Rule Updates'!$B:$B,MATCH(A508,'Rule Updates'!$A:$A,0)),"Uncategorised"))</f>
        <v/>
      </c>
      <c r="C508" s="10">
        <f>IFERROR(INDEX('Review Items'!$E:$E,MATCH(A508,'Review Items'!$B:$B,0)),IFERROR(INDEX('Rule Updates'!$C:$C,MATCH(A508,'Rule Updates'!$A:$A,0)),"Review"))</f>
        <v/>
      </c>
      <c r="D508" s="10">
        <f>COUNTIF('Amex Transactions'!$C:$C,A508)</f>
        <v/>
      </c>
      <c r="E508" s="10">
        <f>SUMIFS('Amex Transactions'!$G:$G,'Amex Transactions'!$C:$C,A508,'Amex Transactions'!$G:$G,"&gt;0")</f>
        <v/>
      </c>
      <c r="F508" s="11" t="n">
        <v>45881</v>
      </c>
      <c r="G508" s="10">
        <f>IF(COUNTIFS('Amex Transactions'!$C:$C,A508,'Amex Transactions'!$I:$I,"Check")&gt;0,"Check","")</f>
        <v/>
      </c>
    </row>
    <row r="509">
      <c r="A509" s="10" t="inlineStr">
        <is>
          <t>GM TAXIPAY MASCOT</t>
        </is>
      </c>
      <c r="B509" s="10">
        <f>IFERROR(INDEX('Review Items'!$D:$D,MATCH(A509,'Review Items'!$B:$B,0)),IFERROR(INDEX('Rule Updates'!$B:$B,MATCH(A509,'Rule Updates'!$A:$A,0)),"Uncategorised"))</f>
        <v/>
      </c>
      <c r="C509" s="10">
        <f>IFERROR(INDEX('Review Items'!$E:$E,MATCH(A509,'Review Items'!$B:$B,0)),IFERROR(INDEX('Rule Updates'!$C:$C,MATCH(A509,'Rule Updates'!$A:$A,0)),"Review"))</f>
        <v/>
      </c>
      <c r="D509" s="10">
        <f>COUNTIF('Amex Transactions'!$C:$C,A509)</f>
        <v/>
      </c>
      <c r="E509" s="10">
        <f>SUMIFS('Amex Transactions'!$G:$G,'Amex Transactions'!$C:$C,A509,'Amex Transactions'!$G:$G,"&gt;0")</f>
        <v/>
      </c>
      <c r="F509" s="11" t="n">
        <v>45866</v>
      </c>
      <c r="G509" s="10">
        <f>IF(COUNTIFS('Amex Transactions'!$C:$C,A509,'Amex Transactions'!$I:$I,"Check")&gt;0,"Check","")</f>
        <v/>
      </c>
    </row>
    <row r="510">
      <c r="A510" s="10" t="inlineStr">
        <is>
          <t>AMZNMKTPLACE*R69W451K4 AMAZON.CO.UK</t>
        </is>
      </c>
      <c r="B510" s="10">
        <f>IFERROR(INDEX('Review Items'!$D:$D,MATCH(A510,'Review Items'!$B:$B,0)),IFERROR(INDEX('Rule Updates'!$B:$B,MATCH(A510,'Rule Updates'!$A:$A,0)),"Uncategorised"))</f>
        <v/>
      </c>
      <c r="C510" s="10">
        <f>IFERROR(INDEX('Review Items'!$E:$E,MATCH(A510,'Review Items'!$B:$B,0)),IFERROR(INDEX('Rule Updates'!$C:$C,MATCH(A510,'Rule Updates'!$A:$A,0)),"Review"))</f>
        <v/>
      </c>
      <c r="D510" s="10">
        <f>COUNTIF('Amex Transactions'!$C:$C,A510)</f>
        <v/>
      </c>
      <c r="E510" s="10">
        <f>SUMIFS('Amex Transactions'!$G:$G,'Amex Transactions'!$C:$C,A510,'Amex Transactions'!$G:$G,"&gt;0")</f>
        <v/>
      </c>
      <c r="F510" s="11" t="n">
        <v>45754</v>
      </c>
      <c r="G510" s="10">
        <f>IF(COUNTIFS('Amex Transactions'!$C:$C,A510,'Amex Transactions'!$I:$I,"Check")&gt;0,"Check","")</f>
        <v/>
      </c>
    </row>
    <row r="511">
      <c r="A511" s="10" t="inlineStr">
        <is>
          <t>3CPAYMENT*COACH HOUSE DSURREY</t>
        </is>
      </c>
      <c r="B511" s="10">
        <f>IFERROR(INDEX('Review Items'!$D:$D,MATCH(A511,'Review Items'!$B:$B,0)),IFERROR(INDEX('Rule Updates'!$B:$B,MATCH(A511,'Rule Updates'!$A:$A,0)),"Uncategorised"))</f>
        <v/>
      </c>
      <c r="C511" s="10">
        <f>IFERROR(INDEX('Review Items'!$E:$E,MATCH(A511,'Review Items'!$B:$B,0)),IFERROR(INDEX('Rule Updates'!$C:$C,MATCH(A511,'Rule Updates'!$A:$A,0)),"Review"))</f>
        <v/>
      </c>
      <c r="D511" s="10">
        <f>COUNTIF('Amex Transactions'!$C:$C,A511)</f>
        <v/>
      </c>
      <c r="E511" s="10">
        <f>SUMIFS('Amex Transactions'!$G:$G,'Amex Transactions'!$C:$C,A511,'Amex Transactions'!$G:$G,"&gt;0")</f>
        <v/>
      </c>
      <c r="F511" s="11" t="n">
        <v>45742</v>
      </c>
      <c r="G511" s="10">
        <f>IF(COUNTIFS('Amex Transactions'!$C:$C,A511,'Amex Transactions'!$I:$I,"Check")&gt;0,"Check","")</f>
        <v/>
      </c>
    </row>
    <row r="512">
      <c r="A512" s="10" t="inlineStr">
        <is>
          <t>KIRORORESORT HOKKAIDO</t>
        </is>
      </c>
      <c r="B512" s="10">
        <f>IFERROR(INDEX('Review Items'!$D:$D,MATCH(A512,'Review Items'!$B:$B,0)),IFERROR(INDEX('Rule Updates'!$B:$B,MATCH(A512,'Rule Updates'!$A:$A,0)),"Uncategorised"))</f>
        <v/>
      </c>
      <c r="C512" s="10">
        <f>IFERROR(INDEX('Review Items'!$E:$E,MATCH(A512,'Review Items'!$B:$B,0)),IFERROR(INDEX('Rule Updates'!$C:$C,MATCH(A512,'Rule Updates'!$A:$A,0)),"Review"))</f>
        <v/>
      </c>
      <c r="D512" s="10">
        <f>COUNTIF('Amex Transactions'!$C:$C,A512)</f>
        <v/>
      </c>
      <c r="E512" s="10">
        <f>SUMIFS('Amex Transactions'!$G:$G,'Amex Transactions'!$C:$C,A512,'Amex Transactions'!$G:$G,"&gt;0")</f>
        <v/>
      </c>
      <c r="F512" s="11" t="n">
        <v>45731</v>
      </c>
      <c r="G512" s="10">
        <f>IF(COUNTIFS('Amex Transactions'!$C:$C,A512,'Amex Transactions'!$I:$I,"Check")&gt;0,"Check","")</f>
        <v/>
      </c>
    </row>
    <row r="513">
      <c r="A513" s="10" t="inlineStr">
        <is>
          <t>PINA EATERY POTT POINT</t>
        </is>
      </c>
      <c r="B513" s="10">
        <f>IFERROR(INDEX('Review Items'!$D:$D,MATCH(A513,'Review Items'!$B:$B,0)),IFERROR(INDEX('Rule Updates'!$B:$B,MATCH(A513,'Rule Updates'!$A:$A,0)),"Uncategorised"))</f>
        <v/>
      </c>
      <c r="C513" s="10">
        <f>IFERROR(INDEX('Review Items'!$E:$E,MATCH(A513,'Review Items'!$B:$B,0)),IFERROR(INDEX('Rule Updates'!$C:$C,MATCH(A513,'Rule Updates'!$A:$A,0)),"Review"))</f>
        <v/>
      </c>
      <c r="D513" s="10">
        <f>COUNTIF('Amex Transactions'!$C:$C,A513)</f>
        <v/>
      </c>
      <c r="E513" s="10">
        <f>SUMIFS('Amex Transactions'!$G:$G,'Amex Transactions'!$C:$C,A513,'Amex Transactions'!$G:$G,"&gt;0")</f>
        <v/>
      </c>
      <c r="F513" s="11" t="n">
        <v>46012</v>
      </c>
      <c r="G513" s="10">
        <f>IF(COUNTIFS('Amex Transactions'!$C:$C,A513,'Amex Transactions'!$I:$I,"Check")&gt;0,"Check","")</f>
        <v/>
      </c>
    </row>
    <row r="514">
      <c r="A514" s="10" t="inlineStr">
        <is>
          <t>UBER TRIP HELP.UBER.COM</t>
        </is>
      </c>
      <c r="B514" s="10">
        <f>IFERROR(INDEX('Review Items'!$D:$D,MATCH(A514,'Review Items'!$B:$B,0)),IFERROR(INDEX('Rule Updates'!$B:$B,MATCH(A514,'Rule Updates'!$A:$A,0)),"Uncategorised"))</f>
        <v/>
      </c>
      <c r="C514" s="10">
        <f>IFERROR(INDEX('Review Items'!$E:$E,MATCH(A514,'Review Items'!$B:$B,0)),IFERROR(INDEX('Rule Updates'!$C:$C,MATCH(A514,'Rule Updates'!$A:$A,0)),"Review"))</f>
        <v/>
      </c>
      <c r="D514" s="10">
        <f>COUNTIF('Amex Transactions'!$C:$C,A514)</f>
        <v/>
      </c>
      <c r="E514" s="10">
        <f>SUMIFS('Amex Transactions'!$G:$G,'Amex Transactions'!$C:$C,A514,'Amex Transactions'!$G:$G,"&gt;0")</f>
        <v/>
      </c>
      <c r="F514" s="11" t="n">
        <v>45883</v>
      </c>
      <c r="G514" s="10">
        <f>IF(COUNTIFS('Amex Transactions'!$C:$C,A514,'Amex Transactions'!$I:$I,"Check")&gt;0,"Check","")</f>
        <v/>
      </c>
    </row>
    <row r="515">
      <c r="A515" s="10" t="inlineStr">
        <is>
          <t>BATH PRIORY HOTEL BATH</t>
        </is>
      </c>
      <c r="B515" s="10">
        <f>IFERROR(INDEX('Review Items'!$D:$D,MATCH(A515,'Review Items'!$B:$B,0)),IFERROR(INDEX('Rule Updates'!$B:$B,MATCH(A515,'Rule Updates'!$A:$A,0)),"Uncategorised"))</f>
        <v/>
      </c>
      <c r="C515" s="10">
        <f>IFERROR(INDEX('Review Items'!$E:$E,MATCH(A515,'Review Items'!$B:$B,0)),IFERROR(INDEX('Rule Updates'!$C:$C,MATCH(A515,'Rule Updates'!$A:$A,0)),"Review"))</f>
        <v/>
      </c>
      <c r="D515" s="10">
        <f>COUNTIF('Amex Transactions'!$C:$C,A515)</f>
        <v/>
      </c>
      <c r="E515" s="10">
        <f>SUMIFS('Amex Transactions'!$G:$G,'Amex Transactions'!$C:$C,A515,'Amex Transactions'!$G:$G,"&gt;0")</f>
        <v/>
      </c>
      <c r="F515" s="11" t="n">
        <v>45743</v>
      </c>
      <c r="G515" s="10">
        <f>IF(COUNTIFS('Amex Transactions'!$C:$C,A515,'Amex Transactions'!$I:$I,"Check")&gt;0,"Check","")</f>
        <v/>
      </c>
    </row>
    <row r="516">
      <c r="A516" s="10" t="inlineStr">
        <is>
          <t>FARM FRONT AIR NIGATA</t>
        </is>
      </c>
      <c r="B516" s="10">
        <f>IFERROR(INDEX('Review Items'!$D:$D,MATCH(A516,'Review Items'!$B:$B,0)),IFERROR(INDEX('Rule Updates'!$B:$B,MATCH(A516,'Rule Updates'!$A:$A,0)),"Uncategorised"))</f>
        <v/>
      </c>
      <c r="C516" s="10">
        <f>IFERROR(INDEX('Review Items'!$E:$E,MATCH(A516,'Review Items'!$B:$B,0)),IFERROR(INDEX('Rule Updates'!$C:$C,MATCH(A516,'Rule Updates'!$A:$A,0)),"Review"))</f>
        <v/>
      </c>
      <c r="D516" s="10">
        <f>COUNTIF('Amex Transactions'!$C:$C,A516)</f>
        <v/>
      </c>
      <c r="E516" s="10">
        <f>SUMIFS('Amex Transactions'!$G:$G,'Amex Transactions'!$C:$C,A516,'Amex Transactions'!$G:$G,"&gt;0")</f>
        <v/>
      </c>
      <c r="F516" s="11" t="n">
        <v>45980</v>
      </c>
      <c r="G516" s="10">
        <f>IF(COUNTIFS('Amex Transactions'!$C:$C,A516,'Amex Transactions'!$I:$I,"Check")&gt;0,"Check","")</f>
        <v/>
      </c>
    </row>
    <row r="517">
      <c r="A517" s="10" t="inlineStr">
        <is>
          <t>SP IPPODOTEAGLOBAL KIYOUTOSHI NAKA</t>
        </is>
      </c>
      <c r="B517" s="10">
        <f>IFERROR(INDEX('Review Items'!$D:$D,MATCH(A517,'Review Items'!$B:$B,0)),IFERROR(INDEX('Rule Updates'!$B:$B,MATCH(A517,'Rule Updates'!$A:$A,0)),"Uncategorised"))</f>
        <v/>
      </c>
      <c r="C517" s="10">
        <f>IFERROR(INDEX('Review Items'!$E:$E,MATCH(A517,'Review Items'!$B:$B,0)),IFERROR(INDEX('Rule Updates'!$C:$C,MATCH(A517,'Rule Updates'!$A:$A,0)),"Review"))</f>
        <v/>
      </c>
      <c r="D517" s="10">
        <f>COUNTIF('Amex Transactions'!$C:$C,A517)</f>
        <v/>
      </c>
      <c r="E517" s="10">
        <f>SUMIFS('Amex Transactions'!$G:$G,'Amex Transactions'!$C:$C,A517,'Amex Transactions'!$G:$G,"&gt;0")</f>
        <v/>
      </c>
      <c r="F517" s="11" t="n">
        <v>45668</v>
      </c>
      <c r="G517" s="10">
        <f>IF(COUNTIFS('Amex Transactions'!$C:$C,A517,'Amex Transactions'!$I:$I,"Check")&gt;0,"Check","")</f>
        <v/>
      </c>
    </row>
    <row r="518">
      <c r="A518" s="10" t="inlineStr">
        <is>
          <t>CITYSUPER STORE @ AIRSI KOWLOON CITY</t>
        </is>
      </c>
      <c r="B518" s="10">
        <f>IFERROR(INDEX('Review Items'!$D:$D,MATCH(A518,'Review Items'!$B:$B,0)),IFERROR(INDEX('Rule Updates'!$B:$B,MATCH(A518,'Rule Updates'!$A:$A,0)),"Uncategorised"))</f>
        <v/>
      </c>
      <c r="C518" s="10">
        <f>IFERROR(INDEX('Review Items'!$E:$E,MATCH(A518,'Review Items'!$B:$B,0)),IFERROR(INDEX('Rule Updates'!$C:$C,MATCH(A518,'Rule Updates'!$A:$A,0)),"Review"))</f>
        <v/>
      </c>
      <c r="D518" s="10">
        <f>COUNTIF('Amex Transactions'!$C:$C,A518)</f>
        <v/>
      </c>
      <c r="E518" s="10">
        <f>SUMIFS('Amex Transactions'!$G:$G,'Amex Transactions'!$C:$C,A518,'Amex Transactions'!$G:$G,"&gt;0")</f>
        <v/>
      </c>
      <c r="F518" s="11" t="n">
        <v>45536</v>
      </c>
      <c r="G518" s="10">
        <f>IF(COUNTIFS('Amex Transactions'!$C:$C,A518,'Amex Transactions'!$I:$I,"Check")&gt;0,"Check","")</f>
        <v/>
      </c>
    </row>
    <row r="519">
      <c r="A519" s="10" t="inlineStr">
        <is>
          <t>PINA EATERY POTTS POINT</t>
        </is>
      </c>
      <c r="B519" s="10">
        <f>IFERROR(INDEX('Review Items'!$D:$D,MATCH(A519,'Review Items'!$B:$B,0)),IFERROR(INDEX('Rule Updates'!$B:$B,MATCH(A519,'Rule Updates'!$A:$A,0)),"Uncategorised"))</f>
        <v/>
      </c>
      <c r="C519" s="10">
        <f>IFERROR(INDEX('Review Items'!$E:$E,MATCH(A519,'Review Items'!$B:$B,0)),IFERROR(INDEX('Rule Updates'!$C:$C,MATCH(A519,'Rule Updates'!$A:$A,0)),"Review"))</f>
        <v/>
      </c>
      <c r="D519" s="10">
        <f>COUNTIF('Amex Transactions'!$C:$C,A519)</f>
        <v/>
      </c>
      <c r="E519" s="10">
        <f>SUMIFS('Amex Transactions'!$G:$G,'Amex Transactions'!$C:$C,A519,'Amex Transactions'!$G:$G,"&gt;0")</f>
        <v/>
      </c>
      <c r="F519" s="11" t="n">
        <v>45664</v>
      </c>
      <c r="G519" s="10">
        <f>IF(COUNTIFS('Amex Transactions'!$C:$C,A519,'Amex Transactions'!$I:$I,"Check")&gt;0,"Check","")</f>
        <v/>
      </c>
    </row>
    <row r="520">
      <c r="A520" s="10" t="inlineStr">
        <is>
          <t>KPAY*METAPOD MA-2 00000 HONG KONG</t>
        </is>
      </c>
      <c r="B520" s="10">
        <f>IFERROR(INDEX('Review Items'!$D:$D,MATCH(A520,'Review Items'!$B:$B,0)),IFERROR(INDEX('Rule Updates'!$B:$B,MATCH(A520,'Rule Updates'!$A:$A,0)),"Uncategorised"))</f>
        <v/>
      </c>
      <c r="C520" s="10">
        <f>IFERROR(INDEX('Review Items'!$E:$E,MATCH(A520,'Review Items'!$B:$B,0)),IFERROR(INDEX('Rule Updates'!$C:$C,MATCH(A520,'Rule Updates'!$A:$A,0)),"Review"))</f>
        <v/>
      </c>
      <c r="D520" s="10">
        <f>COUNTIF('Amex Transactions'!$C:$C,A520)</f>
        <v/>
      </c>
      <c r="E520" s="10">
        <f>SUMIFS('Amex Transactions'!$G:$G,'Amex Transactions'!$C:$C,A520,'Amex Transactions'!$G:$G,"&gt;0")</f>
        <v/>
      </c>
      <c r="F520" s="11" t="n">
        <v>45737</v>
      </c>
      <c r="G520" s="10">
        <f>IF(COUNTIFS('Amex Transactions'!$C:$C,A520,'Amex Transactions'!$I:$I,"Check")&gt;0,"Check","")</f>
        <v/>
      </c>
    </row>
    <row r="521">
      <c r="A521" s="10" t="inlineStr">
        <is>
          <t>ZARA - PACIFIC PLACE ADMIRALTY</t>
        </is>
      </c>
      <c r="B521" s="10">
        <f>IFERROR(INDEX('Review Items'!$D:$D,MATCH(A521,'Review Items'!$B:$B,0)),IFERROR(INDEX('Rule Updates'!$B:$B,MATCH(A521,'Rule Updates'!$A:$A,0)),"Uncategorised"))</f>
        <v/>
      </c>
      <c r="C521" s="10">
        <f>IFERROR(INDEX('Review Items'!$E:$E,MATCH(A521,'Review Items'!$B:$B,0)),IFERROR(INDEX('Rule Updates'!$C:$C,MATCH(A521,'Rule Updates'!$A:$A,0)),"Review"))</f>
        <v/>
      </c>
      <c r="D521" s="10">
        <f>COUNTIF('Amex Transactions'!$C:$C,A521)</f>
        <v/>
      </c>
      <c r="E521" s="10">
        <f>SUMIFS('Amex Transactions'!$G:$G,'Amex Transactions'!$C:$C,A521,'Amex Transactions'!$G:$G,"&gt;0")</f>
        <v/>
      </c>
      <c r="F521" s="11" t="n">
        <v>45798</v>
      </c>
      <c r="G521" s="10">
        <f>IF(COUNTIFS('Amex Transactions'!$C:$C,A521,'Amex Transactions'!$I:$I,"Check")&gt;0,"Check","")</f>
        <v/>
      </c>
    </row>
    <row r="522">
      <c r="A522" s="10" t="inlineStr">
        <is>
          <t>ZARA-IFC CENTRAL</t>
        </is>
      </c>
      <c r="B522" s="10">
        <f>IFERROR(INDEX('Review Items'!$D:$D,MATCH(A522,'Review Items'!$B:$B,0)),IFERROR(INDEX('Rule Updates'!$B:$B,MATCH(A522,'Rule Updates'!$A:$A,0)),"Uncategorised"))</f>
        <v/>
      </c>
      <c r="C522" s="10">
        <f>IFERROR(INDEX('Review Items'!$E:$E,MATCH(A522,'Review Items'!$B:$B,0)),IFERROR(INDEX('Rule Updates'!$C:$C,MATCH(A522,'Rule Updates'!$A:$A,0)),"Review"))</f>
        <v/>
      </c>
      <c r="D522" s="10">
        <f>COUNTIF('Amex Transactions'!$C:$C,A522)</f>
        <v/>
      </c>
      <c r="E522" s="10">
        <f>SUMIFS('Amex Transactions'!$G:$G,'Amex Transactions'!$C:$C,A522,'Amex Transactions'!$G:$G,"&gt;0")</f>
        <v/>
      </c>
      <c r="F522" s="11" t="n">
        <v>45883</v>
      </c>
      <c r="G522" s="10">
        <f>IF(COUNTIFS('Amex Transactions'!$C:$C,A522,'Amex Transactions'!$I:$I,"Check")&gt;0,"Check","")</f>
        <v/>
      </c>
    </row>
    <row r="523">
      <c r="A523" s="10" t="inlineStr">
        <is>
          <t>UNIQLO (HK0018) CAUSEWAY BAY</t>
        </is>
      </c>
      <c r="B523" s="10">
        <f>IFERROR(INDEX('Review Items'!$D:$D,MATCH(A523,'Review Items'!$B:$B,0)),IFERROR(INDEX('Rule Updates'!$B:$B,MATCH(A523,'Rule Updates'!$A:$A,0)),"Uncategorised"))</f>
        <v/>
      </c>
      <c r="C523" s="10">
        <f>IFERROR(INDEX('Review Items'!$E:$E,MATCH(A523,'Review Items'!$B:$B,0)),IFERROR(INDEX('Rule Updates'!$C:$C,MATCH(A523,'Rule Updates'!$A:$A,0)),"Review"))</f>
        <v/>
      </c>
      <c r="D523" s="10">
        <f>COUNTIF('Amex Transactions'!$C:$C,A523)</f>
        <v/>
      </c>
      <c r="E523" s="10">
        <f>SUMIFS('Amex Transactions'!$G:$G,'Amex Transactions'!$C:$C,A523,'Amex Transactions'!$G:$G,"&gt;0")</f>
        <v/>
      </c>
      <c r="F523" s="11" t="n">
        <v>45587</v>
      </c>
      <c r="G523" s="10">
        <f>IF(COUNTIFS('Amex Transactions'!$C:$C,A523,'Amex Transactions'!$I:$I,"Check")&gt;0,"Check","")</f>
        <v/>
      </c>
    </row>
    <row r="524">
      <c r="A524" s="10" t="inlineStr">
        <is>
          <t>IHER BIHERB .COM A MSTERDAM</t>
        </is>
      </c>
      <c r="B524" s="10">
        <f>IFERROR(INDEX('Review Items'!$D:$D,MATCH(A524,'Review Items'!$B:$B,0)),IFERROR(INDEX('Rule Updates'!$B:$B,MATCH(A524,'Rule Updates'!$A:$A,0)),"Uncategorised"))</f>
        <v/>
      </c>
      <c r="C524" s="10">
        <f>IFERROR(INDEX('Review Items'!$E:$E,MATCH(A524,'Review Items'!$B:$B,0)),IFERROR(INDEX('Rule Updates'!$C:$C,MATCH(A524,'Rule Updates'!$A:$A,0)),"Review"))</f>
        <v/>
      </c>
      <c r="D524" s="10">
        <f>COUNTIF('Amex Transactions'!$C:$C,A524)</f>
        <v/>
      </c>
      <c r="E524" s="10">
        <f>SUMIFS('Amex Transactions'!$G:$G,'Amex Transactions'!$C:$C,A524,'Amex Transactions'!$G:$G,"&gt;0")</f>
        <v/>
      </c>
      <c r="F524" s="11" t="n">
        <v>45988</v>
      </c>
      <c r="G524" s="10">
        <f>IF(COUNTIFS('Amex Transactions'!$C:$C,A524,'Amex Transactions'!$I:$I,"Check")&gt;0,"Check","")</f>
        <v/>
      </c>
    </row>
    <row r="525">
      <c r="A525" s="10" t="inlineStr">
        <is>
          <t>Skye Cafe meng tian jun</t>
        </is>
      </c>
      <c r="B525" s="10">
        <f>IFERROR(INDEX('Review Items'!$D:$D,MATCH(A525,'Review Items'!$B:$B,0)),IFERROR(INDEX('Rule Updates'!$B:$B,MATCH(A525,'Rule Updates'!$A:$A,0)),"Uncategorised"))</f>
        <v/>
      </c>
      <c r="C525" s="10">
        <f>IFERROR(INDEX('Review Items'!$E:$E,MATCH(A525,'Review Items'!$B:$B,0)),IFERROR(INDEX('Rule Updates'!$C:$C,MATCH(A525,'Rule Updates'!$A:$A,0)),"Review"))</f>
        <v/>
      </c>
      <c r="D525" s="10">
        <f>COUNTIF('Amex Transactions'!$C:$C,A525)</f>
        <v/>
      </c>
      <c r="E525" s="10">
        <f>SUMIFS('Amex Transactions'!$G:$G,'Amex Transactions'!$C:$C,A525,'Amex Transactions'!$G:$G,"&gt;0")</f>
        <v/>
      </c>
      <c r="F525" s="11" t="n">
        <v>45722</v>
      </c>
      <c r="G525" s="10">
        <f>IF(COUNTIFS('Amex Transactions'!$C:$C,A525,'Amex Transactions'!$I:$I,"Check")&gt;0,"Check","")</f>
        <v/>
      </c>
    </row>
    <row r="526">
      <c r="A526" s="10" t="inlineStr">
        <is>
          <t>FOTOMAX - F3 48 ( BH ) CENTRAL</t>
        </is>
      </c>
      <c r="B526" s="10">
        <f>IFERROR(INDEX('Review Items'!$D:$D,MATCH(A526,'Review Items'!$B:$B,0)),IFERROR(INDEX('Rule Updates'!$B:$B,MATCH(A526,'Rule Updates'!$A:$A,0)),"Uncategorised"))</f>
        <v/>
      </c>
      <c r="C526" s="10">
        <f>IFERROR(INDEX('Review Items'!$E:$E,MATCH(A526,'Review Items'!$B:$B,0)),IFERROR(INDEX('Rule Updates'!$C:$C,MATCH(A526,'Rule Updates'!$A:$A,0)),"Review"))</f>
        <v/>
      </c>
      <c r="D526" s="10">
        <f>COUNTIF('Amex Transactions'!$C:$C,A526)</f>
        <v/>
      </c>
      <c r="E526" s="10">
        <f>SUMIFS('Amex Transactions'!$G:$G,'Amex Transactions'!$C:$C,A526,'Amex Transactions'!$G:$G,"&gt;0")</f>
        <v/>
      </c>
      <c r="F526" s="11" t="n">
        <v>46065</v>
      </c>
      <c r="G526" s="10">
        <f>IF(COUNTIFS('Amex Transactions'!$C:$C,A526,'Amex Transactions'!$I:$I,"Check")&gt;0,"Check","")</f>
        <v/>
      </c>
    </row>
    <row r="527">
      <c r="A527" s="10" t="inlineStr">
        <is>
          <t>BARRALONXCICCIO BONIFACIO</t>
        </is>
      </c>
      <c r="B527" s="10">
        <f>IFERROR(INDEX('Review Items'!$D:$D,MATCH(A527,'Review Items'!$B:$B,0)),IFERROR(INDEX('Rule Updates'!$B:$B,MATCH(A527,'Rule Updates'!$A:$A,0)),"Uncategorised"))</f>
        <v/>
      </c>
      <c r="C527" s="10">
        <f>IFERROR(INDEX('Review Items'!$E:$E,MATCH(A527,'Review Items'!$B:$B,0)),IFERROR(INDEX('Rule Updates'!$C:$C,MATCH(A527,'Rule Updates'!$A:$A,0)),"Review"))</f>
        <v/>
      </c>
      <c r="D527" s="10">
        <f>COUNTIF('Amex Transactions'!$C:$C,A527)</f>
        <v/>
      </c>
      <c r="E527" s="10">
        <f>SUMIFS('Amex Transactions'!$G:$G,'Amex Transactions'!$C:$C,A527,'Amex Transactions'!$G:$G,"&gt;0")</f>
        <v/>
      </c>
      <c r="F527" s="11" t="n">
        <v>45829</v>
      </c>
      <c r="G527" s="10">
        <f>IF(COUNTIFS('Amex Transactions'!$C:$C,A527,'Amex Transactions'!$I:$I,"Check")&gt;0,"Check","")</f>
        <v/>
      </c>
    </row>
    <row r="528">
      <c r="A528" s="10" t="inlineStr">
        <is>
          <t>HUDSONNEW SST 1247 1247 CARSON</t>
        </is>
      </c>
      <c r="B528" s="10">
        <f>IFERROR(INDEX('Review Items'!$D:$D,MATCH(A528,'Review Items'!$B:$B,0)),IFERROR(INDEX('Rule Updates'!$B:$B,MATCH(A528,'Rule Updates'!$A:$A,0)),"Uncategorised"))</f>
        <v/>
      </c>
      <c r="C528" s="10">
        <f>IFERROR(INDEX('Review Items'!$E:$E,MATCH(A528,'Review Items'!$B:$B,0)),IFERROR(INDEX('Rule Updates'!$C:$C,MATCH(A528,'Rule Updates'!$A:$A,0)),"Review"))</f>
        <v/>
      </c>
      <c r="D528" s="10">
        <f>COUNTIF('Amex Transactions'!$C:$C,A528)</f>
        <v/>
      </c>
      <c r="E528" s="10">
        <f>SUMIFS('Amex Transactions'!$G:$G,'Amex Transactions'!$C:$C,A528,'Amex Transactions'!$G:$G,"&gt;0")</f>
        <v/>
      </c>
      <c r="F528" s="11" t="n">
        <v>45948</v>
      </c>
      <c r="G528" s="10">
        <f>IF(COUNTIFS('Amex Transactions'!$C:$C,A528,'Amex Transactions'!$I:$I,"Check")&gt;0,"Check","")</f>
        <v/>
      </c>
    </row>
    <row r="529">
      <c r="A529" s="10" t="inlineStr">
        <is>
          <t>SOGO HK LTD - SUPERMARK CAUSEWAY BAY</t>
        </is>
      </c>
      <c r="B529" s="10">
        <f>IFERROR(INDEX('Review Items'!$D:$D,MATCH(A529,'Review Items'!$B:$B,0)),IFERROR(INDEX('Rule Updates'!$B:$B,MATCH(A529,'Rule Updates'!$A:$A,0)),"Uncategorised"))</f>
        <v/>
      </c>
      <c r="C529" s="10">
        <f>IFERROR(INDEX('Review Items'!$E:$E,MATCH(A529,'Review Items'!$B:$B,0)),IFERROR(INDEX('Rule Updates'!$C:$C,MATCH(A529,'Rule Updates'!$A:$A,0)),"Review"))</f>
        <v/>
      </c>
      <c r="D529" s="10">
        <f>COUNTIF('Amex Transactions'!$C:$C,A529)</f>
        <v/>
      </c>
      <c r="E529" s="10">
        <f>SUMIFS('Amex Transactions'!$G:$G,'Amex Transactions'!$C:$C,A529,'Amex Transactions'!$G:$G,"&gt;0")</f>
        <v/>
      </c>
      <c r="F529" s="11" t="n">
        <v>45562</v>
      </c>
      <c r="G529" s="10">
        <f>IF(COUNTIFS('Amex Transactions'!$C:$C,A529,'Amex Transactions'!$I:$I,"Check")&gt;0,"Check","")</f>
        <v/>
      </c>
    </row>
    <row r="530">
      <c r="A530" s="10" t="inlineStr">
        <is>
          <t>MERIVALE ME&amp;U* ME&amp;USYDNEY</t>
        </is>
      </c>
      <c r="B530" s="10">
        <f>IFERROR(INDEX('Review Items'!$D:$D,MATCH(A530,'Review Items'!$B:$B,0)),IFERROR(INDEX('Rule Updates'!$B:$B,MATCH(A530,'Rule Updates'!$A:$A,0)),"Uncategorised"))</f>
        <v/>
      </c>
      <c r="C530" s="10">
        <f>IFERROR(INDEX('Review Items'!$E:$E,MATCH(A530,'Review Items'!$B:$B,0)),IFERROR(INDEX('Rule Updates'!$C:$C,MATCH(A530,'Rule Updates'!$A:$A,0)),"Review"))</f>
        <v/>
      </c>
      <c r="D530" s="10">
        <f>COUNTIF('Amex Transactions'!$C:$C,A530)</f>
        <v/>
      </c>
      <c r="E530" s="10">
        <f>SUMIFS('Amex Transactions'!$G:$G,'Amex Transactions'!$C:$C,A530,'Amex Transactions'!$G:$G,"&gt;0")</f>
        <v/>
      </c>
      <c r="F530" s="11" t="n">
        <v>45880</v>
      </c>
      <c r="G530" s="10">
        <f>IF(COUNTIFS('Amex Transactions'!$C:$C,A530,'Amex Transactions'!$I:$I,"Check")&gt;0,"Check","")</f>
        <v/>
      </c>
    </row>
    <row r="531">
      <c r="A531" s="10" t="inlineStr">
        <is>
          <t>LANDRACE BAKERY Bathwick</t>
        </is>
      </c>
      <c r="B531" s="10">
        <f>IFERROR(INDEX('Review Items'!$D:$D,MATCH(A531,'Review Items'!$B:$B,0)),IFERROR(INDEX('Rule Updates'!$B:$B,MATCH(A531,'Rule Updates'!$A:$A,0)),"Uncategorised"))</f>
        <v/>
      </c>
      <c r="C531" s="10">
        <f>IFERROR(INDEX('Review Items'!$E:$E,MATCH(A531,'Review Items'!$B:$B,0)),IFERROR(INDEX('Rule Updates'!$C:$C,MATCH(A531,'Rule Updates'!$A:$A,0)),"Review"))</f>
        <v/>
      </c>
      <c r="D531" s="10">
        <f>COUNTIF('Amex Transactions'!$C:$C,A531)</f>
        <v/>
      </c>
      <c r="E531" s="10">
        <f>SUMIFS('Amex Transactions'!$G:$G,'Amex Transactions'!$C:$C,A531,'Amex Transactions'!$G:$G,"&gt;0")</f>
        <v/>
      </c>
      <c r="F531" s="11" t="n">
        <v>45816</v>
      </c>
      <c r="G531" s="10">
        <f>IF(COUNTIFS('Amex Transactions'!$C:$C,A531,'Amex Transactions'!$I:$I,"Check")&gt;0,"Check","")</f>
        <v/>
      </c>
    </row>
    <row r="532">
      <c r="A532" s="10" t="inlineStr">
        <is>
          <t>CURB MOBILITY LONDON</t>
        </is>
      </c>
      <c r="B532" s="10">
        <f>IFERROR(INDEX('Review Items'!$D:$D,MATCH(A532,'Review Items'!$B:$B,0)),IFERROR(INDEX('Rule Updates'!$B:$B,MATCH(A532,'Rule Updates'!$A:$A,0)),"Uncategorised"))</f>
        <v/>
      </c>
      <c r="C532" s="10">
        <f>IFERROR(INDEX('Review Items'!$E:$E,MATCH(A532,'Review Items'!$B:$B,0)),IFERROR(INDEX('Rule Updates'!$C:$C,MATCH(A532,'Rule Updates'!$A:$A,0)),"Review"))</f>
        <v/>
      </c>
      <c r="D532" s="10">
        <f>COUNTIF('Amex Transactions'!$C:$C,A532)</f>
        <v/>
      </c>
      <c r="E532" s="10">
        <f>SUMIFS('Amex Transactions'!$G:$G,'Amex Transactions'!$C:$C,A532,'Amex Transactions'!$G:$G,"&gt;0")</f>
        <v/>
      </c>
      <c r="F532" s="11" t="n">
        <v>45839</v>
      </c>
      <c r="G532" s="10">
        <f>IF(COUNTIFS('Amex Transactions'!$C:$C,A532,'Amex Transactions'!$I:$I,"Check")&gt;0,"Check","")</f>
        <v/>
      </c>
    </row>
    <row r="533">
      <c r="A533" s="10" t="inlineStr">
        <is>
          <t>TAXIWORLD*LONDON TAXI 7 GLASGOW</t>
        </is>
      </c>
      <c r="B533" s="10">
        <f>IFERROR(INDEX('Review Items'!$D:$D,MATCH(A533,'Review Items'!$B:$B,0)),IFERROR(INDEX('Rule Updates'!$B:$B,MATCH(A533,'Rule Updates'!$A:$A,0)),"Uncategorised"))</f>
        <v/>
      </c>
      <c r="C533" s="10">
        <f>IFERROR(INDEX('Review Items'!$E:$E,MATCH(A533,'Review Items'!$B:$B,0)),IFERROR(INDEX('Rule Updates'!$C:$C,MATCH(A533,'Rule Updates'!$A:$A,0)),"Review"))</f>
        <v/>
      </c>
      <c r="D533" s="10">
        <f>COUNTIF('Amex Transactions'!$C:$C,A533)</f>
        <v/>
      </c>
      <c r="E533" s="10">
        <f>SUMIFS('Amex Transactions'!$G:$G,'Amex Transactions'!$C:$C,A533,'Amex Transactions'!$G:$G,"&gt;0")</f>
        <v/>
      </c>
      <c r="F533" s="11" t="n">
        <v>45752</v>
      </c>
      <c r="G533" s="10">
        <f>IF(COUNTIFS('Amex Transactions'!$C:$C,A533,'Amex Transactions'!$I:$I,"Check")&gt;0,"Check","")</f>
        <v/>
      </c>
    </row>
    <row r="534">
      <c r="A534" s="10" t="inlineStr">
        <is>
          <t>BAKEHOUSE CENTRAL</t>
        </is>
      </c>
      <c r="B534" s="10">
        <f>IFERROR(INDEX('Review Items'!$D:$D,MATCH(A534,'Review Items'!$B:$B,0)),IFERROR(INDEX('Rule Updates'!$B:$B,MATCH(A534,'Rule Updates'!$A:$A,0)),"Uncategorised"))</f>
        <v/>
      </c>
      <c r="C534" s="10">
        <f>IFERROR(INDEX('Review Items'!$E:$E,MATCH(A534,'Review Items'!$B:$B,0)),IFERROR(INDEX('Rule Updates'!$C:$C,MATCH(A534,'Rule Updates'!$A:$A,0)),"Review"))</f>
        <v/>
      </c>
      <c r="D534" s="10">
        <f>COUNTIF('Amex Transactions'!$C:$C,A534)</f>
        <v/>
      </c>
      <c r="E534" s="10">
        <f>SUMIFS('Amex Transactions'!$G:$G,'Amex Transactions'!$C:$C,A534,'Amex Transactions'!$G:$G,"&gt;0")</f>
        <v/>
      </c>
      <c r="F534" s="11" t="n">
        <v>45964</v>
      </c>
      <c r="G534" s="10">
        <f>IF(COUNTIFS('Amex Transactions'!$C:$C,A534,'Amex Transactions'!$I:$I,"Check")&gt;0,"Check","")</f>
        <v/>
      </c>
    </row>
    <row r="535">
      <c r="A535" s="10" t="inlineStr">
        <is>
          <t>OH MY CREAM LTD LONDON</t>
        </is>
      </c>
      <c r="B535" s="10">
        <f>IFERROR(INDEX('Review Items'!$D:$D,MATCH(A535,'Review Items'!$B:$B,0)),IFERROR(INDEX('Rule Updates'!$B:$B,MATCH(A535,'Rule Updates'!$A:$A,0)),"Uncategorised"))</f>
        <v/>
      </c>
      <c r="C535" s="10">
        <f>IFERROR(INDEX('Review Items'!$E:$E,MATCH(A535,'Review Items'!$B:$B,0)),IFERROR(INDEX('Rule Updates'!$C:$C,MATCH(A535,'Rule Updates'!$A:$A,0)),"Review"))</f>
        <v/>
      </c>
      <c r="D535" s="10">
        <f>COUNTIF('Amex Transactions'!$C:$C,A535)</f>
        <v/>
      </c>
      <c r="E535" s="10">
        <f>SUMIFS('Amex Transactions'!$G:$G,'Amex Transactions'!$C:$C,A535,'Amex Transactions'!$G:$G,"&gt;0")</f>
        <v/>
      </c>
      <c r="F535" s="11" t="n">
        <v>45820</v>
      </c>
      <c r="G535" s="10">
        <f>IF(COUNTIFS('Amex Transactions'!$C:$C,A535,'Amex Transactions'!$I:$I,"Check")&gt;0,"Check","")</f>
        <v/>
      </c>
    </row>
    <row r="536">
      <c r="A536" s="10" t="inlineStr">
        <is>
          <t>SSI JEOIIOLLI BEUYEONGJ OSEOUL</t>
        </is>
      </c>
      <c r="B536" s="10">
        <f>IFERROR(INDEX('Review Items'!$D:$D,MATCH(A536,'Review Items'!$B:$B,0)),IFERROR(INDEX('Rule Updates'!$B:$B,MATCH(A536,'Rule Updates'!$A:$A,0)),"Uncategorised"))</f>
        <v/>
      </c>
      <c r="C536" s="10">
        <f>IFERROR(INDEX('Review Items'!$E:$E,MATCH(A536,'Review Items'!$B:$B,0)),IFERROR(INDEX('Rule Updates'!$C:$C,MATCH(A536,'Rule Updates'!$A:$A,0)),"Review"))</f>
        <v/>
      </c>
      <c r="D536" s="10">
        <f>COUNTIF('Amex Transactions'!$C:$C,A536)</f>
        <v/>
      </c>
      <c r="E536" s="10">
        <f>SUMIFS('Amex Transactions'!$G:$G,'Amex Transactions'!$C:$C,A536,'Amex Transactions'!$G:$G,"&gt;0")</f>
        <v/>
      </c>
      <c r="F536" s="11" t="n">
        <v>45933</v>
      </c>
      <c r="G536" s="10">
        <f>IF(COUNTIFS('Amex Transactions'!$C:$C,A536,'Amex Transactions'!$I:$I,"Check")&gt;0,"Check","")</f>
        <v/>
      </c>
    </row>
    <row r="537">
      <c r="A537" s="10" t="inlineStr">
        <is>
          <t>HOUSE OF PHAR MACY 14456 DOU BLE BAY</t>
        </is>
      </c>
      <c r="B537" s="10">
        <f>IFERROR(INDEX('Review Items'!$D:$D,MATCH(A537,'Review Items'!$B:$B,0)),IFERROR(INDEX('Rule Updates'!$B:$B,MATCH(A537,'Rule Updates'!$A:$A,0)),"Uncategorised"))</f>
        <v/>
      </c>
      <c r="C537" s="10">
        <f>IFERROR(INDEX('Review Items'!$E:$E,MATCH(A537,'Review Items'!$B:$B,0)),IFERROR(INDEX('Rule Updates'!$C:$C,MATCH(A537,'Rule Updates'!$A:$A,0)),"Review"))</f>
        <v/>
      </c>
      <c r="D537" s="10">
        <f>COUNTIF('Amex Transactions'!$C:$C,A537)</f>
        <v/>
      </c>
      <c r="E537" s="10">
        <f>SUMIFS('Amex Transactions'!$G:$G,'Amex Transactions'!$C:$C,A537,'Amex Transactions'!$G:$G,"&gt;0")</f>
        <v/>
      </c>
      <c r="F537" s="11" t="n">
        <v>46009</v>
      </c>
      <c r="G537" s="10">
        <f>IF(COUNTIFS('Amex Transactions'!$C:$C,A537,'Amex Transactions'!$I:$I,"Check")&gt;0,"Check","")</f>
        <v/>
      </c>
    </row>
    <row r="538">
      <c r="A538" s="10" t="inlineStr">
        <is>
          <t>USCUSTOMS ESTA APPL PMT INDIANAPOLIS</t>
        </is>
      </c>
      <c r="B538" s="10">
        <f>IFERROR(INDEX('Review Items'!$D:$D,MATCH(A538,'Review Items'!$B:$B,0)),IFERROR(INDEX('Rule Updates'!$B:$B,MATCH(A538,'Rule Updates'!$A:$A,0)),"Uncategorised"))</f>
        <v/>
      </c>
      <c r="C538" s="10">
        <f>IFERROR(INDEX('Review Items'!$E:$E,MATCH(A538,'Review Items'!$B:$B,0)),IFERROR(INDEX('Rule Updates'!$C:$C,MATCH(A538,'Rule Updates'!$A:$A,0)),"Review"))</f>
        <v/>
      </c>
      <c r="D538" s="10">
        <f>COUNTIF('Amex Transactions'!$C:$C,A538)</f>
        <v/>
      </c>
      <c r="E538" s="10">
        <f>SUMIFS('Amex Transactions'!$G:$G,'Amex Transactions'!$C:$C,A538,'Amex Transactions'!$G:$G,"&gt;0")</f>
        <v/>
      </c>
      <c r="F538" s="11" t="n">
        <v>46034</v>
      </c>
      <c r="G538" s="10">
        <f>IF(COUNTIFS('Amex Transactions'!$C:$C,A538,'Amex Transactions'!$I:$I,"Check")&gt;0,"Check","")</f>
        <v/>
      </c>
    </row>
    <row r="539">
      <c r="A539" s="10" t="inlineStr">
        <is>
          <t>KATES BREAD OJAI</t>
        </is>
      </c>
      <c r="B539" s="10">
        <f>IFERROR(INDEX('Review Items'!$D:$D,MATCH(A539,'Review Items'!$B:$B,0)),IFERROR(INDEX('Rule Updates'!$B:$B,MATCH(A539,'Rule Updates'!$A:$A,0)),"Uncategorised"))</f>
        <v/>
      </c>
      <c r="C539" s="10">
        <f>IFERROR(INDEX('Review Items'!$E:$E,MATCH(A539,'Review Items'!$B:$B,0)),IFERROR(INDEX('Rule Updates'!$C:$C,MATCH(A539,'Rule Updates'!$A:$A,0)),"Review"))</f>
        <v/>
      </c>
      <c r="D539" s="10">
        <f>COUNTIF('Amex Transactions'!$C:$C,A539)</f>
        <v/>
      </c>
      <c r="E539" s="10">
        <f>SUMIFS('Amex Transactions'!$G:$G,'Amex Transactions'!$C:$C,A539,'Amex Transactions'!$G:$G,"&gt;0")</f>
        <v/>
      </c>
      <c r="F539" s="11" t="n">
        <v>45830</v>
      </c>
      <c r="G539" s="10">
        <f>IF(COUNTIFS('Amex Transactions'!$C:$C,A539,'Amex Transactions'!$I:$I,"Check")&gt;0,"Check","")</f>
        <v/>
      </c>
    </row>
    <row r="540">
      <c r="A540" s="10" t="inlineStr">
        <is>
          <t>SILB I JIP SILB I JIP \ CSYDNEY</t>
        </is>
      </c>
      <c r="B540" s="10">
        <f>IFERROR(INDEX('Review Items'!$D:$D,MATCH(A540,'Review Items'!$B:$B,0)),IFERROR(INDEX('Rule Updates'!$B:$B,MATCH(A540,'Rule Updates'!$A:$A,0)),"Uncategorised"))</f>
        <v/>
      </c>
      <c r="C540" s="10">
        <f>IFERROR(INDEX('Review Items'!$E:$E,MATCH(A540,'Review Items'!$B:$B,0)),IFERROR(INDEX('Rule Updates'!$C:$C,MATCH(A540,'Rule Updates'!$A:$A,0)),"Review"))</f>
        <v/>
      </c>
      <c r="D540" s="10">
        <f>COUNTIF('Amex Transactions'!$C:$C,A540)</f>
        <v/>
      </c>
      <c r="E540" s="10">
        <f>SUMIFS('Amex Transactions'!$G:$G,'Amex Transactions'!$C:$C,A540,'Amex Transactions'!$G:$G,"&gt;0")</f>
        <v/>
      </c>
      <c r="F540" s="11" t="n">
        <v>46011</v>
      </c>
      <c r="G540" s="10">
        <f>IF(COUNTIFS('Amex Transactions'!$C:$C,A540,'Amex Transactions'!$I:$I,"Check")&gt;0,"Check","")</f>
        <v/>
      </c>
    </row>
    <row r="541">
      <c r="A541" s="10" t="inlineStr">
        <is>
          <t>BONIIK HILTON 100370 SYDNEY</t>
        </is>
      </c>
      <c r="B541" s="10">
        <f>IFERROR(INDEX('Review Items'!$D:$D,MATCH(A541,'Review Items'!$B:$B,0)),IFERROR(INDEX('Rule Updates'!$B:$B,MATCH(A541,'Rule Updates'!$A:$A,0)),"Uncategorised"))</f>
        <v/>
      </c>
      <c r="C541" s="10">
        <f>IFERROR(INDEX('Review Items'!$E:$E,MATCH(A541,'Review Items'!$B:$B,0)),IFERROR(INDEX('Rule Updates'!$C:$C,MATCH(A541,'Rule Updates'!$A:$A,0)),"Review"))</f>
        <v/>
      </c>
      <c r="D541" s="10">
        <f>COUNTIF('Amex Transactions'!$C:$C,A541)</f>
        <v/>
      </c>
      <c r="E541" s="10">
        <f>SUMIFS('Amex Transactions'!$G:$G,'Amex Transactions'!$C:$C,A541,'Amex Transactions'!$G:$G,"&gt;0")</f>
        <v/>
      </c>
      <c r="F541" s="11" t="n">
        <v>45664</v>
      </c>
      <c r="G541" s="10">
        <f>IF(COUNTIFS('Amex Transactions'!$C:$C,A541,'Amex Transactions'!$I:$I,"Check")&gt;0,"Check","")</f>
        <v/>
      </c>
    </row>
    <row r="542">
      <c r="A542" s="10" t="inlineStr">
        <is>
          <t>THE DAIRY FARM - MANNIN WANCHAI</t>
        </is>
      </c>
      <c r="B542" s="10">
        <f>IFERROR(INDEX('Review Items'!$D:$D,MATCH(A542,'Review Items'!$B:$B,0)),IFERROR(INDEX('Rule Updates'!$B:$B,MATCH(A542,'Rule Updates'!$A:$A,0)),"Uncategorised"))</f>
        <v/>
      </c>
      <c r="C542" s="10">
        <f>IFERROR(INDEX('Review Items'!$E:$E,MATCH(A542,'Review Items'!$B:$B,0)),IFERROR(INDEX('Rule Updates'!$C:$C,MATCH(A542,'Rule Updates'!$A:$A,0)),"Review"))</f>
        <v/>
      </c>
      <c r="D542" s="10">
        <f>COUNTIF('Amex Transactions'!$C:$C,A542)</f>
        <v/>
      </c>
      <c r="E542" s="10">
        <f>SUMIFS('Amex Transactions'!$G:$G,'Amex Transactions'!$C:$C,A542,'Amex Transactions'!$G:$G,"&gt;0")</f>
        <v/>
      </c>
      <c r="F542" s="11" t="n">
        <v>45963</v>
      </c>
      <c r="G542" s="10">
        <f>IF(COUNTIFS('Amex Transactions'!$C:$C,A542,'Amex Transactions'!$I:$I,"Check")&gt;0,"Check","")</f>
        <v/>
      </c>
    </row>
    <row r="543">
      <c r="A543" s="10" t="inlineStr">
        <is>
          <t>CINE MACOM C in emacom A M H</t>
        </is>
      </c>
      <c r="B543" s="10">
        <f>IFERROR(INDEX('Review Items'!$D:$D,MATCH(A543,'Review Items'!$B:$B,0)),IFERROR(INDEX('Rule Updates'!$B:$B,MATCH(A543,'Rule Updates'!$A:$A,0)),"Uncategorised"))</f>
        <v/>
      </c>
      <c r="C543" s="10">
        <f>IFERROR(INDEX('Review Items'!$E:$E,MATCH(A543,'Review Items'!$B:$B,0)),IFERROR(INDEX('Rule Updates'!$C:$C,MATCH(A543,'Rule Updates'!$A:$A,0)),"Review"))</f>
        <v/>
      </c>
      <c r="D543" s="10">
        <f>COUNTIF('Amex Transactions'!$C:$C,A543)</f>
        <v/>
      </c>
      <c r="E543" s="10">
        <f>SUMIFS('Amex Transactions'!$G:$G,'Amex Transactions'!$C:$C,A543,'Amex Transactions'!$G:$G,"&gt;0")</f>
        <v/>
      </c>
      <c r="F543" s="11" t="n">
        <v>45983</v>
      </c>
      <c r="G543" s="10">
        <f>IF(COUNTIFS('Amex Transactions'!$C:$C,A543,'Amex Transactions'!$I:$I,"Check")&gt;0,"Check","")</f>
        <v/>
      </c>
    </row>
    <row r="544">
      <c r="A544" s="10" t="inlineStr">
        <is>
          <t>RAKUTENPAY YAKITORI FUJ HOKKAIDO</t>
        </is>
      </c>
      <c r="B544" s="10">
        <f>IFERROR(INDEX('Review Items'!$D:$D,MATCH(A544,'Review Items'!$B:$B,0)),IFERROR(INDEX('Rule Updates'!$B:$B,MATCH(A544,'Rule Updates'!$A:$A,0)),"Uncategorised"))</f>
        <v/>
      </c>
      <c r="C544" s="10">
        <f>IFERROR(INDEX('Review Items'!$E:$E,MATCH(A544,'Review Items'!$B:$B,0)),IFERROR(INDEX('Rule Updates'!$C:$C,MATCH(A544,'Rule Updates'!$A:$A,0)),"Review"))</f>
        <v/>
      </c>
      <c r="D544" s="10">
        <f>COUNTIF('Amex Transactions'!$C:$C,A544)</f>
        <v/>
      </c>
      <c r="E544" s="10">
        <f>SUMIFS('Amex Transactions'!$G:$G,'Amex Transactions'!$C:$C,A544,'Amex Transactions'!$G:$G,"&gt;0")</f>
        <v/>
      </c>
      <c r="F544" s="11" t="n">
        <v>45729</v>
      </c>
      <c r="G544" s="10">
        <f>IF(COUNTIFS('Amex Transactions'!$C:$C,A544,'Amex Transactions'!$I:$I,"Check")&gt;0,"Check","")</f>
        <v/>
      </c>
    </row>
    <row r="545">
      <c r="A545" s="10" t="inlineStr">
        <is>
          <t>IGA QUAY QUARTER SYDNEY</t>
        </is>
      </c>
      <c r="B545" s="10">
        <f>IFERROR(INDEX('Review Items'!$D:$D,MATCH(A545,'Review Items'!$B:$B,0)),IFERROR(INDEX('Rule Updates'!$B:$B,MATCH(A545,'Rule Updates'!$A:$A,0)),"Uncategorised"))</f>
        <v/>
      </c>
      <c r="C545" s="10">
        <f>IFERROR(INDEX('Review Items'!$E:$E,MATCH(A545,'Review Items'!$B:$B,0)),IFERROR(INDEX('Rule Updates'!$C:$C,MATCH(A545,'Rule Updates'!$A:$A,0)),"Review"))</f>
        <v/>
      </c>
      <c r="D545" s="10">
        <f>COUNTIF('Amex Transactions'!$C:$C,A545)</f>
        <v/>
      </c>
      <c r="E545" s="10">
        <f>SUMIFS('Amex Transactions'!$G:$G,'Amex Transactions'!$C:$C,A545,'Amex Transactions'!$G:$G,"&gt;0")</f>
        <v/>
      </c>
      <c r="F545" s="11" t="n">
        <v>46009</v>
      </c>
      <c r="G545" s="10">
        <f>IF(COUNTIFS('Amex Transactions'!$C:$C,A545,'Amex Transactions'!$I:$I,"Check")&gt;0,"Check","")</f>
        <v/>
      </c>
    </row>
    <row r="546">
      <c r="A546" s="10" t="inlineStr">
        <is>
          <t>PRIORITY PASS (A.P.) LI HONG KONG</t>
        </is>
      </c>
      <c r="B546" s="10">
        <f>IFERROR(INDEX('Review Items'!$D:$D,MATCH(A546,'Review Items'!$B:$B,0)),IFERROR(INDEX('Rule Updates'!$B:$B,MATCH(A546,'Rule Updates'!$A:$A,0)),"Uncategorised"))</f>
        <v/>
      </c>
      <c r="C546" s="10">
        <f>IFERROR(INDEX('Review Items'!$E:$E,MATCH(A546,'Review Items'!$B:$B,0)),IFERROR(INDEX('Rule Updates'!$C:$C,MATCH(A546,'Rule Updates'!$A:$A,0)),"Review"))</f>
        <v/>
      </c>
      <c r="D546" s="10">
        <f>COUNTIF('Amex Transactions'!$C:$C,A546)</f>
        <v/>
      </c>
      <c r="E546" s="10">
        <f>SUMIFS('Amex Transactions'!$G:$G,'Amex Transactions'!$C:$C,A546,'Amex Transactions'!$G:$G,"&gt;0")</f>
        <v/>
      </c>
      <c r="F546" s="11" t="n">
        <v>45818</v>
      </c>
      <c r="G546" s="10">
        <f>IF(COUNTIFS('Amex Transactions'!$C:$C,A546,'Amex Transactions'!$I:$I,"Check")&gt;0,"Check","")</f>
        <v/>
      </c>
    </row>
    <row r="547">
      <c r="A547" s="10" t="inlineStr">
        <is>
          <t>ZLR * PINA PINA POTTS POINT</t>
        </is>
      </c>
      <c r="B547" s="10">
        <f>IFERROR(INDEX('Review Items'!$D:$D,MATCH(A547,'Review Items'!$B:$B,0)),IFERROR(INDEX('Rule Updates'!$B:$B,MATCH(A547,'Rule Updates'!$A:$A,0)),"Uncategorised"))</f>
        <v/>
      </c>
      <c r="C547" s="10">
        <f>IFERROR(INDEX('Review Items'!$E:$E,MATCH(A547,'Review Items'!$B:$B,0)),IFERROR(INDEX('Rule Updates'!$C:$C,MATCH(A547,'Rule Updates'!$A:$A,0)),"Review"))</f>
        <v/>
      </c>
      <c r="D547" s="10">
        <f>COUNTIF('Amex Transactions'!$C:$C,A547)</f>
        <v/>
      </c>
      <c r="E547" s="10">
        <f>SUMIFS('Amex Transactions'!$G:$G,'Amex Transactions'!$C:$C,A547,'Amex Transactions'!$G:$G,"&gt;0")</f>
        <v/>
      </c>
      <c r="F547" s="11" t="n">
        <v>46014</v>
      </c>
      <c r="G547" s="10">
        <f>IF(COUNTIFS('Amex Transactions'!$C:$C,A547,'Amex Transactions'!$I:$I,"Check")&gt;0,"Check","")</f>
        <v/>
      </c>
    </row>
    <row r="548">
      <c r="A548" s="10" t="inlineStr">
        <is>
          <t>Rikka Spa meng tian jun</t>
        </is>
      </c>
      <c r="B548" s="10">
        <f>IFERROR(INDEX('Review Items'!$D:$D,MATCH(A548,'Review Items'!$B:$B,0)),IFERROR(INDEX('Rule Updates'!$B:$B,MATCH(A548,'Rule Updates'!$A:$A,0)),"Uncategorised"))</f>
        <v/>
      </c>
      <c r="C548" s="10">
        <f>IFERROR(INDEX('Review Items'!$E:$E,MATCH(A548,'Review Items'!$B:$B,0)),IFERROR(INDEX('Rule Updates'!$C:$C,MATCH(A548,'Rule Updates'!$A:$A,0)),"Review"))</f>
        <v/>
      </c>
      <c r="D548" s="10">
        <f>COUNTIF('Amex Transactions'!$C:$C,A548)</f>
        <v/>
      </c>
      <c r="E548" s="10">
        <f>SUMIFS('Amex Transactions'!$G:$G,'Amex Transactions'!$C:$C,A548,'Amex Transactions'!$G:$G,"&gt;0")</f>
        <v/>
      </c>
      <c r="F548" s="11" t="n">
        <v>45720</v>
      </c>
      <c r="G548" s="10">
        <f>IF(COUNTIFS('Amex Transactions'!$C:$C,A548,'Amex Transactions'!$I:$I,"Check")&gt;0,"Check","")</f>
        <v/>
      </c>
    </row>
    <row r="549">
      <c r="A549" s="10" t="inlineStr">
        <is>
          <t>GO APP RIDE FEE TOKYO</t>
        </is>
      </c>
      <c r="B549" s="10">
        <f>IFERROR(INDEX('Review Items'!$D:$D,MATCH(A549,'Review Items'!$B:$B,0)),IFERROR(INDEX('Rule Updates'!$B:$B,MATCH(A549,'Rule Updates'!$A:$A,0)),"Uncategorised"))</f>
        <v/>
      </c>
      <c r="C549" s="10">
        <f>IFERROR(INDEX('Review Items'!$E:$E,MATCH(A549,'Review Items'!$B:$B,0)),IFERROR(INDEX('Rule Updates'!$C:$C,MATCH(A549,'Rule Updates'!$A:$A,0)),"Review"))</f>
        <v/>
      </c>
      <c r="D549" s="10">
        <f>COUNTIF('Amex Transactions'!$C:$C,A549)</f>
        <v/>
      </c>
      <c r="E549" s="10">
        <f>SUMIFS('Amex Transactions'!$G:$G,'Amex Transactions'!$C:$C,A549,'Amex Transactions'!$G:$G,"&gt;0")</f>
        <v/>
      </c>
      <c r="F549" s="11" t="n">
        <v>45725</v>
      </c>
      <c r="G549" s="10">
        <f>IF(COUNTIFS('Amex Transactions'!$C:$C,A549,'Amex Transactions'!$I:$I,"Check")&gt;0,"Check","")</f>
        <v/>
      </c>
    </row>
    <row r="550">
      <c r="A550" s="10" t="inlineStr">
        <is>
          <t>ZLR *QUAY QUARTER PHARM ASYDNEY</t>
        </is>
      </c>
      <c r="B550" s="10">
        <f>IFERROR(INDEX('Review Items'!$D:$D,MATCH(A550,'Review Items'!$B:$B,0)),IFERROR(INDEX('Rule Updates'!$B:$B,MATCH(A550,'Rule Updates'!$A:$A,0)),"Uncategorised"))</f>
        <v/>
      </c>
      <c r="C550" s="10">
        <f>IFERROR(INDEX('Review Items'!$E:$E,MATCH(A550,'Review Items'!$B:$B,0)),IFERROR(INDEX('Rule Updates'!$C:$C,MATCH(A550,'Rule Updates'!$A:$A,0)),"Review"))</f>
        <v/>
      </c>
      <c r="D550" s="10">
        <f>COUNTIF('Amex Transactions'!$C:$C,A550)</f>
        <v/>
      </c>
      <c r="E550" s="10">
        <f>SUMIFS('Amex Transactions'!$G:$G,'Amex Transactions'!$C:$C,A550,'Amex Transactions'!$G:$G,"&gt;0")</f>
        <v/>
      </c>
      <c r="F550" s="11" t="n">
        <v>46014</v>
      </c>
      <c r="G550" s="10">
        <f>IF(COUNTIFS('Amex Transactions'!$C:$C,A550,'Amex Transactions'!$I:$I,"Check")&gt;0,"Check","")</f>
        <v/>
      </c>
    </row>
    <row r="551">
      <c r="A551" s="10" t="inlineStr">
        <is>
          <t>KANGAROO VALLEY FINE WKANGAROO VALL</t>
        </is>
      </c>
      <c r="B551" s="10">
        <f>IFERROR(INDEX('Review Items'!$D:$D,MATCH(A551,'Review Items'!$B:$B,0)),IFERROR(INDEX('Rule Updates'!$B:$B,MATCH(A551,'Rule Updates'!$A:$A,0)),"Uncategorised"))</f>
        <v/>
      </c>
      <c r="C551" s="10">
        <f>IFERROR(INDEX('Review Items'!$E:$E,MATCH(A551,'Review Items'!$B:$B,0)),IFERROR(INDEX('Rule Updates'!$C:$C,MATCH(A551,'Rule Updates'!$A:$A,0)),"Review"))</f>
        <v/>
      </c>
      <c r="D551" s="10">
        <f>COUNTIF('Amex Transactions'!$C:$C,A551)</f>
        <v/>
      </c>
      <c r="E551" s="10">
        <f>SUMIFS('Amex Transactions'!$G:$G,'Amex Transactions'!$C:$C,A551,'Amex Transactions'!$G:$G,"&gt;0")</f>
        <v/>
      </c>
      <c r="F551" s="11" t="n">
        <v>46027</v>
      </c>
      <c r="G551" s="10">
        <f>IF(COUNTIFS('Amex Transactions'!$C:$C,A551,'Amex Transactions'!$I:$I,"Check")&gt;0,"Check","")</f>
        <v/>
      </c>
    </row>
    <row r="552">
      <c r="A552" s="10" t="inlineStr">
        <is>
          <t>ZETTLE *SWOON GELATO LT BATH</t>
        </is>
      </c>
      <c r="B552" s="10">
        <f>IFERROR(INDEX('Review Items'!$D:$D,MATCH(A552,'Review Items'!$B:$B,0)),IFERROR(INDEX('Rule Updates'!$B:$B,MATCH(A552,'Rule Updates'!$A:$A,0)),"Uncategorised"))</f>
        <v/>
      </c>
      <c r="C552" s="10">
        <f>IFERROR(INDEX('Review Items'!$E:$E,MATCH(A552,'Review Items'!$B:$B,0)),IFERROR(INDEX('Rule Updates'!$C:$C,MATCH(A552,'Rule Updates'!$A:$A,0)),"Review"))</f>
        <v/>
      </c>
      <c r="D552" s="10">
        <f>COUNTIF('Amex Transactions'!$C:$C,A552)</f>
        <v/>
      </c>
      <c r="E552" s="10">
        <f>SUMIFS('Amex Transactions'!$G:$G,'Amex Transactions'!$C:$C,A552,'Amex Transactions'!$G:$G,"&gt;0")</f>
        <v/>
      </c>
      <c r="F552" s="11" t="n">
        <v>45838</v>
      </c>
      <c r="G552" s="10">
        <f>IF(COUNTIFS('Amex Transactions'!$C:$C,A552,'Amex Transactions'!$I:$I,"Check")&gt;0,"Check","")</f>
        <v/>
      </c>
    </row>
    <row r="553">
      <c r="A553" s="10" t="inlineStr">
        <is>
          <t>AMZNMKTPLACE*CR43U3GB5 AMAZON.CO.UK</t>
        </is>
      </c>
      <c r="B553" s="10">
        <f>IFERROR(INDEX('Review Items'!$D:$D,MATCH(A553,'Review Items'!$B:$B,0)),IFERROR(INDEX('Rule Updates'!$B:$B,MATCH(A553,'Rule Updates'!$A:$A,0)),"Uncategorised"))</f>
        <v/>
      </c>
      <c r="C553" s="10">
        <f>IFERROR(INDEX('Review Items'!$E:$E,MATCH(A553,'Review Items'!$B:$B,0)),IFERROR(INDEX('Rule Updates'!$C:$C,MATCH(A553,'Rule Updates'!$A:$A,0)),"Review"))</f>
        <v/>
      </c>
      <c r="D553" s="10">
        <f>COUNTIF('Amex Transactions'!$C:$C,A553)</f>
        <v/>
      </c>
      <c r="E553" s="10">
        <f>SUMIFS('Amex Transactions'!$G:$G,'Amex Transactions'!$C:$C,A553,'Amex Transactions'!$G:$G,"&gt;0")</f>
        <v/>
      </c>
      <c r="F553" s="11" t="n">
        <v>45774</v>
      </c>
      <c r="G553" s="10">
        <f>IF(COUNTIFS('Amex Transactions'!$C:$C,A553,'Amex Transactions'!$I:$I,"Check")&gt;0,"Check","")</f>
        <v/>
      </c>
    </row>
    <row r="554">
      <c r="A554" s="10" t="inlineStr">
        <is>
          <t>Alice Pizza CTRL HK</t>
        </is>
      </c>
      <c r="B554" s="10">
        <f>IFERROR(INDEX('Review Items'!$D:$D,MATCH(A554,'Review Items'!$B:$B,0)),IFERROR(INDEX('Rule Updates'!$B:$B,MATCH(A554,'Rule Updates'!$A:$A,0)),"Uncategorised"))</f>
        <v/>
      </c>
      <c r="C554" s="10">
        <f>IFERROR(INDEX('Review Items'!$E:$E,MATCH(A554,'Review Items'!$B:$B,0)),IFERROR(INDEX('Rule Updates'!$C:$C,MATCH(A554,'Rule Updates'!$A:$A,0)),"Review"))</f>
        <v/>
      </c>
      <c r="D554" s="10">
        <f>COUNTIF('Amex Transactions'!$C:$C,A554)</f>
        <v/>
      </c>
      <c r="E554" s="10">
        <f>SUMIFS('Amex Transactions'!$G:$G,'Amex Transactions'!$C:$C,A554,'Amex Transactions'!$G:$G,"&gt;0")</f>
        <v/>
      </c>
      <c r="F554" s="11" t="n">
        <v>45576</v>
      </c>
      <c r="G554" s="10">
        <f>IF(COUNTIFS('Amex Transactions'!$C:$C,A554,'Amex Transactions'!$I:$I,"Check")&gt;0,"Check","")</f>
        <v/>
      </c>
    </row>
    <row r="555">
      <c r="A555" s="10" t="inlineStr">
        <is>
          <t>PIKANROLLPIZZA PG HOKKAIDO</t>
        </is>
      </c>
      <c r="B555" s="10">
        <f>IFERROR(INDEX('Review Items'!$D:$D,MATCH(A555,'Review Items'!$B:$B,0)),IFERROR(INDEX('Rule Updates'!$B:$B,MATCH(A555,'Rule Updates'!$A:$A,0)),"Uncategorised"))</f>
        <v/>
      </c>
      <c r="C555" s="10">
        <f>IFERROR(INDEX('Review Items'!$E:$E,MATCH(A555,'Review Items'!$B:$B,0)),IFERROR(INDEX('Rule Updates'!$C:$C,MATCH(A555,'Rule Updates'!$A:$A,0)),"Review"))</f>
        <v/>
      </c>
      <c r="D555" s="10">
        <f>COUNTIF('Amex Transactions'!$C:$C,A555)</f>
        <v/>
      </c>
      <c r="E555" s="10">
        <f>SUMIFS('Amex Transactions'!$G:$G,'Amex Transactions'!$C:$C,A555,'Amex Transactions'!$G:$G,"&gt;0")</f>
        <v/>
      </c>
      <c r="F555" s="11" t="n">
        <v>45730</v>
      </c>
      <c r="G555" s="10">
        <f>IF(COUNTIFS('Amex Transactions'!$C:$C,A555,'Amex Transactions'!$I:$I,"Check")&gt;0,"Check","")</f>
        <v/>
      </c>
    </row>
    <row r="556">
      <c r="A556" s="10" t="inlineStr">
        <is>
          <t>NISHIGISHI FURNITURE CO jing dou shi zh</t>
        </is>
      </c>
      <c r="B556" s="10">
        <f>IFERROR(INDEX('Review Items'!$D:$D,MATCH(A556,'Review Items'!$B:$B,0)),IFERROR(INDEX('Rule Updates'!$B:$B,MATCH(A556,'Rule Updates'!$A:$A,0)),"Uncategorised"))</f>
        <v/>
      </c>
      <c r="C556" s="10">
        <f>IFERROR(INDEX('Review Items'!$E:$E,MATCH(A556,'Review Items'!$B:$B,0)),IFERROR(INDEX('Rule Updates'!$C:$C,MATCH(A556,'Rule Updates'!$A:$A,0)),"Review"))</f>
        <v/>
      </c>
      <c r="D556" s="10">
        <f>COUNTIF('Amex Transactions'!$C:$C,A556)</f>
        <v/>
      </c>
      <c r="E556" s="10">
        <f>SUMIFS('Amex Transactions'!$G:$G,'Amex Transactions'!$C:$C,A556,'Amex Transactions'!$G:$G,"&gt;0")</f>
        <v/>
      </c>
      <c r="F556" s="11" t="n">
        <v>45641</v>
      </c>
      <c r="G556" s="10">
        <f>IF(COUNTIFS('Amex Transactions'!$C:$C,A556,'Amex Transactions'!$I:$I,"Check")&gt;0,"Check","")</f>
        <v/>
      </c>
    </row>
    <row r="557">
      <c r="A557" s="10" t="inlineStr">
        <is>
          <t>BASEHALL 2 CENTRAL</t>
        </is>
      </c>
      <c r="B557" s="10">
        <f>IFERROR(INDEX('Review Items'!$D:$D,MATCH(A557,'Review Items'!$B:$B,0)),IFERROR(INDEX('Rule Updates'!$B:$B,MATCH(A557,'Rule Updates'!$A:$A,0)),"Uncategorised"))</f>
        <v/>
      </c>
      <c r="C557" s="10">
        <f>IFERROR(INDEX('Review Items'!$E:$E,MATCH(A557,'Review Items'!$B:$B,0)),IFERROR(INDEX('Rule Updates'!$C:$C,MATCH(A557,'Rule Updates'!$A:$A,0)),"Review"))</f>
        <v/>
      </c>
      <c r="D557" s="10">
        <f>COUNTIF('Amex Transactions'!$C:$C,A557)</f>
        <v/>
      </c>
      <c r="E557" s="10">
        <f>SUMIFS('Amex Transactions'!$G:$G,'Amex Transactions'!$C:$C,A557,'Amex Transactions'!$G:$G,"&gt;0")</f>
        <v/>
      </c>
      <c r="F557" s="11" t="n">
        <v>45579</v>
      </c>
      <c r="G557" s="10">
        <f>IF(COUNTIFS('Amex Transactions'!$C:$C,A557,'Amex Transactions'!$I:$I,"Check")&gt;0,"Check","")</f>
        <v/>
      </c>
    </row>
    <row r="558">
      <c r="A558" s="10" t="inlineStr">
        <is>
          <t>PARAGON CENTRAL</t>
        </is>
      </c>
      <c r="B558" s="10">
        <f>IFERROR(INDEX('Review Items'!$D:$D,MATCH(A558,'Review Items'!$B:$B,0)),IFERROR(INDEX('Rule Updates'!$B:$B,MATCH(A558,'Rule Updates'!$A:$A,0)),"Uncategorised"))</f>
        <v/>
      </c>
      <c r="C558" s="10">
        <f>IFERROR(INDEX('Review Items'!$E:$E,MATCH(A558,'Review Items'!$B:$B,0)),IFERROR(INDEX('Rule Updates'!$C:$C,MATCH(A558,'Rule Updates'!$A:$A,0)),"Review"))</f>
        <v/>
      </c>
      <c r="D558" s="10">
        <f>COUNTIF('Amex Transactions'!$C:$C,A558)</f>
        <v/>
      </c>
      <c r="E558" s="10">
        <f>SUMIFS('Amex Transactions'!$G:$G,'Amex Transactions'!$C:$C,A558,'Amex Transactions'!$G:$G,"&gt;0")</f>
        <v/>
      </c>
      <c r="F558" s="11" t="n">
        <v>45589</v>
      </c>
      <c r="G558" s="10">
        <f>IF(COUNTIFS('Amex Transactions'!$C:$C,A558,'Amex Transactions'!$I:$I,"Check")&gt;0,"Check","")</f>
        <v/>
      </c>
    </row>
    <row r="559">
      <c r="A559" s="10" t="inlineStr">
        <is>
          <t>Hidden Stand meng t ian j u n</t>
        </is>
      </c>
      <c r="B559" s="10">
        <f>IFERROR(INDEX('Review Items'!$D:$D,MATCH(A559,'Review Items'!$B:$B,0)),IFERROR(INDEX('Rule Updates'!$B:$B,MATCH(A559,'Rule Updates'!$A:$A,0)),"Uncategorised"))</f>
        <v/>
      </c>
      <c r="C559" s="10">
        <f>IFERROR(INDEX('Review Items'!$E:$E,MATCH(A559,'Review Items'!$B:$B,0)),IFERROR(INDEX('Rule Updates'!$C:$C,MATCH(A559,'Rule Updates'!$A:$A,0)),"Review"))</f>
        <v/>
      </c>
      <c r="D559" s="10">
        <f>COUNTIF('Amex Transactions'!$C:$C,A559)</f>
        <v/>
      </c>
      <c r="E559" s="10">
        <f>SUMIFS('Amex Transactions'!$G:$G,'Amex Transactions'!$C:$C,A559,'Amex Transactions'!$G:$G,"&gt;0")</f>
        <v/>
      </c>
      <c r="F559" s="11" t="n">
        <v>46083</v>
      </c>
      <c r="G559" s="10">
        <f>IF(COUNTIFS('Amex Transactions'!$C:$C,A559,'Amex Transactions'!$I:$I,"Check")&gt;0,"Check","")</f>
        <v/>
      </c>
    </row>
    <row r="560">
      <c r="A560" s="10" t="inlineStr">
        <is>
          <t>HINCHCLIFF - GRANA SYDNEY</t>
        </is>
      </c>
      <c r="B560" s="10">
        <f>IFERROR(INDEX('Review Items'!$D:$D,MATCH(A560,'Review Items'!$B:$B,0)),IFERROR(INDEX('Rule Updates'!$B:$B,MATCH(A560,'Rule Updates'!$A:$A,0)),"Uncategorised"))</f>
        <v/>
      </c>
      <c r="C560" s="10">
        <f>IFERROR(INDEX('Review Items'!$E:$E,MATCH(A560,'Review Items'!$B:$B,0)),IFERROR(INDEX('Rule Updates'!$C:$C,MATCH(A560,'Rule Updates'!$A:$A,0)),"Review"))</f>
        <v/>
      </c>
      <c r="D560" s="10">
        <f>COUNTIF('Amex Transactions'!$C:$C,A560)</f>
        <v/>
      </c>
      <c r="E560" s="10">
        <f>SUMIFS('Amex Transactions'!$G:$G,'Amex Transactions'!$C:$C,A560,'Amex Transactions'!$G:$G,"&gt;0")</f>
        <v/>
      </c>
      <c r="F560" s="11" t="n">
        <v>45866</v>
      </c>
      <c r="G560" s="10">
        <f>IF(COUNTIFS('Amex Transactions'!$C:$C,A560,'Amex Transactions'!$I:$I,"Check")&gt;0,"Check","")</f>
        <v/>
      </c>
    </row>
    <row r="561">
      <c r="A561" s="10" t="inlineStr">
        <is>
          <t>BP LONDON * BPLONDONTA BRENTWOOD</t>
        </is>
      </c>
      <c r="B561" s="10">
        <f>IFERROR(INDEX('Review Items'!$D:$D,MATCH(A561,'Review Items'!$B:$B,0)),IFERROR(INDEX('Rule Updates'!$B:$B,MATCH(A561,'Rule Updates'!$A:$A,0)),"Uncategorised"))</f>
        <v/>
      </c>
      <c r="C561" s="10">
        <f>IFERROR(INDEX('Review Items'!$E:$E,MATCH(A561,'Review Items'!$B:$B,0)),IFERROR(INDEX('Rule Updates'!$C:$C,MATCH(A561,'Rule Updates'!$A:$A,0)),"Review"))</f>
        <v/>
      </c>
      <c r="D561" s="10">
        <f>COUNTIF('Amex Transactions'!$C:$C,A561)</f>
        <v/>
      </c>
      <c r="E561" s="10">
        <f>SUMIFS('Amex Transactions'!$G:$G,'Amex Transactions'!$C:$C,A561,'Amex Transactions'!$G:$G,"&gt;0")</f>
        <v/>
      </c>
      <c r="F561" s="11" t="n">
        <v>45819</v>
      </c>
      <c r="G561" s="10">
        <f>IF(COUNTIFS('Amex Transactions'!$C:$C,A561,'Amex Transactions'!$I:$I,"Check")&gt;0,"Check","")</f>
        <v/>
      </c>
    </row>
    <row r="562">
      <c r="A562" s="10" t="inlineStr">
        <is>
          <t>KAPEKICHEUNE SEOUL SEOUL</t>
        </is>
      </c>
      <c r="B562" s="10">
        <f>IFERROR(INDEX('Review Items'!$D:$D,MATCH(A562,'Review Items'!$B:$B,0)),IFERROR(INDEX('Rule Updates'!$B:$B,MATCH(A562,'Rule Updates'!$A:$A,0)),"Uncategorised"))</f>
        <v/>
      </c>
      <c r="C562" s="10">
        <f>IFERROR(INDEX('Review Items'!$E:$E,MATCH(A562,'Review Items'!$B:$B,0)),IFERROR(INDEX('Rule Updates'!$C:$C,MATCH(A562,'Rule Updates'!$A:$A,0)),"Review"))</f>
        <v/>
      </c>
      <c r="D562" s="10">
        <f>COUNTIF('Amex Transactions'!$C:$C,A562)</f>
        <v/>
      </c>
      <c r="E562" s="10">
        <f>SUMIFS('Amex Transactions'!$G:$G,'Amex Transactions'!$C:$C,A562,'Amex Transactions'!$G:$G,"&gt;0")</f>
        <v/>
      </c>
      <c r="F562" s="11" t="n">
        <v>45967</v>
      </c>
      <c r="G562" s="10">
        <f>IF(COUNTIFS('Amex Transactions'!$C:$C,A562,'Amex Transactions'!$I:$I,"Check")&gt;0,"Check","")</f>
        <v/>
      </c>
    </row>
    <row r="563">
      <c r="A563" s="10" t="inlineStr">
        <is>
          <t>PAYPAL *LARQ 4029357733</t>
        </is>
      </c>
      <c r="B563" s="10">
        <f>IFERROR(INDEX('Review Items'!$D:$D,MATCH(A563,'Review Items'!$B:$B,0)),IFERROR(INDEX('Rule Updates'!$B:$B,MATCH(A563,'Rule Updates'!$A:$A,0)),"Uncategorised"))</f>
        <v/>
      </c>
      <c r="C563" s="10">
        <f>IFERROR(INDEX('Review Items'!$E:$E,MATCH(A563,'Review Items'!$B:$B,0)),IFERROR(INDEX('Rule Updates'!$C:$C,MATCH(A563,'Rule Updates'!$A:$A,0)),"Review"))</f>
        <v/>
      </c>
      <c r="D563" s="10">
        <f>COUNTIF('Amex Transactions'!$C:$C,A563)</f>
        <v/>
      </c>
      <c r="E563" s="10">
        <f>SUMIFS('Amex Transactions'!$G:$G,'Amex Transactions'!$C:$C,A563,'Amex Transactions'!$G:$G,"&gt;0")</f>
        <v/>
      </c>
      <c r="F563" s="11" t="n">
        <v>45842</v>
      </c>
      <c r="G563" s="10">
        <f>IF(COUNTIFS('Amex Transactions'!$C:$C,A563,'Amex Transactions'!$I:$I,"Check")&gt;0,"Check","")</f>
        <v/>
      </c>
    </row>
    <row r="564">
      <c r="A564" s="10" t="inlineStr">
        <is>
          <t>PAYPAL * LARQ 4029357733</t>
        </is>
      </c>
      <c r="B564" s="10">
        <f>IFERROR(INDEX('Review Items'!$D:$D,MATCH(A564,'Review Items'!$B:$B,0)),IFERROR(INDEX('Rule Updates'!$B:$B,MATCH(A564,'Rule Updates'!$A:$A,0)),"Uncategorised"))</f>
        <v/>
      </c>
      <c r="C564" s="10">
        <f>IFERROR(INDEX('Review Items'!$E:$E,MATCH(A564,'Review Items'!$B:$B,0)),IFERROR(INDEX('Rule Updates'!$C:$C,MATCH(A564,'Rule Updates'!$A:$A,0)),"Review"))</f>
        <v/>
      </c>
      <c r="D564" s="10">
        <f>COUNTIF('Amex Transactions'!$C:$C,A564)</f>
        <v/>
      </c>
      <c r="E564" s="10">
        <f>SUMIFS('Amex Transactions'!$G:$G,'Amex Transactions'!$C:$C,A564,'Amex Transactions'!$G:$G,"&gt;0")</f>
        <v/>
      </c>
      <c r="F564" s="11" t="n">
        <v>45904</v>
      </c>
      <c r="G564" s="10">
        <f>IF(COUNTIFS('Amex Transactions'!$C:$C,A564,'Amex Transactions'!$I:$I,"Check")&gt;0,"Check","")</f>
        <v/>
      </c>
    </row>
    <row r="565">
      <c r="A565" s="10" t="inlineStr">
        <is>
          <t>MUJI (PACIFIC PLACE) ADMIRALTY</t>
        </is>
      </c>
      <c r="B565" s="10">
        <f>IFERROR(INDEX('Review Items'!$D:$D,MATCH(A565,'Review Items'!$B:$B,0)),IFERROR(INDEX('Rule Updates'!$B:$B,MATCH(A565,'Rule Updates'!$A:$A,0)),"Uncategorised"))</f>
        <v/>
      </c>
      <c r="C565" s="10">
        <f>IFERROR(INDEX('Review Items'!$E:$E,MATCH(A565,'Review Items'!$B:$B,0)),IFERROR(INDEX('Rule Updates'!$C:$C,MATCH(A565,'Rule Updates'!$A:$A,0)),"Review"))</f>
        <v/>
      </c>
      <c r="D565" s="10">
        <f>COUNTIF('Amex Transactions'!$C:$C,A565)</f>
        <v/>
      </c>
      <c r="E565" s="10">
        <f>SUMIFS('Amex Transactions'!$G:$G,'Amex Transactions'!$C:$C,A565,'Amex Transactions'!$G:$G,"&gt;0")</f>
        <v/>
      </c>
      <c r="F565" s="11" t="n">
        <v>45799</v>
      </c>
      <c r="G565" s="10">
        <f>IF(COUNTIFS('Amex Transactions'!$C:$C,A565,'Amex Transactions'!$I:$I,"Check")&gt;0,"Check","")</f>
        <v/>
      </c>
    </row>
    <row r="566">
      <c r="A566" s="10" t="inlineStr">
        <is>
          <t>Bl u e B o ttl e Co ff ee Ko r e SEOUL</t>
        </is>
      </c>
      <c r="B566" s="10">
        <f>IFERROR(INDEX('Review Items'!$D:$D,MATCH(A566,'Review Items'!$B:$B,0)),IFERROR(INDEX('Rule Updates'!$B:$B,MATCH(A566,'Rule Updates'!$A:$A,0)),"Uncategorised"))</f>
        <v/>
      </c>
      <c r="C566" s="10">
        <f>IFERROR(INDEX('Review Items'!$E:$E,MATCH(A566,'Review Items'!$B:$B,0)),IFERROR(INDEX('Rule Updates'!$C:$C,MATCH(A566,'Rule Updates'!$A:$A,0)),"Review"))</f>
        <v/>
      </c>
      <c r="D566" s="10">
        <f>COUNTIF('Amex Transactions'!$C:$C,A566)</f>
        <v/>
      </c>
      <c r="E566" s="10">
        <f>SUMIFS('Amex Transactions'!$G:$G,'Amex Transactions'!$C:$C,A566,'Amex Transactions'!$G:$G,"&gt;0")</f>
        <v/>
      </c>
      <c r="F566" s="11" t="n">
        <v>45933</v>
      </c>
      <c r="G566" s="10">
        <f>IF(COUNTIFS('Amex Transactions'!$C:$C,A566,'Amex Transactions'!$I:$I,"Check")&gt;0,"Check","")</f>
        <v/>
      </c>
    </row>
    <row r="567">
      <c r="A567" s="10" t="inlineStr">
        <is>
          <t>CHEQUERS BATH</t>
        </is>
      </c>
      <c r="B567" s="10">
        <f>IFERROR(INDEX('Review Items'!$D:$D,MATCH(A567,'Review Items'!$B:$B,0)),IFERROR(INDEX('Rule Updates'!$B:$B,MATCH(A567,'Rule Updates'!$A:$A,0)),"Uncategorised"))</f>
        <v/>
      </c>
      <c r="C567" s="10">
        <f>IFERROR(INDEX('Review Items'!$E:$E,MATCH(A567,'Review Items'!$B:$B,0)),IFERROR(INDEX('Rule Updates'!$C:$C,MATCH(A567,'Rule Updates'!$A:$A,0)),"Review"))</f>
        <v/>
      </c>
      <c r="D567" s="10">
        <f>COUNTIF('Amex Transactions'!$C:$C,A567)</f>
        <v/>
      </c>
      <c r="E567" s="10">
        <f>SUMIFS('Amex Transactions'!$G:$G,'Amex Transactions'!$C:$C,A567,'Amex Transactions'!$G:$G,"&gt;0")</f>
        <v/>
      </c>
      <c r="F567" s="11" t="n">
        <v>45816</v>
      </c>
      <c r="G567" s="10">
        <f>IF(COUNTIFS('Amex Transactions'!$C:$C,A567,'Amex Transactions'!$I:$I,"Check")&gt;0,"Check","")</f>
        <v/>
      </c>
    </row>
    <row r="568">
      <c r="A568" s="10" t="inlineStr">
        <is>
          <t>OKAKIDOKOROTERAKOYAHOMP NAGANO</t>
        </is>
      </c>
      <c r="B568" s="10">
        <f>IFERROR(INDEX('Review Items'!$D:$D,MATCH(A568,'Review Items'!$B:$B,0)),IFERROR(INDEX('Rule Updates'!$B:$B,MATCH(A568,'Rule Updates'!$A:$A,0)),"Uncategorised"))</f>
        <v/>
      </c>
      <c r="C568" s="10">
        <f>IFERROR(INDEX('Review Items'!$E:$E,MATCH(A568,'Review Items'!$B:$B,0)),IFERROR(INDEX('Rule Updates'!$C:$C,MATCH(A568,'Rule Updates'!$A:$A,0)),"Review"))</f>
        <v/>
      </c>
      <c r="D568" s="10">
        <f>COUNTIF('Amex Transactions'!$C:$C,A568)</f>
        <v/>
      </c>
      <c r="E568" s="10">
        <f>SUMIFS('Amex Transactions'!$G:$G,'Amex Transactions'!$C:$C,A568,'Amex Transactions'!$G:$G,"&gt;0")</f>
        <v/>
      </c>
      <c r="F568" s="11" t="n">
        <v>45979</v>
      </c>
      <c r="G568" s="10">
        <f>IF(COUNTIFS('Amex Transactions'!$C:$C,A568,'Amex Transactions'!$I:$I,"Check")&gt;0,"Check","")</f>
        <v/>
      </c>
    </row>
    <row r="569">
      <c r="A569" s="10" t="inlineStr">
        <is>
          <t>DOJO*OTTOLENGHI NOTTING LONDON</t>
        </is>
      </c>
      <c r="B569" s="10">
        <f>IFERROR(INDEX('Review Items'!$D:$D,MATCH(A569,'Review Items'!$B:$B,0)),IFERROR(INDEX('Rule Updates'!$B:$B,MATCH(A569,'Rule Updates'!$A:$A,0)),"Uncategorised"))</f>
        <v/>
      </c>
      <c r="C569" s="10">
        <f>IFERROR(INDEX('Review Items'!$E:$E,MATCH(A569,'Review Items'!$B:$B,0)),IFERROR(INDEX('Rule Updates'!$C:$C,MATCH(A569,'Rule Updates'!$A:$A,0)),"Review"))</f>
        <v/>
      </c>
      <c r="D569" s="10">
        <f>COUNTIF('Amex Transactions'!$C:$C,A569)</f>
        <v/>
      </c>
      <c r="E569" s="10">
        <f>SUMIFS('Amex Transactions'!$G:$G,'Amex Transactions'!$C:$C,A569,'Amex Transactions'!$G:$G,"&gt;0")</f>
        <v/>
      </c>
      <c r="F569" s="11" t="n">
        <v>45820</v>
      </c>
      <c r="G569" s="10">
        <f>IF(COUNTIFS('Amex Transactions'!$C:$C,A569,'Amex Transactions'!$I:$I,"Check")&gt;0,"Check","")</f>
        <v/>
      </c>
    </row>
    <row r="570">
      <c r="A570" s="10" t="inlineStr">
        <is>
          <t>MOVIE MOVIE PACI FIC PLA ADMIRALTY</t>
        </is>
      </c>
      <c r="B570" s="10">
        <f>IFERROR(INDEX('Review Items'!$D:$D,MATCH(A570,'Review Items'!$B:$B,0)),IFERROR(INDEX('Rule Updates'!$B:$B,MATCH(A570,'Rule Updates'!$A:$A,0)),"Uncategorised"))</f>
        <v/>
      </c>
      <c r="C570" s="10">
        <f>IFERROR(INDEX('Review Items'!$E:$E,MATCH(A570,'Review Items'!$B:$B,0)),IFERROR(INDEX('Rule Updates'!$C:$C,MATCH(A570,'Rule Updates'!$A:$A,0)),"Review"))</f>
        <v/>
      </c>
      <c r="D570" s="10">
        <f>COUNTIF('Amex Transactions'!$C:$C,A570)</f>
        <v/>
      </c>
      <c r="E570" s="10">
        <f>SUMIFS('Amex Transactions'!$G:$G,'Amex Transactions'!$C:$C,A570,'Amex Transactions'!$G:$G,"&gt;0")</f>
        <v/>
      </c>
      <c r="F570" s="11" t="n">
        <v>46090</v>
      </c>
      <c r="G570" s="10">
        <f>IF(COUNTIFS('Amex Transactions'!$C:$C,A570,'Amex Transactions'!$I:$I,"Check")&gt;0,"Check","")</f>
        <v/>
      </c>
    </row>
    <row r="571">
      <c r="A571" s="10" t="inlineStr">
        <is>
          <t>MOVIE MOVIE PACIFIC PLA ADMIRALTY</t>
        </is>
      </c>
      <c r="B571" s="10">
        <f>IFERROR(INDEX('Review Items'!$D:$D,MATCH(A571,'Review Items'!$B:$B,0)),IFERROR(INDEX('Rule Updates'!$B:$B,MATCH(A571,'Rule Updates'!$A:$A,0)),"Uncategorised"))</f>
        <v/>
      </c>
      <c r="C571" s="10">
        <f>IFERROR(INDEX('Review Items'!$E:$E,MATCH(A571,'Review Items'!$B:$B,0)),IFERROR(INDEX('Rule Updates'!$C:$C,MATCH(A571,'Rule Updates'!$A:$A,0)),"Review"))</f>
        <v/>
      </c>
      <c r="D571" s="10">
        <f>COUNTIF('Amex Transactions'!$C:$C,A571)</f>
        <v/>
      </c>
      <c r="E571" s="10">
        <f>SUMIFS('Amex Transactions'!$G:$G,'Amex Transactions'!$C:$C,A571,'Amex Transactions'!$G:$G,"&gt;0")</f>
        <v/>
      </c>
      <c r="F571" s="11" t="n">
        <v>45644</v>
      </c>
      <c r="G571" s="10">
        <f>IF(COUNTIFS('Amex Transactions'!$C:$C,A571,'Amex Transactions'!$I:$I,"Check")&gt;0,"Check","")</f>
        <v/>
      </c>
    </row>
    <row r="572">
      <c r="A572" s="10" t="inlineStr">
        <is>
          <t>QUEEN STREET PHARMACY WOOLLAHRA</t>
        </is>
      </c>
      <c r="B572" s="10">
        <f>IFERROR(INDEX('Review Items'!$D:$D,MATCH(A572,'Review Items'!$B:$B,0)),IFERROR(INDEX('Rule Updates'!$B:$B,MATCH(A572,'Rule Updates'!$A:$A,0)),"Uncategorised"))</f>
        <v/>
      </c>
      <c r="C572" s="10">
        <f>IFERROR(INDEX('Review Items'!$E:$E,MATCH(A572,'Review Items'!$B:$B,0)),IFERROR(INDEX('Rule Updates'!$C:$C,MATCH(A572,'Rule Updates'!$A:$A,0)),"Review"))</f>
        <v/>
      </c>
      <c r="D572" s="10">
        <f>COUNTIF('Amex Transactions'!$C:$C,A572)</f>
        <v/>
      </c>
      <c r="E572" s="10">
        <f>SUMIFS('Amex Transactions'!$G:$G,'Amex Transactions'!$C:$C,A572,'Amex Transactions'!$G:$G,"&gt;0")</f>
        <v/>
      </c>
      <c r="F572" s="11" t="n">
        <v>45866</v>
      </c>
      <c r="G572" s="10">
        <f>IF(COUNTIFS('Amex Transactions'!$C:$C,A572,'Amex Transactions'!$I:$I,"Check")&gt;0,"Check","")</f>
        <v/>
      </c>
    </row>
    <row r="573">
      <c r="A573" s="10" t="inlineStr">
        <is>
          <t>Neighbourhood Coffee 52 Hong Kong</t>
        </is>
      </c>
      <c r="B573" s="10">
        <f>IFERROR(INDEX('Review Items'!$D:$D,MATCH(A573,'Review Items'!$B:$B,0)),IFERROR(INDEX('Rule Updates'!$B:$B,MATCH(A573,'Rule Updates'!$A:$A,0)),"Uncategorised"))</f>
        <v/>
      </c>
      <c r="C573" s="10">
        <f>IFERROR(INDEX('Review Items'!$E:$E,MATCH(A573,'Review Items'!$B:$B,0)),IFERROR(INDEX('Rule Updates'!$C:$C,MATCH(A573,'Rule Updates'!$A:$A,0)),"Review"))</f>
        <v/>
      </c>
      <c r="D573" s="10">
        <f>COUNTIF('Amex Transactions'!$C:$C,A573)</f>
        <v/>
      </c>
      <c r="E573" s="10">
        <f>SUMIFS('Amex Transactions'!$G:$G,'Amex Transactions'!$C:$C,A573,'Amex Transactions'!$G:$G,"&gt;0")</f>
        <v/>
      </c>
      <c r="F573" s="11" t="n">
        <v>45891</v>
      </c>
      <c r="G573" s="10">
        <f>IF(COUNTIFS('Amex Transactions'!$C:$C,A573,'Amex Transactions'!$I:$I,"Check")&gt;0,"Check","")</f>
        <v/>
      </c>
    </row>
    <row r="574">
      <c r="A574" s="10" t="inlineStr">
        <is>
          <t>MAKKARIBASE AIR HOKKAIDO</t>
        </is>
      </c>
      <c r="B574" s="10">
        <f>IFERROR(INDEX('Review Items'!$D:$D,MATCH(A574,'Review Items'!$B:$B,0)),IFERROR(INDEX('Rule Updates'!$B:$B,MATCH(A574,'Rule Updates'!$A:$A,0)),"Uncategorised"))</f>
        <v/>
      </c>
      <c r="C574" s="10">
        <f>IFERROR(INDEX('Review Items'!$E:$E,MATCH(A574,'Review Items'!$B:$B,0)),IFERROR(INDEX('Rule Updates'!$C:$C,MATCH(A574,'Rule Updates'!$A:$A,0)),"Review"))</f>
        <v/>
      </c>
      <c r="D574" s="10">
        <f>COUNTIF('Amex Transactions'!$C:$C,A574)</f>
        <v/>
      </c>
      <c r="E574" s="10">
        <f>SUMIFS('Amex Transactions'!$G:$G,'Amex Transactions'!$C:$C,A574,'Amex Transactions'!$G:$G,"&gt;0")</f>
        <v/>
      </c>
      <c r="F574" s="11" t="n">
        <v>46084</v>
      </c>
      <c r="G574" s="10">
        <f>IF(COUNTIFS('Amex Transactions'!$C:$C,A574,'Amex Transactions'!$I:$I,"Check")&gt;0,"Check","")</f>
        <v/>
      </c>
    </row>
    <row r="575">
      <c r="A575" s="10" t="inlineStr">
        <is>
          <t>SIXT PORTUGAL RAC _ 307 _ MPAREDES</t>
        </is>
      </c>
      <c r="B575" s="10">
        <f>IFERROR(INDEX('Review Items'!$D:$D,MATCH(A575,'Review Items'!$B:$B,0)),IFERROR(INDEX('Rule Updates'!$B:$B,MATCH(A575,'Rule Updates'!$A:$A,0)),"Uncategorised"))</f>
        <v/>
      </c>
      <c r="C575" s="10">
        <f>IFERROR(INDEX('Review Items'!$E:$E,MATCH(A575,'Review Items'!$B:$B,0)),IFERROR(INDEX('Rule Updates'!$C:$C,MATCH(A575,'Rule Updates'!$A:$A,0)),"Review"))</f>
        <v/>
      </c>
      <c r="D575" s="10">
        <f>COUNTIF('Amex Transactions'!$C:$C,A575)</f>
        <v/>
      </c>
      <c r="E575" s="10">
        <f>SUMIFS('Amex Transactions'!$G:$G,'Amex Transactions'!$C:$C,A575,'Amex Transactions'!$G:$G,"&gt;0")</f>
        <v/>
      </c>
      <c r="F575" s="11" t="n">
        <v>46071</v>
      </c>
      <c r="G575" s="10">
        <f>IF(COUNTIFS('Amex Transactions'!$C:$C,A575,'Amex Transactions'!$I:$I,"Check")&gt;0,"Check","")</f>
        <v/>
      </c>
    </row>
    <row r="576">
      <c r="A576" s="10" t="inlineStr">
        <is>
          <t>BOOKAZINE CENTRAL</t>
        </is>
      </c>
      <c r="B576" s="10">
        <f>IFERROR(INDEX('Review Items'!$D:$D,MATCH(A576,'Review Items'!$B:$B,0)),IFERROR(INDEX('Rule Updates'!$B:$B,MATCH(A576,'Rule Updates'!$A:$A,0)),"Uncategorised"))</f>
        <v/>
      </c>
      <c r="C576" s="10">
        <f>IFERROR(INDEX('Review Items'!$E:$E,MATCH(A576,'Review Items'!$B:$B,0)),IFERROR(INDEX('Rule Updates'!$C:$C,MATCH(A576,'Rule Updates'!$A:$A,0)),"Review"))</f>
        <v/>
      </c>
      <c r="D576" s="10">
        <f>COUNTIF('Amex Transactions'!$C:$C,A576)</f>
        <v/>
      </c>
      <c r="E576" s="10">
        <f>SUMIFS('Amex Transactions'!$G:$G,'Amex Transactions'!$C:$C,A576,'Amex Transactions'!$G:$G,"&gt;0")</f>
        <v/>
      </c>
      <c r="F576" s="11" t="n">
        <v>45797</v>
      </c>
      <c r="G576" s="10">
        <f>IF(COUNTIFS('Amex Transactions'!$C:$C,A576,'Amex Transactions'!$I:$I,"Check")&gt;0,"Check","")</f>
        <v/>
      </c>
    </row>
    <row r="577">
      <c r="A577" s="10" t="inlineStr">
        <is>
          <t>JAL INTL INFLIGHT SALES TOKYO JAPAN</t>
        </is>
      </c>
      <c r="B577" s="10">
        <f>IFERROR(INDEX('Review Items'!$D:$D,MATCH(A577,'Review Items'!$B:$B,0)),IFERROR(INDEX('Rule Updates'!$B:$B,MATCH(A577,'Rule Updates'!$A:$A,0)),"Uncategorised"))</f>
        <v/>
      </c>
      <c r="C577" s="10">
        <f>IFERROR(INDEX('Review Items'!$E:$E,MATCH(A577,'Review Items'!$B:$B,0)),IFERROR(INDEX('Rule Updates'!$C:$C,MATCH(A577,'Rule Updates'!$A:$A,0)),"Review"))</f>
        <v/>
      </c>
      <c r="D577" s="10">
        <f>COUNTIF('Amex Transactions'!$C:$C,A577)</f>
        <v/>
      </c>
      <c r="E577" s="10">
        <f>SUMIFS('Amex Transactions'!$G:$G,'Amex Transactions'!$C:$C,A577,'Amex Transactions'!$G:$G,"&gt;0")</f>
        <v/>
      </c>
      <c r="F577" s="11" t="n">
        <v>45796</v>
      </c>
      <c r="G577" s="10">
        <f>IF(COUNTIFS('Amex Transactions'!$C:$C,A577,'Amex Transactions'!$I:$I,"Check")&gt;0,"Check","")</f>
        <v/>
      </c>
    </row>
    <row r="578">
      <c r="A578" s="10" t="inlineStr">
        <is>
          <t>CLE DE PEAU BEAUTE CENTRAL</t>
        </is>
      </c>
      <c r="B578" s="10">
        <f>IFERROR(INDEX('Review Items'!$D:$D,MATCH(A578,'Review Items'!$B:$B,0)),IFERROR(INDEX('Rule Updates'!$B:$B,MATCH(A578,'Rule Updates'!$A:$A,0)),"Uncategorised"))</f>
        <v/>
      </c>
      <c r="C578" s="10">
        <f>IFERROR(INDEX('Review Items'!$E:$E,MATCH(A578,'Review Items'!$B:$B,0)),IFERROR(INDEX('Rule Updates'!$C:$C,MATCH(A578,'Rule Updates'!$A:$A,0)),"Review"))</f>
        <v/>
      </c>
      <c r="D578" s="10">
        <f>COUNTIF('Amex Transactions'!$C:$C,A578)</f>
        <v/>
      </c>
      <c r="E578" s="10">
        <f>SUMIFS('Amex Transactions'!$G:$G,'Amex Transactions'!$C:$C,A578,'Amex Transactions'!$G:$G,"&gt;0")</f>
        <v/>
      </c>
      <c r="F578" s="11" t="n">
        <v>45894</v>
      </c>
      <c r="G578" s="10">
        <f>IF(COUNTIFS('Amex Transactions'!$C:$C,A578,'Amex Transactions'!$I:$I,"Check")&gt;0,"Check","")</f>
        <v/>
      </c>
    </row>
    <row r="579">
      <c r="A579" s="10" t="inlineStr">
        <is>
          <t>THE MANDARIN CAKE SHOP CENTRAL</t>
        </is>
      </c>
      <c r="B579" s="10">
        <f>IFERROR(INDEX('Review Items'!$D:$D,MATCH(A579,'Review Items'!$B:$B,0)),IFERROR(INDEX('Rule Updates'!$B:$B,MATCH(A579,'Rule Updates'!$A:$A,0)),"Uncategorised"))</f>
        <v/>
      </c>
      <c r="C579" s="10">
        <f>IFERROR(INDEX('Review Items'!$E:$E,MATCH(A579,'Review Items'!$B:$B,0)),IFERROR(INDEX('Rule Updates'!$C:$C,MATCH(A579,'Rule Updates'!$A:$A,0)),"Review"))</f>
        <v/>
      </c>
      <c r="D579" s="10">
        <f>COUNTIF('Amex Transactions'!$C:$C,A579)</f>
        <v/>
      </c>
      <c r="E579" s="10">
        <f>SUMIFS('Amex Transactions'!$G:$G,'Amex Transactions'!$C:$C,A579,'Amex Transactions'!$G:$G,"&gt;0")</f>
        <v/>
      </c>
      <c r="F579" s="11" t="n">
        <v>45985</v>
      </c>
      <c r="G579" s="10">
        <f>IF(COUNTIFS('Amex Transactions'!$C:$C,A579,'Amex Transactions'!$I:$I,"Check")&gt;0,"Check","")</f>
        <v/>
      </c>
    </row>
    <row r="580">
      <c r="A580" s="10" t="inlineStr">
        <is>
          <t>KITH Cafe ASCOTT ORCHAR SINGAPORE</t>
        </is>
      </c>
      <c r="B580" s="10">
        <f>IFERROR(INDEX('Review Items'!$D:$D,MATCH(A580,'Review Items'!$B:$B,0)),IFERROR(INDEX('Rule Updates'!$B:$B,MATCH(A580,'Rule Updates'!$A:$A,0)),"Uncategorised"))</f>
        <v/>
      </c>
      <c r="C580" s="10">
        <f>IFERROR(INDEX('Review Items'!$E:$E,MATCH(A580,'Review Items'!$B:$B,0)),IFERROR(INDEX('Rule Updates'!$C:$C,MATCH(A580,'Rule Updates'!$A:$A,0)),"Review"))</f>
        <v/>
      </c>
      <c r="D580" s="10">
        <f>COUNTIF('Amex Transactions'!$C:$C,A580)</f>
        <v/>
      </c>
      <c r="E580" s="10">
        <f>SUMIFS('Amex Transactions'!$G:$G,'Amex Transactions'!$C:$C,A580,'Amex Transactions'!$G:$G,"&gt;0")</f>
        <v/>
      </c>
      <c r="F580" s="11" t="n">
        <v>45546</v>
      </c>
      <c r="G580" s="10">
        <f>IF(COUNTIFS('Amex Transactions'!$C:$C,A580,'Amex Transactions'!$I:$I,"Check")&gt;0,"Check","")</f>
        <v/>
      </c>
    </row>
    <row r="581">
      <c r="A581" s="10" t="inlineStr">
        <is>
          <t>FISHBUTCHERY WATERLOO 1 WATERLOO</t>
        </is>
      </c>
      <c r="B581" s="10">
        <f>IFERROR(INDEX('Review Items'!$D:$D,MATCH(A581,'Review Items'!$B:$B,0)),IFERROR(INDEX('Rule Updates'!$B:$B,MATCH(A581,'Rule Updates'!$A:$A,0)),"Uncategorised"))</f>
        <v/>
      </c>
      <c r="C581" s="10">
        <f>IFERROR(INDEX('Review Items'!$E:$E,MATCH(A581,'Review Items'!$B:$B,0)),IFERROR(INDEX('Rule Updates'!$C:$C,MATCH(A581,'Rule Updates'!$A:$A,0)),"Review"))</f>
        <v/>
      </c>
      <c r="D581" s="10">
        <f>COUNTIF('Amex Transactions'!$C:$C,A581)</f>
        <v/>
      </c>
      <c r="E581" s="10">
        <f>SUMIFS('Amex Transactions'!$G:$G,'Amex Transactions'!$C:$C,A581,'Amex Transactions'!$G:$G,"&gt;0")</f>
        <v/>
      </c>
      <c r="F581" s="11" t="n">
        <v>45662</v>
      </c>
      <c r="G581" s="10">
        <f>IF(COUNTIFS('Amex Transactions'!$C:$C,A581,'Amex Transactions'!$I:$I,"Check")&gt;0,"Check","")</f>
        <v/>
      </c>
    </row>
    <row r="582">
      <c r="A582" s="10" t="inlineStr">
        <is>
          <t>SEUTAENDADEU BEULEDEU SSEOUL</t>
        </is>
      </c>
      <c r="B582" s="10">
        <f>IFERROR(INDEX('Review Items'!$D:$D,MATCH(A582,'Review Items'!$B:$B,0)),IFERROR(INDEX('Rule Updates'!$B:$B,MATCH(A582,'Rule Updates'!$A:$A,0)),"Uncategorised"))</f>
        <v/>
      </c>
      <c r="C582" s="10">
        <f>IFERROR(INDEX('Review Items'!$E:$E,MATCH(A582,'Review Items'!$B:$B,0)),IFERROR(INDEX('Rule Updates'!$C:$C,MATCH(A582,'Rule Updates'!$A:$A,0)),"Review"))</f>
        <v/>
      </c>
      <c r="D582" s="10">
        <f>COUNTIF('Amex Transactions'!$C:$C,A582)</f>
        <v/>
      </c>
      <c r="E582" s="10">
        <f>SUMIFS('Amex Transactions'!$G:$G,'Amex Transactions'!$C:$C,A582,'Amex Transactions'!$G:$G,"&gt;0")</f>
        <v/>
      </c>
      <c r="F582" s="11" t="n">
        <v>45968</v>
      </c>
      <c r="G582" s="10">
        <f>IF(COUNTIFS('Amex Transactions'!$C:$C,A582,'Amex Transactions'!$I:$I,"Check")&gt;0,"Check","")</f>
        <v/>
      </c>
    </row>
    <row r="583">
      <c r="A583" s="10" t="inlineStr">
        <is>
          <t>GRAB*A-6T3KP6GWWFFO SINGAPORE</t>
        </is>
      </c>
      <c r="B583" s="10">
        <f>IFERROR(INDEX('Review Items'!$D:$D,MATCH(A583,'Review Items'!$B:$B,0)),IFERROR(INDEX('Rule Updates'!$B:$B,MATCH(A583,'Rule Updates'!$A:$A,0)),"Uncategorised"))</f>
        <v/>
      </c>
      <c r="C583" s="10">
        <f>IFERROR(INDEX('Review Items'!$E:$E,MATCH(A583,'Review Items'!$B:$B,0)),IFERROR(INDEX('Rule Updates'!$C:$C,MATCH(A583,'Rule Updates'!$A:$A,0)),"Review"))</f>
        <v/>
      </c>
      <c r="D583" s="10">
        <f>COUNTIF('Amex Transactions'!$C:$C,A583)</f>
        <v/>
      </c>
      <c r="E583" s="10">
        <f>SUMIFS('Amex Transactions'!$G:$G,'Amex Transactions'!$C:$C,A583,'Amex Transactions'!$G:$G,"&gt;0")</f>
        <v/>
      </c>
      <c r="F583" s="11" t="n">
        <v>45548</v>
      </c>
      <c r="G583" s="10">
        <f>IF(COUNTIFS('Amex Transactions'!$C:$C,A583,'Amex Transactions'!$I:$I,"Check")&gt;0,"Check","")</f>
        <v/>
      </c>
    </row>
    <row r="584">
      <c r="A584" s="10" t="inlineStr">
        <is>
          <t>THE LANDMARK MO HOTEL - CENTRAL</t>
        </is>
      </c>
      <c r="B584" s="10">
        <f>IFERROR(INDEX('Review Items'!$D:$D,MATCH(A584,'Review Items'!$B:$B,0)),IFERROR(INDEX('Rule Updates'!$B:$B,MATCH(A584,'Rule Updates'!$A:$A,0)),"Uncategorised"))</f>
        <v/>
      </c>
      <c r="C584" s="10">
        <f>IFERROR(INDEX('Review Items'!$E:$E,MATCH(A584,'Review Items'!$B:$B,0)),IFERROR(INDEX('Rule Updates'!$C:$C,MATCH(A584,'Rule Updates'!$A:$A,0)),"Review"))</f>
        <v/>
      </c>
      <c r="D584" s="10">
        <f>COUNTIF('Amex Transactions'!$C:$C,A584)</f>
        <v/>
      </c>
      <c r="E584" s="10">
        <f>SUMIFS('Amex Transactions'!$G:$G,'Amex Transactions'!$C:$C,A584,'Amex Transactions'!$G:$G,"&gt;0")</f>
        <v/>
      </c>
      <c r="F584" s="11" t="n">
        <v>45897</v>
      </c>
      <c r="G584" s="10">
        <f>IF(COUNTIFS('Amex Transactions'!$C:$C,A584,'Amex Transactions'!$I:$I,"Check")&gt;0,"Check","")</f>
        <v/>
      </c>
    </row>
    <row r="585">
      <c r="A585" s="10" t="inlineStr">
        <is>
          <t>W HSMITH TRAVEL HEATH HOWNSLOW</t>
        </is>
      </c>
      <c r="B585" s="10">
        <f>IFERROR(INDEX('Review Items'!$D:$D,MATCH(A585,'Review Items'!$B:$B,0)),IFERROR(INDEX('Rule Updates'!$B:$B,MATCH(A585,'Rule Updates'!$A:$A,0)),"Uncategorised"))</f>
        <v/>
      </c>
      <c r="C585" s="10">
        <f>IFERROR(INDEX('Review Items'!$E:$E,MATCH(A585,'Review Items'!$B:$B,0)),IFERROR(INDEX('Rule Updates'!$C:$C,MATCH(A585,'Rule Updates'!$A:$A,0)),"Review"))</f>
        <v/>
      </c>
      <c r="D585" s="10">
        <f>COUNTIF('Amex Transactions'!$C:$C,A585)</f>
        <v/>
      </c>
      <c r="E585" s="10">
        <f>SUMIFS('Amex Transactions'!$G:$G,'Amex Transactions'!$C:$C,A585,'Amex Transactions'!$G:$G,"&gt;0")</f>
        <v/>
      </c>
      <c r="F585" s="11" t="n">
        <v>45824</v>
      </c>
      <c r="G585" s="10">
        <f>IF(COUNTIFS('Amex Transactions'!$C:$C,A585,'Amex Transactions'!$I:$I,"Check")&gt;0,"Check","")</f>
        <v/>
      </c>
    </row>
    <row r="586">
      <c r="A586" s="10" t="inlineStr">
        <is>
          <t>HOW MATCHA London</t>
        </is>
      </c>
      <c r="B586" s="10">
        <f>IFERROR(INDEX('Review Items'!$D:$D,MATCH(A586,'Review Items'!$B:$B,0)),IFERROR(INDEX('Rule Updates'!$B:$B,MATCH(A586,'Rule Updates'!$A:$A,0)),"Uncategorised"))</f>
        <v/>
      </c>
      <c r="C586" s="10">
        <f>IFERROR(INDEX('Review Items'!$E:$E,MATCH(A586,'Review Items'!$B:$B,0)),IFERROR(INDEX('Rule Updates'!$C:$C,MATCH(A586,'Rule Updates'!$A:$A,0)),"Review"))</f>
        <v/>
      </c>
      <c r="D586" s="10">
        <f>COUNTIF('Amex Transactions'!$C:$C,A586)</f>
        <v/>
      </c>
      <c r="E586" s="10">
        <f>SUMIFS('Amex Transactions'!$G:$G,'Amex Transactions'!$C:$C,A586,'Amex Transactions'!$G:$G,"&gt;0")</f>
        <v/>
      </c>
      <c r="F586" s="11" t="n">
        <v>45839</v>
      </c>
      <c r="G586" s="10">
        <f>IF(COUNTIFS('Amex Transactions'!$C:$C,A586,'Amex Transactions'!$I:$I,"Check")&gt;0,"Check","")</f>
        <v/>
      </c>
    </row>
    <row r="587">
      <c r="A587" s="10" t="inlineStr">
        <is>
          <t>SP SO FTER VOLUMES ZETLAND</t>
        </is>
      </c>
      <c r="B587" s="10">
        <f>IFERROR(INDEX('Review Items'!$D:$D,MATCH(A587,'Review Items'!$B:$B,0)),IFERROR(INDEX('Rule Updates'!$B:$B,MATCH(A587,'Rule Updates'!$A:$A,0)),"Uncategorised"))</f>
        <v/>
      </c>
      <c r="C587" s="10">
        <f>IFERROR(INDEX('Review Items'!$E:$E,MATCH(A587,'Review Items'!$B:$B,0)),IFERROR(INDEX('Rule Updates'!$C:$C,MATCH(A587,'Rule Updates'!$A:$A,0)),"Review"))</f>
        <v/>
      </c>
      <c r="D587" s="10">
        <f>COUNTIF('Amex Transactions'!$C:$C,A587)</f>
        <v/>
      </c>
      <c r="E587" s="10">
        <f>SUMIFS('Amex Transactions'!$G:$G,'Amex Transactions'!$C:$C,A587,'Amex Transactions'!$G:$G,"&gt;0")</f>
        <v/>
      </c>
      <c r="F587" s="11" t="n">
        <v>45930</v>
      </c>
      <c r="G587" s="10">
        <f>IF(COUNTIFS('Amex Transactions'!$C:$C,A587,'Amex Transactions'!$I:$I,"Check")&gt;0,"Check","")</f>
        <v/>
      </c>
    </row>
    <row r="588">
      <c r="A588" s="10" t="inlineStr">
        <is>
          <t>FLOUR AND STONE PANTRYW oo ll oomoo l oo</t>
        </is>
      </c>
      <c r="B588" s="10">
        <f>IFERROR(INDEX('Review Items'!$D:$D,MATCH(A588,'Review Items'!$B:$B,0)),IFERROR(INDEX('Rule Updates'!$B:$B,MATCH(A588,'Rule Updates'!$A:$A,0)),"Uncategorised"))</f>
        <v/>
      </c>
      <c r="C588" s="10">
        <f>IFERROR(INDEX('Review Items'!$E:$E,MATCH(A588,'Review Items'!$B:$B,0)),IFERROR(INDEX('Rule Updates'!$C:$C,MATCH(A588,'Rule Updates'!$A:$A,0)),"Review"))</f>
        <v/>
      </c>
      <c r="D588" s="10">
        <f>COUNTIF('Amex Transactions'!$C:$C,A588)</f>
        <v/>
      </c>
      <c r="E588" s="10">
        <f>SUMIFS('Amex Transactions'!$G:$G,'Amex Transactions'!$C:$C,A588,'Amex Transactions'!$G:$G,"&gt;0")</f>
        <v/>
      </c>
      <c r="F588" s="11" t="n">
        <v>46013</v>
      </c>
      <c r="G588" s="10">
        <f>IF(COUNTIFS('Amex Transactions'!$C:$C,A588,'Amex Transactions'!$I:$I,"Check")&gt;0,"Check","")</f>
        <v/>
      </c>
    </row>
    <row r="589">
      <c r="A589" s="10" t="inlineStr">
        <is>
          <t>HOUSE BYLIM INC SEOUL</t>
        </is>
      </c>
      <c r="B589" s="10">
        <f>IFERROR(INDEX('Review Items'!$D:$D,MATCH(A589,'Review Items'!$B:$B,0)),IFERROR(INDEX('Rule Updates'!$B:$B,MATCH(A589,'Rule Updates'!$A:$A,0)),"Uncategorised"))</f>
        <v/>
      </c>
      <c r="C589" s="10">
        <f>IFERROR(INDEX('Review Items'!$E:$E,MATCH(A589,'Review Items'!$B:$B,0)),IFERROR(INDEX('Rule Updates'!$C:$C,MATCH(A589,'Rule Updates'!$A:$A,0)),"Review"))</f>
        <v/>
      </c>
      <c r="D589" s="10">
        <f>COUNTIF('Amex Transactions'!$C:$C,A589)</f>
        <v/>
      </c>
      <c r="E589" s="10">
        <f>SUMIFS('Amex Transactions'!$G:$G,'Amex Transactions'!$C:$C,A589,'Amex Transactions'!$G:$G,"&gt;0")</f>
        <v/>
      </c>
      <c r="F589" s="11" t="n">
        <v>45932</v>
      </c>
      <c r="G589" s="10">
        <f>IF(COUNTIFS('Amex Transactions'!$C:$C,A589,'Amex Transactions'!$I:$I,"Check")&gt;0,"Check","")</f>
        <v/>
      </c>
    </row>
    <row r="590">
      <c r="A590" s="10" t="inlineStr">
        <is>
          <t>NISEKOCACAOCROWN AIR HOKKAIDO</t>
        </is>
      </c>
      <c r="B590" s="10">
        <f>IFERROR(INDEX('Review Items'!$D:$D,MATCH(A590,'Review Items'!$B:$B,0)),IFERROR(INDEX('Rule Updates'!$B:$B,MATCH(A590,'Rule Updates'!$A:$A,0)),"Uncategorised"))</f>
        <v/>
      </c>
      <c r="C590" s="10">
        <f>IFERROR(INDEX('Review Items'!$E:$E,MATCH(A590,'Review Items'!$B:$B,0)),IFERROR(INDEX('Rule Updates'!$C:$C,MATCH(A590,'Rule Updates'!$A:$A,0)),"Review"))</f>
        <v/>
      </c>
      <c r="D590" s="10">
        <f>COUNTIF('Amex Transactions'!$C:$C,A590)</f>
        <v/>
      </c>
      <c r="E590" s="10">
        <f>SUMIFS('Amex Transactions'!$G:$G,'Amex Transactions'!$C:$C,A590,'Amex Transactions'!$G:$G,"&gt;0")</f>
        <v/>
      </c>
      <c r="F590" s="11" t="n">
        <v>45724</v>
      </c>
      <c r="G590" s="10">
        <f>IF(COUNTIFS('Amex Transactions'!$C:$C,A590,'Amex Transactions'!$I:$I,"Check")&gt;0,"Check","")</f>
        <v/>
      </c>
    </row>
    <row r="591">
      <c r="A591" s="10" t="inlineStr">
        <is>
          <t>PIERRE HERME PARIS CENTRAL</t>
        </is>
      </c>
      <c r="B591" s="10">
        <f>IFERROR(INDEX('Review Items'!$D:$D,MATCH(A591,'Review Items'!$B:$B,0)),IFERROR(INDEX('Rule Updates'!$B:$B,MATCH(A591,'Rule Updates'!$A:$A,0)),"Uncategorised"))</f>
        <v/>
      </c>
      <c r="C591" s="10">
        <f>IFERROR(INDEX('Review Items'!$E:$E,MATCH(A591,'Review Items'!$B:$B,0)),IFERROR(INDEX('Rule Updates'!$C:$C,MATCH(A591,'Rule Updates'!$A:$A,0)),"Review"))</f>
        <v/>
      </c>
      <c r="D591" s="10">
        <f>COUNTIF('Amex Transactions'!$C:$C,A591)</f>
        <v/>
      </c>
      <c r="E591" s="10">
        <f>SUMIFS('Amex Transactions'!$G:$G,'Amex Transactions'!$C:$C,A591,'Amex Transactions'!$G:$G,"&gt;0")</f>
        <v/>
      </c>
      <c r="F591" s="11" t="n">
        <v>45575</v>
      </c>
      <c r="G591" s="10">
        <f>IF(COUNTIFS('Amex Transactions'!$C:$C,A591,'Amex Transactions'!$I:$I,"Check")&gt;0,"Check","")</f>
        <v/>
      </c>
    </row>
    <row r="592">
      <c r="A592" s="10" t="inlineStr">
        <is>
          <t>ZETTLE *SYRA COFFEES.LBARCELONA</t>
        </is>
      </c>
      <c r="B592" s="10">
        <f>IFERROR(INDEX('Review Items'!$D:$D,MATCH(A592,'Review Items'!$B:$B,0)),IFERROR(INDEX('Rule Updates'!$B:$B,MATCH(A592,'Rule Updates'!$A:$A,0)),"Uncategorised"))</f>
        <v/>
      </c>
      <c r="C592" s="10">
        <f>IFERROR(INDEX('Review Items'!$E:$E,MATCH(A592,'Review Items'!$B:$B,0)),IFERROR(INDEX('Rule Updates'!$C:$C,MATCH(A592,'Rule Updates'!$A:$A,0)),"Review"))</f>
        <v/>
      </c>
      <c r="D592" s="10">
        <f>COUNTIF('Amex Transactions'!$C:$C,A592)</f>
        <v/>
      </c>
      <c r="E592" s="10">
        <f>SUMIFS('Amex Transactions'!$G:$G,'Amex Transactions'!$C:$C,A592,'Amex Transactions'!$G:$G,"&gt;0")</f>
        <v/>
      </c>
      <c r="F592" s="11" t="n">
        <v>45624</v>
      </c>
      <c r="G592" s="10">
        <f>IF(COUNTIFS('Amex Transactions'!$C:$C,A592,'Amex Transactions'!$I:$I,"Check")&gt;0,"Check","")</f>
        <v/>
      </c>
    </row>
    <row r="593">
      <c r="A593" s="10" t="inlineStr">
        <is>
          <t>DOJO*OTTOLENGHI PAVILIO LONDON</t>
        </is>
      </c>
      <c r="B593" s="10">
        <f>IFERROR(INDEX('Review Items'!$D:$D,MATCH(A593,'Review Items'!$B:$B,0)),IFERROR(INDEX('Rule Updates'!$B:$B,MATCH(A593,'Rule Updates'!$A:$A,0)),"Uncategorised"))</f>
        <v/>
      </c>
      <c r="C593" s="10">
        <f>IFERROR(INDEX('Review Items'!$E:$E,MATCH(A593,'Review Items'!$B:$B,0)),IFERROR(INDEX('Rule Updates'!$C:$C,MATCH(A593,'Rule Updates'!$A:$A,0)),"Review"))</f>
        <v/>
      </c>
      <c r="D593" s="10">
        <f>COUNTIF('Amex Transactions'!$C:$C,A593)</f>
        <v/>
      </c>
      <c r="E593" s="10">
        <f>SUMIFS('Amex Transactions'!$G:$G,'Amex Transactions'!$C:$C,A593,'Amex Transactions'!$G:$G,"&gt;0")</f>
        <v/>
      </c>
      <c r="F593" s="11" t="n">
        <v>45753</v>
      </c>
      <c r="G593" s="10">
        <f>IF(COUNTIFS('Amex Transactions'!$C:$C,A593,'Amex Transactions'!$I:$I,"Check")&gt;0,"Check","")</f>
        <v/>
      </c>
    </row>
    <row r="594">
      <c r="A594" s="10" t="inlineStr">
        <is>
          <t>RAKUTENPAY YUKARANISEKO HOKKAIDO</t>
        </is>
      </c>
      <c r="B594" s="10">
        <f>IFERROR(INDEX('Review Items'!$D:$D,MATCH(A594,'Review Items'!$B:$B,0)),IFERROR(INDEX('Rule Updates'!$B:$B,MATCH(A594,'Rule Updates'!$A:$A,0)),"Uncategorised"))</f>
        <v/>
      </c>
      <c r="C594" s="10">
        <f>IFERROR(INDEX('Review Items'!$E:$E,MATCH(A594,'Review Items'!$B:$B,0)),IFERROR(INDEX('Rule Updates'!$C:$C,MATCH(A594,'Rule Updates'!$A:$A,0)),"Review"))</f>
        <v/>
      </c>
      <c r="D594" s="10">
        <f>COUNTIF('Amex Transactions'!$C:$C,A594)</f>
        <v/>
      </c>
      <c r="E594" s="10">
        <f>SUMIFS('Amex Transactions'!$G:$G,'Amex Transactions'!$C:$C,A594,'Amex Transactions'!$G:$G,"&gt;0")</f>
        <v/>
      </c>
      <c r="F594" s="11" t="n">
        <v>45724</v>
      </c>
      <c r="G594" s="10">
        <f>IF(COUNTIFS('Amex Transactions'!$C:$C,A594,'Amex Transactions'!$I:$I,"Check")&gt;0,"Check","")</f>
        <v/>
      </c>
    </row>
    <row r="595">
      <c r="A595" s="10" t="inlineStr">
        <is>
          <t>HUMBLE COFFEE&amp;BAKERY 74 SURRY HILLS</t>
        </is>
      </c>
      <c r="B595" s="10">
        <f>IFERROR(INDEX('Review Items'!$D:$D,MATCH(A595,'Review Items'!$B:$B,0)),IFERROR(INDEX('Rule Updates'!$B:$B,MATCH(A595,'Rule Updates'!$A:$A,0)),"Uncategorised"))</f>
        <v/>
      </c>
      <c r="C595" s="10">
        <f>IFERROR(INDEX('Review Items'!$E:$E,MATCH(A595,'Review Items'!$B:$B,0)),IFERROR(INDEX('Rule Updates'!$C:$C,MATCH(A595,'Rule Updates'!$A:$A,0)),"Review"))</f>
        <v/>
      </c>
      <c r="D595" s="10">
        <f>COUNTIF('Amex Transactions'!$C:$C,A595)</f>
        <v/>
      </c>
      <c r="E595" s="10">
        <f>SUMIFS('Amex Transactions'!$G:$G,'Amex Transactions'!$C:$C,A595,'Amex Transactions'!$G:$G,"&gt;0")</f>
        <v/>
      </c>
      <c r="F595" s="11" t="n">
        <v>45868</v>
      </c>
      <c r="G595" s="10">
        <f>IF(COUNTIFS('Amex Transactions'!$C:$C,A595,'Amex Transactions'!$I:$I,"Check")&gt;0,"Check","")</f>
        <v/>
      </c>
    </row>
    <row r="596">
      <c r="A596" s="10" t="inlineStr">
        <is>
          <t>AMAZON PRIME*N348J9DN2 AMZN.COM/BILL</t>
        </is>
      </c>
      <c r="B596" s="10">
        <f>IFERROR(INDEX('Review Items'!$D:$D,MATCH(A596,'Review Items'!$B:$B,0)),IFERROR(INDEX('Rule Updates'!$B:$B,MATCH(A596,'Rule Updates'!$A:$A,0)),"Uncategorised"))</f>
        <v/>
      </c>
      <c r="C596" s="10">
        <f>IFERROR(INDEX('Review Items'!$E:$E,MATCH(A596,'Review Items'!$B:$B,0)),IFERROR(INDEX('Rule Updates'!$C:$C,MATCH(A596,'Rule Updates'!$A:$A,0)),"Review"))</f>
        <v/>
      </c>
      <c r="D596" s="10">
        <f>COUNTIF('Amex Transactions'!$C:$C,A596)</f>
        <v/>
      </c>
      <c r="E596" s="10">
        <f>SUMIFS('Amex Transactions'!$G:$G,'Amex Transactions'!$C:$C,A596,'Amex Transactions'!$G:$G,"&gt;0")</f>
        <v/>
      </c>
      <c r="F596" s="11" t="n">
        <v>45839</v>
      </c>
      <c r="G596" s="10">
        <f>IF(COUNTIFS('Amex Transactions'!$C:$C,A596,'Amex Transactions'!$I:$I,"Check")&gt;0,"Check","")</f>
        <v/>
      </c>
    </row>
    <row r="597">
      <c r="A597" s="10" t="inlineStr">
        <is>
          <t>AMAZON PRIME*LH0E794C3 AMZN.COM/BILL</t>
        </is>
      </c>
      <c r="B597" s="10">
        <f>IFERROR(INDEX('Review Items'!$D:$D,MATCH(A597,'Review Items'!$B:$B,0)),IFERROR(INDEX('Rule Updates'!$B:$B,MATCH(A597,'Rule Updates'!$A:$A,0)),"Uncategorised"))</f>
        <v/>
      </c>
      <c r="C597" s="10">
        <f>IFERROR(INDEX('Review Items'!$E:$E,MATCH(A597,'Review Items'!$B:$B,0)),IFERROR(INDEX('Rule Updates'!$C:$C,MATCH(A597,'Rule Updates'!$A:$A,0)),"Review"))</f>
        <v/>
      </c>
      <c r="D597" s="10">
        <f>COUNTIF('Amex Transactions'!$C:$C,A597)</f>
        <v/>
      </c>
      <c r="E597" s="10">
        <f>SUMIFS('Amex Transactions'!$G:$G,'Amex Transactions'!$C:$C,A597,'Amex Transactions'!$G:$G,"&gt;0")</f>
        <v/>
      </c>
      <c r="F597" s="11" t="n">
        <v>45870</v>
      </c>
      <c r="G597" s="10">
        <f>IF(COUNTIFS('Amex Transactions'!$C:$C,A597,'Amex Transactions'!$I:$I,"Check")&gt;0,"Check","")</f>
        <v/>
      </c>
    </row>
    <row r="598">
      <c r="A598" s="10" t="inlineStr">
        <is>
          <t>AMAZON PRIME*N60L36LH1 AMZN.COM/BILL</t>
        </is>
      </c>
      <c r="B598" s="10">
        <f>IFERROR(INDEX('Review Items'!$D:$D,MATCH(A598,'Review Items'!$B:$B,0)),IFERROR(INDEX('Rule Updates'!$B:$B,MATCH(A598,'Rule Updates'!$A:$A,0)),"Uncategorised"))</f>
        <v/>
      </c>
      <c r="C598" s="10">
        <f>IFERROR(INDEX('Review Items'!$E:$E,MATCH(A598,'Review Items'!$B:$B,0)),IFERROR(INDEX('Rule Updates'!$C:$C,MATCH(A598,'Rule Updates'!$A:$A,0)),"Review"))</f>
        <v/>
      </c>
      <c r="D598" s="10">
        <f>COUNTIF('Amex Transactions'!$C:$C,A598)</f>
        <v/>
      </c>
      <c r="E598" s="10">
        <f>SUMIFS('Amex Transactions'!$G:$G,'Amex Transactions'!$C:$C,A598,'Amex Transactions'!$G:$G,"&gt;0")</f>
        <v/>
      </c>
      <c r="F598" s="11" t="n">
        <v>45809</v>
      </c>
      <c r="G598" s="10">
        <f>IF(COUNTIFS('Amex Transactions'!$C:$C,A598,'Amex Transactions'!$I:$I,"Check")&gt;0,"Check","")</f>
        <v/>
      </c>
    </row>
    <row r="599">
      <c r="A599" s="10" t="inlineStr">
        <is>
          <t>AMAZON PRIME*RK2502SU0 AMZN.COM/BILL</t>
        </is>
      </c>
      <c r="B599" s="10">
        <f>IFERROR(INDEX('Review Items'!$D:$D,MATCH(A599,'Review Items'!$B:$B,0)),IFERROR(INDEX('Rule Updates'!$B:$B,MATCH(A599,'Rule Updates'!$A:$A,0)),"Uncategorised"))</f>
        <v/>
      </c>
      <c r="C599" s="10">
        <f>IFERROR(INDEX('Review Items'!$E:$E,MATCH(A599,'Review Items'!$B:$B,0)),IFERROR(INDEX('Rule Updates'!$C:$C,MATCH(A599,'Rule Updates'!$A:$A,0)),"Review"))</f>
        <v/>
      </c>
      <c r="D599" s="10">
        <f>COUNTIF('Amex Transactions'!$C:$C,A599)</f>
        <v/>
      </c>
      <c r="E599" s="10">
        <f>SUMIFS('Amex Transactions'!$G:$G,'Amex Transactions'!$C:$C,A599,'Amex Transactions'!$G:$G,"&gt;0")</f>
        <v/>
      </c>
      <c r="F599" s="11" t="n">
        <v>45536</v>
      </c>
      <c r="G599" s="10">
        <f>IF(COUNTIFS('Amex Transactions'!$C:$C,A599,'Amex Transactions'!$I:$I,"Check")&gt;0,"Check","")</f>
        <v/>
      </c>
    </row>
    <row r="600">
      <c r="A600" s="10" t="inlineStr">
        <is>
          <t>AMA ZON PRIME * H 90 I 59 S B 3 AMZ N.COM/ BILL</t>
        </is>
      </c>
      <c r="B600" s="10">
        <f>IFERROR(INDEX('Review Items'!$D:$D,MATCH(A600,'Review Items'!$B:$B,0)),IFERROR(INDEX('Rule Updates'!$B:$B,MATCH(A600,'Rule Updates'!$A:$A,0)),"Uncategorised"))</f>
        <v/>
      </c>
      <c r="C600" s="10">
        <f>IFERROR(INDEX('Review Items'!$E:$E,MATCH(A600,'Review Items'!$B:$B,0)),IFERROR(INDEX('Rule Updates'!$C:$C,MATCH(A600,'Rule Updates'!$A:$A,0)),"Review"))</f>
        <v/>
      </c>
      <c r="D600" s="10">
        <f>COUNTIF('Amex Transactions'!$C:$C,A600)</f>
        <v/>
      </c>
      <c r="E600" s="10">
        <f>SUMIFS('Amex Transactions'!$G:$G,'Amex Transactions'!$C:$C,A600,'Amex Transactions'!$G:$G,"&gt;0")</f>
        <v/>
      </c>
      <c r="F600" s="11" t="n">
        <v>45901</v>
      </c>
      <c r="G600" s="10">
        <f>IF(COUNTIFS('Amex Transactions'!$C:$C,A600,'Amex Transactions'!$I:$I,"Check")&gt;0,"Check","")</f>
        <v/>
      </c>
    </row>
    <row r="601">
      <c r="A601" s="10" t="inlineStr">
        <is>
          <t>OMAKASE SHIBUYAKU</t>
        </is>
      </c>
      <c r="B601" s="10">
        <f>IFERROR(INDEX('Review Items'!$D:$D,MATCH(A601,'Review Items'!$B:$B,0)),IFERROR(INDEX('Rule Updates'!$B:$B,MATCH(A601,'Rule Updates'!$A:$A,0)),"Uncategorised"))</f>
        <v/>
      </c>
      <c r="C601" s="10">
        <f>IFERROR(INDEX('Review Items'!$E:$E,MATCH(A601,'Review Items'!$B:$B,0)),IFERROR(INDEX('Rule Updates'!$C:$C,MATCH(A601,'Rule Updates'!$A:$A,0)),"Review"))</f>
        <v/>
      </c>
      <c r="D601" s="10">
        <f>COUNTIF('Amex Transactions'!$C:$C,A601)</f>
        <v/>
      </c>
      <c r="E601" s="10">
        <f>SUMIFS('Amex Transactions'!$G:$G,'Amex Transactions'!$C:$C,A601,'Amex Transactions'!$G:$G,"&gt;0")</f>
        <v/>
      </c>
      <c r="F601" s="11" t="n">
        <v>46080</v>
      </c>
      <c r="G601" s="10">
        <f>IF(COUNTIFS('Amex Transactions'!$C:$C,A601,'Amex Transactions'!$I:$I,"Check")&gt;0,"Check","")</f>
        <v/>
      </c>
    </row>
    <row r="602">
      <c r="A602" s="10" t="inlineStr">
        <is>
          <t>DAMGILJ E J U-DO</t>
        </is>
      </c>
      <c r="B602" s="10">
        <f>IFERROR(INDEX('Review Items'!$D:$D,MATCH(A602,'Review Items'!$B:$B,0)),IFERROR(INDEX('Rule Updates'!$B:$B,MATCH(A602,'Rule Updates'!$A:$A,0)),"Uncategorised"))</f>
        <v/>
      </c>
      <c r="C602" s="10">
        <f>IFERROR(INDEX('Review Items'!$E:$E,MATCH(A602,'Review Items'!$B:$B,0)),IFERROR(INDEX('Rule Updates'!$C:$C,MATCH(A602,'Rule Updates'!$A:$A,0)),"Review"))</f>
        <v/>
      </c>
      <c r="D602" s="10">
        <f>COUNTIF('Amex Transactions'!$C:$C,A602)</f>
        <v/>
      </c>
      <c r="E602" s="10">
        <f>SUMIFS('Amex Transactions'!$G:$G,'Amex Transactions'!$C:$C,A602,'Amex Transactions'!$G:$G,"&gt;0")</f>
        <v/>
      </c>
      <c r="F602" s="11" t="n">
        <v>45972</v>
      </c>
      <c r="G602" s="10">
        <f>IF(COUNTIFS('Amex Transactions'!$C:$C,A602,'Amex Transactions'!$I:$I,"Check")&gt;0,"Check","")</f>
        <v/>
      </c>
    </row>
    <row r="603">
      <c r="A603" s="10" t="inlineStr">
        <is>
          <t>AMAZON PRIME*ZL3XU33Q2 AMZN.COM/BILL</t>
        </is>
      </c>
      <c r="B603" s="10">
        <f>IFERROR(INDEX('Review Items'!$D:$D,MATCH(A603,'Review Items'!$B:$B,0)),IFERROR(INDEX('Rule Updates'!$B:$B,MATCH(A603,'Rule Updates'!$A:$A,0)),"Uncategorised"))</f>
        <v/>
      </c>
      <c r="C603" s="10">
        <f>IFERROR(INDEX('Review Items'!$E:$E,MATCH(A603,'Review Items'!$B:$B,0)),IFERROR(INDEX('Rule Updates'!$C:$C,MATCH(A603,'Rule Updates'!$A:$A,0)),"Review"))</f>
        <v/>
      </c>
      <c r="D603" s="10">
        <f>COUNTIF('Amex Transactions'!$C:$C,A603)</f>
        <v/>
      </c>
      <c r="E603" s="10">
        <f>SUMIFS('Amex Transactions'!$G:$G,'Amex Transactions'!$C:$C,A603,'Amex Transactions'!$G:$G,"&gt;0")</f>
        <v/>
      </c>
      <c r="F603" s="11" t="n">
        <v>45627</v>
      </c>
      <c r="G603" s="10">
        <f>IF(COUNTIFS('Amex Transactions'!$C:$C,A603,'Amex Transactions'!$I:$I,"Check")&gt;0,"Check","")</f>
        <v/>
      </c>
    </row>
    <row r="604">
      <c r="A604" s="10" t="inlineStr">
        <is>
          <t>AMAZON PRIME*T000B3AE3 AMZN.COM/BILL</t>
        </is>
      </c>
      <c r="B604" s="10">
        <f>IFERROR(INDEX('Review Items'!$D:$D,MATCH(A604,'Review Items'!$B:$B,0)),IFERROR(INDEX('Rule Updates'!$B:$B,MATCH(A604,'Rule Updates'!$A:$A,0)),"Uncategorised"))</f>
        <v/>
      </c>
      <c r="C604" s="10">
        <f>IFERROR(INDEX('Review Items'!$E:$E,MATCH(A604,'Review Items'!$B:$B,0)),IFERROR(INDEX('Rule Updates'!$C:$C,MATCH(A604,'Rule Updates'!$A:$A,0)),"Review"))</f>
        <v/>
      </c>
      <c r="D604" s="10">
        <f>COUNTIF('Amex Transactions'!$C:$C,A604)</f>
        <v/>
      </c>
      <c r="E604" s="10">
        <f>SUMIFS('Amex Transactions'!$G:$G,'Amex Transactions'!$C:$C,A604,'Amex Transactions'!$G:$G,"&gt;0")</f>
        <v/>
      </c>
      <c r="F604" s="11" t="n">
        <v>45748</v>
      </c>
      <c r="G604" s="10">
        <f>IF(COUNTIFS('Amex Transactions'!$C:$C,A604,'Amex Transactions'!$I:$I,"Check")&gt;0,"Check","")</f>
        <v/>
      </c>
    </row>
    <row r="605">
      <c r="A605" s="10" t="inlineStr">
        <is>
          <t>AMAZON PRIME*0F9FD4PG3 AMZN.COM/BILL</t>
        </is>
      </c>
      <c r="B605" s="10">
        <f>IFERROR(INDEX('Review Items'!$D:$D,MATCH(A605,'Review Items'!$B:$B,0)),IFERROR(INDEX('Rule Updates'!$B:$B,MATCH(A605,'Rule Updates'!$A:$A,0)),"Uncategorised"))</f>
        <v/>
      </c>
      <c r="C605" s="10">
        <f>IFERROR(INDEX('Review Items'!$E:$E,MATCH(A605,'Review Items'!$B:$B,0)),IFERROR(INDEX('Rule Updates'!$C:$C,MATCH(A605,'Rule Updates'!$A:$A,0)),"Review"))</f>
        <v/>
      </c>
      <c r="D605" s="10">
        <f>COUNTIF('Amex Transactions'!$C:$C,A605)</f>
        <v/>
      </c>
      <c r="E605" s="10">
        <f>SUMIFS('Amex Transactions'!$G:$G,'Amex Transactions'!$C:$C,A605,'Amex Transactions'!$G:$G,"&gt;0")</f>
        <v/>
      </c>
      <c r="F605" s="11" t="n">
        <v>45717</v>
      </c>
      <c r="G605" s="10">
        <f>IF(COUNTIFS('Amex Transactions'!$C:$C,A605,'Amex Transactions'!$I:$I,"Check")&gt;0,"Check","")</f>
        <v/>
      </c>
    </row>
    <row r="606">
      <c r="A606" s="10" t="inlineStr">
        <is>
          <t>AMAZON PRIME*A396O4Q43 AMZN.COM/BILL</t>
        </is>
      </c>
      <c r="B606" s="10">
        <f>IFERROR(INDEX('Review Items'!$D:$D,MATCH(A606,'Review Items'!$B:$B,0)),IFERROR(INDEX('Rule Updates'!$B:$B,MATCH(A606,'Rule Updates'!$A:$A,0)),"Uncategorised"))</f>
        <v/>
      </c>
      <c r="C606" s="10">
        <f>IFERROR(INDEX('Review Items'!$E:$E,MATCH(A606,'Review Items'!$B:$B,0)),IFERROR(INDEX('Rule Updates'!$C:$C,MATCH(A606,'Rule Updates'!$A:$A,0)),"Review"))</f>
        <v/>
      </c>
      <c r="D606" s="10">
        <f>COUNTIF('Amex Transactions'!$C:$C,A606)</f>
        <v/>
      </c>
      <c r="E606" s="10">
        <f>SUMIFS('Amex Transactions'!$G:$G,'Amex Transactions'!$C:$C,A606,'Amex Transactions'!$G:$G,"&gt;0")</f>
        <v/>
      </c>
      <c r="F606" s="11" t="n">
        <v>45566</v>
      </c>
      <c r="G606" s="10">
        <f>IF(COUNTIFS('Amex Transactions'!$C:$C,A606,'Amex Transactions'!$I:$I,"Check")&gt;0,"Check","")</f>
        <v/>
      </c>
    </row>
    <row r="607">
      <c r="A607" s="10" t="inlineStr">
        <is>
          <t>AMAZON PRIME*ZE5M342X1 AMZN.COM/BILL</t>
        </is>
      </c>
      <c r="B607" s="10">
        <f>IFERROR(INDEX('Review Items'!$D:$D,MATCH(A607,'Review Items'!$B:$B,0)),IFERROR(INDEX('Rule Updates'!$B:$B,MATCH(A607,'Rule Updates'!$A:$A,0)),"Uncategorised"))</f>
        <v/>
      </c>
      <c r="C607" s="10">
        <f>IFERROR(INDEX('Review Items'!$E:$E,MATCH(A607,'Review Items'!$B:$B,0)),IFERROR(INDEX('Rule Updates'!$C:$C,MATCH(A607,'Rule Updates'!$A:$A,0)),"Review"))</f>
        <v/>
      </c>
      <c r="D607" s="10">
        <f>COUNTIF('Amex Transactions'!$C:$C,A607)</f>
        <v/>
      </c>
      <c r="E607" s="10">
        <f>SUMIFS('Amex Transactions'!$G:$G,'Amex Transactions'!$C:$C,A607,'Amex Transactions'!$G:$G,"&gt;0")</f>
        <v/>
      </c>
      <c r="F607" s="11" t="n">
        <v>45658</v>
      </c>
      <c r="G607" s="10">
        <f>IF(COUNTIFS('Amex Transactions'!$C:$C,A607,'Amex Transactions'!$I:$I,"Check")&gt;0,"Check","")</f>
        <v/>
      </c>
    </row>
    <row r="608">
      <c r="A608" s="10" t="inlineStr">
        <is>
          <t>AMAZON PRIME*N264D57N0 AMZN.COM/BILL</t>
        </is>
      </c>
      <c r="B608" s="10">
        <f>IFERROR(INDEX('Review Items'!$D:$D,MATCH(A608,'Review Items'!$B:$B,0)),IFERROR(INDEX('Rule Updates'!$B:$B,MATCH(A608,'Rule Updates'!$A:$A,0)),"Uncategorised"))</f>
        <v/>
      </c>
      <c r="C608" s="10">
        <f>IFERROR(INDEX('Review Items'!$E:$E,MATCH(A608,'Review Items'!$B:$B,0)),IFERROR(INDEX('Rule Updates'!$C:$C,MATCH(A608,'Rule Updates'!$A:$A,0)),"Review"))</f>
        <v/>
      </c>
      <c r="D608" s="10">
        <f>COUNTIF('Amex Transactions'!$C:$C,A608)</f>
        <v/>
      </c>
      <c r="E608" s="10">
        <f>SUMIFS('Amex Transactions'!$G:$G,'Amex Transactions'!$C:$C,A608,'Amex Transactions'!$G:$G,"&gt;0")</f>
        <v/>
      </c>
      <c r="F608" s="11" t="n">
        <v>45778</v>
      </c>
      <c r="G608" s="10">
        <f>IF(COUNTIFS('Amex Transactions'!$C:$C,A608,'Amex Transactions'!$I:$I,"Check")&gt;0,"Check","")</f>
        <v/>
      </c>
    </row>
    <row r="609">
      <c r="A609" s="10" t="inlineStr">
        <is>
          <t>RUSUTSU RESORT HOKKAIDO</t>
        </is>
      </c>
      <c r="B609" s="10">
        <f>IFERROR(INDEX('Review Items'!$D:$D,MATCH(A609,'Review Items'!$B:$B,0)),IFERROR(INDEX('Rule Updates'!$B:$B,MATCH(A609,'Rule Updates'!$A:$A,0)),"Uncategorised"))</f>
        <v/>
      </c>
      <c r="C609" s="10">
        <f>IFERROR(INDEX('Review Items'!$E:$E,MATCH(A609,'Review Items'!$B:$B,0)),IFERROR(INDEX('Rule Updates'!$C:$C,MATCH(A609,'Rule Updates'!$A:$A,0)),"Review"))</f>
        <v/>
      </c>
      <c r="D609" s="10">
        <f>COUNTIF('Amex Transactions'!$C:$C,A609)</f>
        <v/>
      </c>
      <c r="E609" s="10">
        <f>SUMIFS('Amex Transactions'!$G:$G,'Amex Transactions'!$C:$C,A609,'Amex Transactions'!$G:$G,"&gt;0")</f>
        <v/>
      </c>
      <c r="F609" s="11" t="n">
        <v>46085</v>
      </c>
      <c r="G609" s="10">
        <f>IF(COUNTIFS('Amex Transactions'!$C:$C,A609,'Amex Transactions'!$I:$I,"Check")&gt;0,"Check","")</f>
        <v/>
      </c>
    </row>
    <row r="610">
      <c r="A610" s="10" t="inlineStr">
        <is>
          <t>Rikka Spa meng tian jun j</t>
        </is>
      </c>
      <c r="B610" s="10">
        <f>IFERROR(INDEX('Review Items'!$D:$D,MATCH(A610,'Review Items'!$B:$B,0)),IFERROR(INDEX('Rule Updates'!$B:$B,MATCH(A610,'Rule Updates'!$A:$A,0)),"Uncategorised"))</f>
        <v/>
      </c>
      <c r="C610" s="10">
        <f>IFERROR(INDEX('Review Items'!$E:$E,MATCH(A610,'Review Items'!$B:$B,0)),IFERROR(INDEX('Rule Updates'!$C:$C,MATCH(A610,'Rule Updates'!$A:$A,0)),"Review"))</f>
        <v/>
      </c>
      <c r="D610" s="10">
        <f>COUNTIF('Amex Transactions'!$C:$C,A610)</f>
        <v/>
      </c>
      <c r="E610" s="10">
        <f>SUMIFS('Amex Transactions'!$G:$G,'Amex Transactions'!$C:$C,A610,'Amex Transactions'!$G:$G,"&gt;0")</f>
        <v/>
      </c>
      <c r="F610" s="11" t="n">
        <v>45728</v>
      </c>
      <c r="G610" s="10">
        <f>IF(COUNTIFS('Amex Transactions'!$C:$C,A610,'Amex Transactions'!$I:$I,"Check")&gt;0,"Check","")</f>
        <v/>
      </c>
    </row>
    <row r="611">
      <c r="A611" s="10" t="inlineStr">
        <is>
          <t>LS LUNE CROISSANTERIE ROSEBERY</t>
        </is>
      </c>
      <c r="B611" s="10">
        <f>IFERROR(INDEX('Review Items'!$D:$D,MATCH(A611,'Review Items'!$B:$B,0)),IFERROR(INDEX('Rule Updates'!$B:$B,MATCH(A611,'Rule Updates'!$A:$A,0)),"Uncategorised"))</f>
        <v/>
      </c>
      <c r="C611" s="10">
        <f>IFERROR(INDEX('Review Items'!$E:$E,MATCH(A611,'Review Items'!$B:$B,0)),IFERROR(INDEX('Rule Updates'!$C:$C,MATCH(A611,'Rule Updates'!$A:$A,0)),"Review"))</f>
        <v/>
      </c>
      <c r="D611" s="10">
        <f>COUNTIF('Amex Transactions'!$C:$C,A611)</f>
        <v/>
      </c>
      <c r="E611" s="10">
        <f>SUMIFS('Amex Transactions'!$G:$G,'Amex Transactions'!$C:$C,A611,'Amex Transactions'!$G:$G,"&gt;0")</f>
        <v/>
      </c>
      <c r="F611" s="11" t="n">
        <v>45664</v>
      </c>
      <c r="G611" s="10">
        <f>IF(COUNTIFS('Amex Transactions'!$C:$C,A611,'Amex Transactions'!$I:$I,"Check")&gt;0,"Check","")</f>
        <v/>
      </c>
    </row>
    <row r="612">
      <c r="A612" s="10" t="inlineStr">
        <is>
          <t>AUSTRALIANETA NORTH SYDNEY</t>
        </is>
      </c>
      <c r="B612" s="10">
        <f>IFERROR(INDEX('Review Items'!$D:$D,MATCH(A612,'Review Items'!$B:$B,0)),IFERROR(INDEX('Rule Updates'!$B:$B,MATCH(A612,'Rule Updates'!$A:$A,0)),"Uncategorised"))</f>
        <v/>
      </c>
      <c r="C612" s="10">
        <f>IFERROR(INDEX('Review Items'!$E:$E,MATCH(A612,'Review Items'!$B:$B,0)),IFERROR(INDEX('Rule Updates'!$C:$C,MATCH(A612,'Rule Updates'!$A:$A,0)),"Review"))</f>
        <v/>
      </c>
      <c r="D612" s="10">
        <f>COUNTIF('Amex Transactions'!$C:$C,A612)</f>
        <v/>
      </c>
      <c r="E612" s="10">
        <f>SUMIFS('Amex Transactions'!$G:$G,'Amex Transactions'!$C:$C,A612,'Amex Transactions'!$G:$G,"&gt;0")</f>
        <v/>
      </c>
      <c r="F612" s="11" t="n">
        <v>46003</v>
      </c>
      <c r="G612" s="10">
        <f>IF(COUNTIFS('Amex Transactions'!$C:$C,A612,'Amex Transactions'!$I:$I,"Check")&gt;0,"Check","")</f>
        <v/>
      </c>
    </row>
    <row r="613">
      <c r="A613" s="10" t="inlineStr">
        <is>
          <t>QUEEN STREET PHAR MACY WOOLLAHRA</t>
        </is>
      </c>
      <c r="B613" s="10">
        <f>IFERROR(INDEX('Review Items'!$D:$D,MATCH(A613,'Review Items'!$B:$B,0)),IFERROR(INDEX('Rule Updates'!$B:$B,MATCH(A613,'Rule Updates'!$A:$A,0)),"Uncategorised"))</f>
        <v/>
      </c>
      <c r="C613" s="10">
        <f>IFERROR(INDEX('Review Items'!$E:$E,MATCH(A613,'Review Items'!$B:$B,0)),IFERROR(INDEX('Rule Updates'!$C:$C,MATCH(A613,'Rule Updates'!$A:$A,0)),"Review"))</f>
        <v/>
      </c>
      <c r="D613" s="10">
        <f>COUNTIF('Amex Transactions'!$C:$C,A613)</f>
        <v/>
      </c>
      <c r="E613" s="10">
        <f>SUMIFS('Amex Transactions'!$G:$G,'Amex Transactions'!$C:$C,A613,'Amex Transactions'!$G:$G,"&gt;0")</f>
        <v/>
      </c>
      <c r="F613" s="11" t="n">
        <v>46014</v>
      </c>
      <c r="G613" s="10">
        <f>IF(COUNTIFS('Amex Transactions'!$C:$C,A613,'Amex Transactions'!$I:$I,"Check")&gt;0,"Check","")</f>
        <v/>
      </c>
    </row>
    <row r="614">
      <c r="A614" s="10" t="inlineStr">
        <is>
          <t>AMA ZON.CO.UK 353 - 12477661</t>
        </is>
      </c>
      <c r="B614" s="10">
        <f>IFERROR(INDEX('Review Items'!$D:$D,MATCH(A614,'Review Items'!$B:$B,0)),IFERROR(INDEX('Rule Updates'!$B:$B,MATCH(A614,'Rule Updates'!$A:$A,0)),"Uncategorised"))</f>
        <v/>
      </c>
      <c r="C614" s="10">
        <f>IFERROR(INDEX('Review Items'!$E:$E,MATCH(A614,'Review Items'!$B:$B,0)),IFERROR(INDEX('Rule Updates'!$C:$C,MATCH(A614,'Rule Updates'!$A:$A,0)),"Review"))</f>
        <v/>
      </c>
      <c r="D614" s="10">
        <f>COUNTIF('Amex Transactions'!$C:$C,A614)</f>
        <v/>
      </c>
      <c r="E614" s="10">
        <f>SUMIFS('Amex Transactions'!$G:$G,'Amex Transactions'!$C:$C,A614,'Amex Transactions'!$G:$G,"&gt;0")</f>
        <v/>
      </c>
      <c r="F614" s="11" t="n">
        <v>45906</v>
      </c>
      <c r="G614" s="10">
        <f>IF(COUNTIFS('Amex Transactions'!$C:$C,A614,'Amex Transactions'!$I:$I,"Check")&gt;0,"Check","")</f>
        <v/>
      </c>
    </row>
    <row r="615">
      <c r="A615" s="10" t="inlineStr">
        <is>
          <t>UKVI UKVI LONDON</t>
        </is>
      </c>
      <c r="B615" s="10">
        <f>IFERROR(INDEX('Review Items'!$D:$D,MATCH(A615,'Review Items'!$B:$B,0)),IFERROR(INDEX('Rule Updates'!$B:$B,MATCH(A615,'Rule Updates'!$A:$A,0)),"Uncategorised"))</f>
        <v/>
      </c>
      <c r="C615" s="10">
        <f>IFERROR(INDEX('Review Items'!$E:$E,MATCH(A615,'Review Items'!$B:$B,0)),IFERROR(INDEX('Rule Updates'!$C:$C,MATCH(A615,'Rule Updates'!$A:$A,0)),"Review"))</f>
        <v/>
      </c>
      <c r="D615" s="10">
        <f>COUNTIF('Amex Transactions'!$C:$C,A615)</f>
        <v/>
      </c>
      <c r="E615" s="10">
        <f>SUMIFS('Amex Transactions'!$G:$G,'Amex Transactions'!$C:$C,A615,'Amex Transactions'!$G:$G,"&gt;0")</f>
        <v/>
      </c>
      <c r="F615" s="11" t="n">
        <v>45723</v>
      </c>
      <c r="G615" s="10">
        <f>IF(COUNTIFS('Amex Transactions'!$C:$C,A615,'Amex Transactions'!$I:$I,"Check")&gt;0,"Check","")</f>
        <v/>
      </c>
    </row>
    <row r="616">
      <c r="A616" s="10" t="inlineStr">
        <is>
          <t>HAI NA TRADING LIMITED BATH</t>
        </is>
      </c>
      <c r="B616" s="10">
        <f>IFERROR(INDEX('Review Items'!$D:$D,MATCH(A616,'Review Items'!$B:$B,0)),IFERROR(INDEX('Rule Updates'!$B:$B,MATCH(A616,'Rule Updates'!$A:$A,0)),"Uncategorised"))</f>
        <v/>
      </c>
      <c r="C616" s="10">
        <f>IFERROR(INDEX('Review Items'!$E:$E,MATCH(A616,'Review Items'!$B:$B,0)),IFERROR(INDEX('Rule Updates'!$C:$C,MATCH(A616,'Rule Updates'!$A:$A,0)),"Review"))</f>
        <v/>
      </c>
      <c r="D616" s="10">
        <f>COUNTIF('Amex Transactions'!$C:$C,A616)</f>
        <v/>
      </c>
      <c r="E616" s="10">
        <f>SUMIFS('Amex Transactions'!$G:$G,'Amex Transactions'!$C:$C,A616,'Amex Transactions'!$G:$G,"&gt;0")</f>
        <v/>
      </c>
      <c r="F616" s="11" t="n">
        <v>45755</v>
      </c>
      <c r="G616" s="10">
        <f>IF(COUNTIFS('Amex Transactions'!$C:$C,A616,'Amex Transactions'!$I:$I,"Check")&gt;0,"Check","")</f>
        <v/>
      </c>
    </row>
    <row r="617">
      <c r="A617" s="10" t="inlineStr">
        <is>
          <t>AMAZON PRIME*DU8OG7U15 AMZN.CO.UK/PM</t>
        </is>
      </c>
      <c r="B617" s="10">
        <f>IFERROR(INDEX('Review Items'!$D:$D,MATCH(A617,'Review Items'!$B:$B,0)),IFERROR(INDEX('Rule Updates'!$B:$B,MATCH(A617,'Rule Updates'!$A:$A,0)),"Uncategorised"))</f>
        <v/>
      </c>
      <c r="C617" s="10">
        <f>IFERROR(INDEX('Review Items'!$E:$E,MATCH(A617,'Review Items'!$B:$B,0)),IFERROR(INDEX('Rule Updates'!$C:$C,MATCH(A617,'Rule Updates'!$A:$A,0)),"Review"))</f>
        <v/>
      </c>
      <c r="D617" s="10">
        <f>COUNTIF('Amex Transactions'!$C:$C,A617)</f>
        <v/>
      </c>
      <c r="E617" s="10">
        <f>SUMIFS('Amex Transactions'!$G:$G,'Amex Transactions'!$C:$C,A617,'Amex Transactions'!$G:$G,"&gt;0")</f>
        <v/>
      </c>
      <c r="F617" s="11" t="n">
        <v>45841</v>
      </c>
      <c r="G617" s="10">
        <f>IF(COUNTIFS('Amex Transactions'!$C:$C,A617,'Amex Transactions'!$I:$I,"Check")&gt;0,"Check","")</f>
        <v/>
      </c>
    </row>
    <row r="618">
      <c r="A618" s="10" t="inlineStr">
        <is>
          <t>AMA ZON PRIME* Z F 8 D6 1 B 84 AMZ N.CO.UK/PM</t>
        </is>
      </c>
      <c r="B618" s="10">
        <f>IFERROR(INDEX('Review Items'!$D:$D,MATCH(A618,'Review Items'!$B:$B,0)),IFERROR(INDEX('Rule Updates'!$B:$B,MATCH(A618,'Rule Updates'!$A:$A,0)),"Uncategorised"))</f>
        <v/>
      </c>
      <c r="C618" s="10">
        <f>IFERROR(INDEX('Review Items'!$E:$E,MATCH(A618,'Review Items'!$B:$B,0)),IFERROR(INDEX('Rule Updates'!$C:$C,MATCH(A618,'Rule Updates'!$A:$A,0)),"Review"))</f>
        <v/>
      </c>
      <c r="D618" s="10">
        <f>COUNTIF('Amex Transactions'!$C:$C,A618)</f>
        <v/>
      </c>
      <c r="E618" s="10">
        <f>SUMIFS('Amex Transactions'!$G:$G,'Amex Transactions'!$C:$C,A618,'Amex Transactions'!$G:$G,"&gt;0")</f>
        <v/>
      </c>
      <c r="F618" s="11" t="n">
        <v>46063</v>
      </c>
      <c r="G618" s="10">
        <f>IF(COUNTIFS('Amex Transactions'!$C:$C,A618,'Amex Transactions'!$I:$I,"Check")&gt;0,"Check","")</f>
        <v/>
      </c>
    </row>
    <row r="619">
      <c r="A619" s="10" t="inlineStr">
        <is>
          <t>AMAZON PRIME*R769S8CR4 AMZN.CO.UK/PM</t>
        </is>
      </c>
      <c r="B619" s="10">
        <f>IFERROR(INDEX('Review Items'!$D:$D,MATCH(A619,'Review Items'!$B:$B,0)),IFERROR(INDEX('Rule Updates'!$B:$B,MATCH(A619,'Rule Updates'!$A:$A,0)),"Uncategorised"))</f>
        <v/>
      </c>
      <c r="C619" s="10">
        <f>IFERROR(INDEX('Review Items'!$E:$E,MATCH(A619,'Review Items'!$B:$B,0)),IFERROR(INDEX('Rule Updates'!$C:$C,MATCH(A619,'Rule Updates'!$A:$A,0)),"Review"))</f>
        <v/>
      </c>
      <c r="D619" s="10">
        <f>COUNTIF('Amex Transactions'!$C:$C,A619)</f>
        <v/>
      </c>
      <c r="E619" s="10">
        <f>SUMIFS('Amex Transactions'!$G:$G,'Amex Transactions'!$C:$C,A619,'Amex Transactions'!$G:$G,"&gt;0")</f>
        <v/>
      </c>
      <c r="F619" s="11" t="n">
        <v>45848</v>
      </c>
      <c r="G619" s="10">
        <f>IF(COUNTIFS('Amex Transactions'!$C:$C,A619,'Amex Transactions'!$I:$I,"Check")&gt;0,"Check","")</f>
        <v/>
      </c>
    </row>
    <row r="620">
      <c r="A620" s="10" t="inlineStr">
        <is>
          <t>AMAZON PRIME*CT7099AT5 AMZN.CO.UK/PM</t>
        </is>
      </c>
      <c r="B620" s="10">
        <f>IFERROR(INDEX('Review Items'!$D:$D,MATCH(A620,'Review Items'!$B:$B,0)),IFERROR(INDEX('Rule Updates'!$B:$B,MATCH(A620,'Rule Updates'!$A:$A,0)),"Uncategorised"))</f>
        <v/>
      </c>
      <c r="C620" s="10">
        <f>IFERROR(INDEX('Review Items'!$E:$E,MATCH(A620,'Review Items'!$B:$B,0)),IFERROR(INDEX('Rule Updates'!$C:$C,MATCH(A620,'Rule Updates'!$A:$A,0)),"Review"))</f>
        <v/>
      </c>
      <c r="D620" s="10">
        <f>COUNTIF('Amex Transactions'!$C:$C,A620)</f>
        <v/>
      </c>
      <c r="E620" s="10">
        <f>SUMIFS('Amex Transactions'!$G:$G,'Amex Transactions'!$C:$C,A620,'Amex Transactions'!$G:$G,"&gt;0")</f>
        <v/>
      </c>
      <c r="F620" s="11" t="n">
        <v>45818</v>
      </c>
      <c r="G620" s="10">
        <f>IF(COUNTIFS('Amex Transactions'!$C:$C,A620,'Amex Transactions'!$I:$I,"Check")&gt;0,"Check","")</f>
        <v/>
      </c>
    </row>
    <row r="621">
      <c r="A621" s="10" t="inlineStr">
        <is>
          <t>MIYAGEDOKOROYATAIREN SAITAMA</t>
        </is>
      </c>
      <c r="B621" s="10">
        <f>IFERROR(INDEX('Review Items'!$D:$D,MATCH(A621,'Review Items'!$B:$B,0)),IFERROR(INDEX('Rule Updates'!$B:$B,MATCH(A621,'Rule Updates'!$A:$A,0)),"Uncategorised"))</f>
        <v/>
      </c>
      <c r="C621" s="10">
        <f>IFERROR(INDEX('Review Items'!$E:$E,MATCH(A621,'Review Items'!$B:$B,0)),IFERROR(INDEX('Rule Updates'!$C:$C,MATCH(A621,'Rule Updates'!$A:$A,0)),"Review"))</f>
        <v/>
      </c>
      <c r="D621" s="10">
        <f>COUNTIF('Amex Transactions'!$C:$C,A621)</f>
        <v/>
      </c>
      <c r="E621" s="10">
        <f>SUMIFS('Amex Transactions'!$G:$G,'Amex Transactions'!$C:$C,A621,'Amex Transactions'!$G:$G,"&gt;0")</f>
        <v/>
      </c>
      <c r="F621" s="11" t="n">
        <v>45982</v>
      </c>
      <c r="G621" s="10">
        <f>IF(COUNTIFS('Amex Transactions'!$C:$C,A621,'Amex Transactions'!$I:$I,"Check")&gt;0,"Check","")</f>
        <v/>
      </c>
    </row>
    <row r="622">
      <c r="A622" s="10" t="inlineStr">
        <is>
          <t>AMAZON PRIME*ZM62Y7I15 AMZN.CO.UK/PM</t>
        </is>
      </c>
      <c r="B622" s="10">
        <f>IFERROR(INDEX('Review Items'!$D:$D,MATCH(A622,'Review Items'!$B:$B,0)),IFERROR(INDEX('Rule Updates'!$B:$B,MATCH(A622,'Rule Updates'!$A:$A,0)),"Uncategorised"))</f>
        <v/>
      </c>
      <c r="C622" s="10">
        <f>IFERROR(INDEX('Review Items'!$E:$E,MATCH(A622,'Review Items'!$B:$B,0)),IFERROR(INDEX('Rule Updates'!$C:$C,MATCH(A622,'Rule Updates'!$A:$A,0)),"Review"))</f>
        <v/>
      </c>
      <c r="D622" s="10">
        <f>COUNTIF('Amex Transactions'!$C:$C,A622)</f>
        <v/>
      </c>
      <c r="E622" s="10">
        <f>SUMIFS('Amex Transactions'!$G:$G,'Amex Transactions'!$C:$C,A622,'Amex Transactions'!$G:$G,"&gt;0")</f>
        <v/>
      </c>
      <c r="F622" s="11" t="n">
        <v>45811</v>
      </c>
      <c r="G622" s="10">
        <f>IF(COUNTIFS('Amex Transactions'!$C:$C,A622,'Amex Transactions'!$I:$I,"Check")&gt;0,"Check","")</f>
        <v/>
      </c>
    </row>
    <row r="623">
      <c r="A623" s="10" t="inlineStr">
        <is>
          <t>AMA ZON PRIME *Z 818 D 33 E 4 AMZ N.CO.UK/PM</t>
        </is>
      </c>
      <c r="B623" s="10">
        <f>IFERROR(INDEX('Review Items'!$D:$D,MATCH(A623,'Review Items'!$B:$B,0)),IFERROR(INDEX('Rule Updates'!$B:$B,MATCH(A623,'Rule Updates'!$A:$A,0)),"Uncategorised"))</f>
        <v/>
      </c>
      <c r="C623" s="10">
        <f>IFERROR(INDEX('Review Items'!$E:$E,MATCH(A623,'Review Items'!$B:$B,0)),IFERROR(INDEX('Rule Updates'!$C:$C,MATCH(A623,'Rule Updates'!$A:$A,0)),"Review"))</f>
        <v/>
      </c>
      <c r="D623" s="10">
        <f>COUNTIF('Amex Transactions'!$C:$C,A623)</f>
        <v/>
      </c>
      <c r="E623" s="10">
        <f>SUMIFS('Amex Transactions'!$G:$G,'Amex Transactions'!$C:$C,A623,'Amex Transactions'!$G:$G,"&gt;0")</f>
        <v/>
      </c>
      <c r="F623" s="11" t="n">
        <v>45910</v>
      </c>
      <c r="G623" s="10">
        <f>IF(COUNTIFS('Amex Transactions'!$C:$C,A623,'Amex Transactions'!$I:$I,"Check")&gt;0,"Check","")</f>
        <v/>
      </c>
    </row>
    <row r="624">
      <c r="A624" s="10" t="inlineStr">
        <is>
          <t>AMAZON PRIME*RF8363QU4 AMZN.CO.UK/PM</t>
        </is>
      </c>
      <c r="B624" s="10">
        <f>IFERROR(INDEX('Review Items'!$D:$D,MATCH(A624,'Review Items'!$B:$B,0)),IFERROR(INDEX('Rule Updates'!$B:$B,MATCH(A624,'Rule Updates'!$A:$A,0)),"Uncategorised"))</f>
        <v/>
      </c>
      <c r="C624" s="10">
        <f>IFERROR(INDEX('Review Items'!$E:$E,MATCH(A624,'Review Items'!$B:$B,0)),IFERROR(INDEX('Rule Updates'!$C:$C,MATCH(A624,'Rule Updates'!$A:$A,0)),"Review"))</f>
        <v/>
      </c>
      <c r="D624" s="10">
        <f>COUNTIF('Amex Transactions'!$C:$C,A624)</f>
        <v/>
      </c>
      <c r="E624" s="10">
        <f>SUMIFS('Amex Transactions'!$G:$G,'Amex Transactions'!$C:$C,A624,'Amex Transactions'!$G:$G,"&gt;0")</f>
        <v/>
      </c>
      <c r="F624" s="11" t="n">
        <v>45879</v>
      </c>
      <c r="G624" s="10">
        <f>IF(COUNTIFS('Amex Transactions'!$C:$C,A624,'Amex Transactions'!$I:$I,"Check")&gt;0,"Check","")</f>
        <v/>
      </c>
    </row>
    <row r="625">
      <c r="A625" s="10" t="inlineStr">
        <is>
          <t>AMA ZON PRIME * RK 2 C 78 R J4 AMZ N.CO.UK/PM</t>
        </is>
      </c>
      <c r="B625" s="10">
        <f>IFERROR(INDEX('Review Items'!$D:$D,MATCH(A625,'Review Items'!$B:$B,0)),IFERROR(INDEX('Rule Updates'!$B:$B,MATCH(A625,'Rule Updates'!$A:$A,0)),"Uncategorised"))</f>
        <v/>
      </c>
      <c r="C625" s="10">
        <f>IFERROR(INDEX('Review Items'!$E:$E,MATCH(A625,'Review Items'!$B:$B,0)),IFERROR(INDEX('Rule Updates'!$C:$C,MATCH(A625,'Rule Updates'!$A:$A,0)),"Review"))</f>
        <v/>
      </c>
      <c r="D625" s="10">
        <f>COUNTIF('Amex Transactions'!$C:$C,A625)</f>
        <v/>
      </c>
      <c r="E625" s="10">
        <f>SUMIFS('Amex Transactions'!$G:$G,'Amex Transactions'!$C:$C,A625,'Amex Transactions'!$G:$G,"&gt;0")</f>
        <v/>
      </c>
      <c r="F625" s="11" t="n">
        <v>45903</v>
      </c>
      <c r="G625" s="10">
        <f>IF(COUNTIFS('Amex Transactions'!$C:$C,A625,'Amex Transactions'!$I:$I,"Check")&gt;0,"Check","")</f>
        <v/>
      </c>
    </row>
    <row r="626">
      <c r="A626" s="10" t="inlineStr">
        <is>
          <t>AMA ZON PRIME * 986 EL 4 F O 5 AMZ N.CO.UK/PM</t>
        </is>
      </c>
      <c r="B626" s="10">
        <f>IFERROR(INDEX('Review Items'!$D:$D,MATCH(A626,'Review Items'!$B:$B,0)),IFERROR(INDEX('Rule Updates'!$B:$B,MATCH(A626,'Rule Updates'!$A:$A,0)),"Uncategorised"))</f>
        <v/>
      </c>
      <c r="C626" s="10">
        <f>IFERROR(INDEX('Review Items'!$E:$E,MATCH(A626,'Review Items'!$B:$B,0)),IFERROR(INDEX('Rule Updates'!$C:$C,MATCH(A626,'Rule Updates'!$A:$A,0)),"Review"))</f>
        <v/>
      </c>
      <c r="D626" s="10">
        <f>COUNTIF('Amex Transactions'!$C:$C,A626)</f>
        <v/>
      </c>
      <c r="E626" s="10">
        <f>SUMIFS('Amex Transactions'!$G:$G,'Amex Transactions'!$C:$C,A626,'Amex Transactions'!$G:$G,"&gt;0")</f>
        <v/>
      </c>
      <c r="F626" s="11" t="n">
        <v>46091</v>
      </c>
      <c r="G626" s="10">
        <f>IF(COUNTIFS('Amex Transactions'!$C:$C,A626,'Amex Transactions'!$I:$I,"Check")&gt;0,"Check","")</f>
        <v/>
      </c>
    </row>
    <row r="627">
      <c r="A627" s="10" t="inlineStr">
        <is>
          <t>AMAZON PRIME*RV34P3P74 AMZN.CO.UK/PM</t>
        </is>
      </c>
      <c r="B627" s="10">
        <f>IFERROR(INDEX('Review Items'!$D:$D,MATCH(A627,'Review Items'!$B:$B,0)),IFERROR(INDEX('Rule Updates'!$B:$B,MATCH(A627,'Rule Updates'!$A:$A,0)),"Uncategorised"))</f>
        <v/>
      </c>
      <c r="C627" s="10">
        <f>IFERROR(INDEX('Review Items'!$E:$E,MATCH(A627,'Review Items'!$B:$B,0)),IFERROR(INDEX('Rule Updates'!$C:$C,MATCH(A627,'Rule Updates'!$A:$A,0)),"Review"))</f>
        <v/>
      </c>
      <c r="D627" s="10">
        <f>COUNTIF('Amex Transactions'!$C:$C,A627)</f>
        <v/>
      </c>
      <c r="E627" s="10">
        <f>SUMIFS('Amex Transactions'!$G:$G,'Amex Transactions'!$C:$C,A627,'Amex Transactions'!$G:$G,"&gt;0")</f>
        <v/>
      </c>
      <c r="F627" s="11" t="n">
        <v>45872</v>
      </c>
      <c r="G627" s="10">
        <f>IF(COUNTIFS('Amex Transactions'!$C:$C,A627,'Amex Transactions'!$I:$I,"Check")&gt;0,"Check","")</f>
        <v/>
      </c>
    </row>
    <row r="628">
      <c r="A628" s="10" t="inlineStr">
        <is>
          <t>AMA ZON PRIME * A Q 3 CG 5 IH 5 AMZ N.CO.UK/PM</t>
        </is>
      </c>
      <c r="B628" s="10">
        <f>IFERROR(INDEX('Review Items'!$D:$D,MATCH(A628,'Review Items'!$B:$B,0)),IFERROR(INDEX('Rule Updates'!$B:$B,MATCH(A628,'Rule Updates'!$A:$A,0)),"Uncategorised"))</f>
        <v/>
      </c>
      <c r="C628" s="10">
        <f>IFERROR(INDEX('Review Items'!$E:$E,MATCH(A628,'Review Items'!$B:$B,0)),IFERROR(INDEX('Rule Updates'!$C:$C,MATCH(A628,'Rule Updates'!$A:$A,0)),"Review"))</f>
        <v/>
      </c>
      <c r="D628" s="10">
        <f>COUNTIF('Amex Transactions'!$C:$C,A628)</f>
        <v/>
      </c>
      <c r="E628" s="10">
        <f>SUMIFS('Amex Transactions'!$G:$G,'Amex Transactions'!$C:$C,A628,'Amex Transactions'!$G:$G,"&gt;0")</f>
        <v/>
      </c>
      <c r="F628" s="11" t="n">
        <v>45940</v>
      </c>
      <c r="G628" s="10">
        <f>IF(COUNTIFS('Amex Transactions'!$C:$C,A628,'Amex Transactions'!$I:$I,"Check")&gt;0,"Check","")</f>
        <v/>
      </c>
    </row>
    <row r="629">
      <c r="A629" s="10" t="inlineStr">
        <is>
          <t>A M A ZON PRIM E *Z 91 T 85 HC 4 AMZN.CO.UK/P M</t>
        </is>
      </c>
      <c r="B629" s="10">
        <f>IFERROR(INDEX('Review Items'!$D:$D,MATCH(A629,'Review Items'!$B:$B,0)),IFERROR(INDEX('Rule Updates'!$B:$B,MATCH(A629,'Rule Updates'!$A:$A,0)),"Uncategorised"))</f>
        <v/>
      </c>
      <c r="C629" s="10">
        <f>IFERROR(INDEX('Review Items'!$E:$E,MATCH(A629,'Review Items'!$B:$B,0)),IFERROR(INDEX('Rule Updates'!$C:$C,MATCH(A629,'Rule Updates'!$A:$A,0)),"Review"))</f>
        <v/>
      </c>
      <c r="D629" s="10">
        <f>COUNTIF('Amex Transactions'!$C:$C,A629)</f>
        <v/>
      </c>
      <c r="E629" s="10">
        <f>SUMIFS('Amex Transactions'!$G:$G,'Amex Transactions'!$C:$C,A629,'Amex Transactions'!$G:$G,"&gt;0")</f>
        <v/>
      </c>
      <c r="F629" s="11" t="n">
        <v>46001</v>
      </c>
      <c r="G629" s="10">
        <f>IF(COUNTIFS('Amex Transactions'!$C:$C,A629,'Amex Transactions'!$I:$I,"Check")&gt;0,"Check","")</f>
        <v/>
      </c>
    </row>
    <row r="630">
      <c r="A630" s="10" t="inlineStr">
        <is>
          <t>AMAZON PRIME*5Q56T0PF5 AMZN.CO.UK/PM</t>
        </is>
      </c>
      <c r="B630" s="10">
        <f>IFERROR(INDEX('Review Items'!$D:$D,MATCH(A630,'Review Items'!$B:$B,0)),IFERROR(INDEX('Rule Updates'!$B:$B,MATCH(A630,'Rule Updates'!$A:$A,0)),"Uncategorised"))</f>
        <v/>
      </c>
      <c r="C630" s="10">
        <f>IFERROR(INDEX('Review Items'!$E:$E,MATCH(A630,'Review Items'!$B:$B,0)),IFERROR(INDEX('Rule Updates'!$C:$C,MATCH(A630,'Rule Updates'!$A:$A,0)),"Review"))</f>
        <v/>
      </c>
      <c r="D630" s="10">
        <f>COUNTIF('Amex Transactions'!$C:$C,A630)</f>
        <v/>
      </c>
      <c r="E630" s="10">
        <f>SUMIFS('Amex Transactions'!$G:$G,'Amex Transactions'!$C:$C,A630,'Amex Transactions'!$G:$G,"&gt;0")</f>
        <v/>
      </c>
      <c r="F630" s="11" t="n">
        <v>45787</v>
      </c>
      <c r="G630" s="10">
        <f>IF(COUNTIFS('Amex Transactions'!$C:$C,A630,'Amex Transactions'!$I:$I,"Check")&gt;0,"Check","")</f>
        <v/>
      </c>
    </row>
    <row r="631">
      <c r="A631" s="10" t="inlineStr">
        <is>
          <t>AMAZON PRIME*MK9TT81S5 AMZN.CO.UK/PM</t>
        </is>
      </c>
      <c r="B631" s="10">
        <f>IFERROR(INDEX('Review Items'!$D:$D,MATCH(A631,'Review Items'!$B:$B,0)),IFERROR(INDEX('Rule Updates'!$B:$B,MATCH(A631,'Rule Updates'!$A:$A,0)),"Uncategorised"))</f>
        <v/>
      </c>
      <c r="C631" s="10">
        <f>IFERROR(INDEX('Review Items'!$E:$E,MATCH(A631,'Review Items'!$B:$B,0)),IFERROR(INDEX('Rule Updates'!$C:$C,MATCH(A631,'Rule Updates'!$A:$A,0)),"Review"))</f>
        <v/>
      </c>
      <c r="D631" s="10">
        <f>COUNTIF('Amex Transactions'!$C:$C,A631)</f>
        <v/>
      </c>
      <c r="E631" s="10">
        <f>SUMIFS('Amex Transactions'!$G:$G,'Amex Transactions'!$C:$C,A631,'Amex Transactions'!$G:$G,"&gt;0")</f>
        <v/>
      </c>
      <c r="F631" s="11" t="n">
        <v>45780</v>
      </c>
      <c r="G631" s="10">
        <f>IF(COUNTIFS('Amex Transactions'!$C:$C,A631,'Amex Transactions'!$I:$I,"Check")&gt;0,"Check","")</f>
        <v/>
      </c>
    </row>
    <row r="632">
      <c r="A632" s="10" t="inlineStr">
        <is>
          <t>AMAZON PRIME*TA1M20WO4 AMZN.CO.UK/PM</t>
        </is>
      </c>
      <c r="B632" s="10">
        <f>IFERROR(INDEX('Review Items'!$D:$D,MATCH(A632,'Review Items'!$B:$B,0)),IFERROR(INDEX('Rule Updates'!$B:$B,MATCH(A632,'Rule Updates'!$A:$A,0)),"Uncategorised"))</f>
        <v/>
      </c>
      <c r="C632" s="10">
        <f>IFERROR(INDEX('Review Items'!$E:$E,MATCH(A632,'Review Items'!$B:$B,0)),IFERROR(INDEX('Rule Updates'!$C:$C,MATCH(A632,'Rule Updates'!$A:$A,0)),"Review"))</f>
        <v/>
      </c>
      <c r="D632" s="10">
        <f>COUNTIF('Amex Transactions'!$C:$C,A632)</f>
        <v/>
      </c>
      <c r="E632" s="10">
        <f>SUMIFS('Amex Transactions'!$G:$G,'Amex Transactions'!$C:$C,A632,'Amex Transactions'!$G:$G,"&gt;0")</f>
        <v/>
      </c>
      <c r="F632" s="11" t="n">
        <v>45568</v>
      </c>
      <c r="G632" s="10">
        <f>IF(COUNTIFS('Amex Transactions'!$C:$C,A632,'Amex Transactions'!$I:$I,"Check")&gt;0,"Check","")</f>
        <v/>
      </c>
    </row>
    <row r="633">
      <c r="A633" s="10" t="inlineStr">
        <is>
          <t>AMAZON PRIME*7M54I5JM5 AMZN.CO.UK/PM</t>
        </is>
      </c>
      <c r="B633" s="10">
        <f>IFERROR(INDEX('Review Items'!$D:$D,MATCH(A633,'Review Items'!$B:$B,0)),IFERROR(INDEX('Rule Updates'!$B:$B,MATCH(A633,'Rule Updates'!$A:$A,0)),"Uncategorised"))</f>
        <v/>
      </c>
      <c r="C633" s="10">
        <f>IFERROR(INDEX('Review Items'!$E:$E,MATCH(A633,'Review Items'!$B:$B,0)),IFERROR(INDEX('Rule Updates'!$C:$C,MATCH(A633,'Rule Updates'!$A:$A,0)),"Review"))</f>
        <v/>
      </c>
      <c r="D633" s="10">
        <f>COUNTIF('Amex Transactions'!$C:$C,A633)</f>
        <v/>
      </c>
      <c r="E633" s="10">
        <f>SUMIFS('Amex Transactions'!$G:$G,'Amex Transactions'!$C:$C,A633,'Amex Transactions'!$G:$G,"&gt;0")</f>
        <v/>
      </c>
      <c r="F633" s="11" t="n">
        <v>45538</v>
      </c>
      <c r="G633" s="10">
        <f>IF(COUNTIFS('Amex Transactions'!$C:$C,A633,'Amex Transactions'!$I:$I,"Check")&gt;0,"Check","")</f>
        <v/>
      </c>
    </row>
    <row r="634">
      <c r="A634" s="10" t="inlineStr">
        <is>
          <t>AMA ZON PRIME * 1 O 0 G 12 UG 5 AMZ N.CO.UK/PM</t>
        </is>
      </c>
      <c r="B634" s="10">
        <f>IFERROR(INDEX('Review Items'!$D:$D,MATCH(A634,'Review Items'!$B:$B,0)),IFERROR(INDEX('Rule Updates'!$B:$B,MATCH(A634,'Rule Updates'!$A:$A,0)),"Uncategorised"))</f>
        <v/>
      </c>
      <c r="C634" s="10">
        <f>IFERROR(INDEX('Review Items'!$E:$E,MATCH(A634,'Review Items'!$B:$B,0)),IFERROR(INDEX('Rule Updates'!$C:$C,MATCH(A634,'Rule Updates'!$A:$A,0)),"Review"))</f>
        <v/>
      </c>
      <c r="D634" s="10">
        <f>COUNTIF('Amex Transactions'!$C:$C,A634)</f>
        <v/>
      </c>
      <c r="E634" s="10">
        <f>SUMIFS('Amex Transactions'!$G:$G,'Amex Transactions'!$C:$C,A634,'Amex Transactions'!$G:$G,"&gt;0")</f>
        <v/>
      </c>
      <c r="F634" s="11" t="n">
        <v>45971</v>
      </c>
      <c r="G634" s="10">
        <f>IF(COUNTIFS('Amex Transactions'!$C:$C,A634,'Amex Transactions'!$I:$I,"Check")&gt;0,"Check","")</f>
        <v/>
      </c>
    </row>
    <row r="635">
      <c r="A635" s="10" t="inlineStr">
        <is>
          <t>AMAZON PRIME*BV1JF4LD5 AMZN.CO.UK/PM</t>
        </is>
      </c>
      <c r="B635" s="10">
        <f>IFERROR(INDEX('Review Items'!$D:$D,MATCH(A635,'Review Items'!$B:$B,0)),IFERROR(INDEX('Rule Updates'!$B:$B,MATCH(A635,'Rule Updates'!$A:$A,0)),"Uncategorised"))</f>
        <v/>
      </c>
      <c r="C635" s="10">
        <f>IFERROR(INDEX('Review Items'!$E:$E,MATCH(A635,'Review Items'!$B:$B,0)),IFERROR(INDEX('Rule Updates'!$C:$C,MATCH(A635,'Rule Updates'!$A:$A,0)),"Review"))</f>
        <v/>
      </c>
      <c r="D635" s="10">
        <f>COUNTIF('Amex Transactions'!$C:$C,A635)</f>
        <v/>
      </c>
      <c r="E635" s="10">
        <f>SUMIFS('Amex Transactions'!$G:$G,'Amex Transactions'!$C:$C,A635,'Amex Transactions'!$G:$G,"&gt;0")</f>
        <v/>
      </c>
      <c r="F635" s="11" t="n">
        <v>45545</v>
      </c>
      <c r="G635" s="10">
        <f>IF(COUNTIFS('Amex Transactions'!$C:$C,A635,'Amex Transactions'!$I:$I,"Check")&gt;0,"Check","")</f>
        <v/>
      </c>
    </row>
    <row r="636">
      <c r="A636" s="10" t="inlineStr">
        <is>
          <t>AMAZON PRIME*TQ6OW4JL4 AMZN.CO.UK/PM</t>
        </is>
      </c>
      <c r="B636" s="10">
        <f>IFERROR(INDEX('Review Items'!$D:$D,MATCH(A636,'Review Items'!$B:$B,0)),IFERROR(INDEX('Rule Updates'!$B:$B,MATCH(A636,'Rule Updates'!$A:$A,0)),"Uncategorised"))</f>
        <v/>
      </c>
      <c r="C636" s="10">
        <f>IFERROR(INDEX('Review Items'!$E:$E,MATCH(A636,'Review Items'!$B:$B,0)),IFERROR(INDEX('Rule Updates'!$C:$C,MATCH(A636,'Rule Updates'!$A:$A,0)),"Review"))</f>
        <v/>
      </c>
      <c r="D636" s="10">
        <f>COUNTIF('Amex Transactions'!$C:$C,A636)</f>
        <v/>
      </c>
      <c r="E636" s="10">
        <f>SUMIFS('Amex Transactions'!$G:$G,'Amex Transactions'!$C:$C,A636,'Amex Transactions'!$G:$G,"&gt;0")</f>
        <v/>
      </c>
      <c r="F636" s="11" t="n">
        <v>45575</v>
      </c>
      <c r="G636" s="10">
        <f>IF(COUNTIFS('Amex Transactions'!$C:$C,A636,'Amex Transactions'!$I:$I,"Check")&gt;0,"Check","")</f>
        <v/>
      </c>
    </row>
    <row r="637">
      <c r="A637" s="10" t="inlineStr">
        <is>
          <t>AMAZON PRIME*RN4VS3864 AMZN.CO.UK/PM</t>
        </is>
      </c>
      <c r="B637" s="10">
        <f>IFERROR(INDEX('Review Items'!$D:$D,MATCH(A637,'Review Items'!$B:$B,0)),IFERROR(INDEX('Rule Updates'!$B:$B,MATCH(A637,'Rule Updates'!$A:$A,0)),"Uncategorised"))</f>
        <v/>
      </c>
      <c r="C637" s="10">
        <f>IFERROR(INDEX('Review Items'!$E:$E,MATCH(A637,'Review Items'!$B:$B,0)),IFERROR(INDEX('Rule Updates'!$C:$C,MATCH(A637,'Rule Updates'!$A:$A,0)),"Review"))</f>
        <v/>
      </c>
      <c r="D637" s="10">
        <f>COUNTIF('Amex Transactions'!$C:$C,A637)</f>
        <v/>
      </c>
      <c r="E637" s="10">
        <f>SUMIFS('Amex Transactions'!$G:$G,'Amex Transactions'!$C:$C,A637,'Amex Transactions'!$G:$G,"&gt;0")</f>
        <v/>
      </c>
      <c r="F637" s="11" t="n">
        <v>45750</v>
      </c>
      <c r="G637" s="10">
        <f>IF(COUNTIFS('Amex Transactions'!$C:$C,A637,'Amex Transactions'!$I:$I,"Check")&gt;0,"Check","")</f>
        <v/>
      </c>
    </row>
    <row r="638">
      <c r="A638" s="10" t="inlineStr">
        <is>
          <t>AMAZON PRIME*RB59H5X34 AMZN.CO.UK/PM</t>
        </is>
      </c>
      <c r="B638" s="10">
        <f>IFERROR(INDEX('Review Items'!$D:$D,MATCH(A638,'Review Items'!$B:$B,0)),IFERROR(INDEX('Rule Updates'!$B:$B,MATCH(A638,'Rule Updates'!$A:$A,0)),"Uncategorised"))</f>
        <v/>
      </c>
      <c r="C638" s="10">
        <f>IFERROR(INDEX('Review Items'!$E:$E,MATCH(A638,'Review Items'!$B:$B,0)),IFERROR(INDEX('Rule Updates'!$C:$C,MATCH(A638,'Rule Updates'!$A:$A,0)),"Review"))</f>
        <v/>
      </c>
      <c r="D638" s="10">
        <f>COUNTIF('Amex Transactions'!$C:$C,A638)</f>
        <v/>
      </c>
      <c r="E638" s="10">
        <f>SUMIFS('Amex Transactions'!$G:$G,'Amex Transactions'!$C:$C,A638,'Amex Transactions'!$G:$G,"&gt;0")</f>
        <v/>
      </c>
      <c r="F638" s="11" t="n">
        <v>45726</v>
      </c>
      <c r="G638" s="10">
        <f>IF(COUNTIFS('Amex Transactions'!$C:$C,A638,'Amex Transactions'!$I:$I,"Check")&gt;0,"Check","")</f>
        <v/>
      </c>
    </row>
    <row r="639">
      <c r="A639" s="10" t="inlineStr">
        <is>
          <t>AMAZON PRIME*R62B79KF4 AMZN.CO.UK/PM</t>
        </is>
      </c>
      <c r="B639" s="10">
        <f>IFERROR(INDEX('Review Items'!$D:$D,MATCH(A639,'Review Items'!$B:$B,0)),IFERROR(INDEX('Rule Updates'!$B:$B,MATCH(A639,'Rule Updates'!$A:$A,0)),"Uncategorised"))</f>
        <v/>
      </c>
      <c r="C639" s="10">
        <f>IFERROR(INDEX('Review Items'!$E:$E,MATCH(A639,'Review Items'!$B:$B,0)),IFERROR(INDEX('Rule Updates'!$C:$C,MATCH(A639,'Rule Updates'!$A:$A,0)),"Review"))</f>
        <v/>
      </c>
      <c r="D639" s="10">
        <f>COUNTIF('Amex Transactions'!$C:$C,A639)</f>
        <v/>
      </c>
      <c r="E639" s="10">
        <f>SUMIFS('Amex Transactions'!$G:$G,'Amex Transactions'!$C:$C,A639,'Amex Transactions'!$G:$G,"&gt;0")</f>
        <v/>
      </c>
      <c r="F639" s="11" t="n">
        <v>45757</v>
      </c>
      <c r="G639" s="10">
        <f>IF(COUNTIFS('Amex Transactions'!$C:$C,A639,'Amex Transactions'!$I:$I,"Check")&gt;0,"Check","")</f>
        <v/>
      </c>
    </row>
    <row r="640">
      <c r="A640" s="10" t="inlineStr">
        <is>
          <t>AMAZON PRIME*183PB3PK5 AMZN.CO.UK/PM</t>
        </is>
      </c>
      <c r="B640" s="10">
        <f>IFERROR(INDEX('Review Items'!$D:$D,MATCH(A640,'Review Items'!$B:$B,0)),IFERROR(INDEX('Rule Updates'!$B:$B,MATCH(A640,'Rule Updates'!$A:$A,0)),"Uncategorised"))</f>
        <v/>
      </c>
      <c r="C640" s="10">
        <f>IFERROR(INDEX('Review Items'!$E:$E,MATCH(A640,'Review Items'!$B:$B,0)),IFERROR(INDEX('Rule Updates'!$C:$C,MATCH(A640,'Rule Updates'!$A:$A,0)),"Review"))</f>
        <v/>
      </c>
      <c r="D640" s="10">
        <f>COUNTIF('Amex Transactions'!$C:$C,A640)</f>
        <v/>
      </c>
      <c r="E640" s="10">
        <f>SUMIFS('Amex Transactions'!$G:$G,'Amex Transactions'!$C:$C,A640,'Amex Transactions'!$G:$G,"&gt;0")</f>
        <v/>
      </c>
      <c r="F640" s="11" t="n">
        <v>45636</v>
      </c>
      <c r="G640" s="10">
        <f>IF(COUNTIFS('Amex Transactions'!$C:$C,A640,'Amex Transactions'!$I:$I,"Check")&gt;0,"Check","")</f>
        <v/>
      </c>
    </row>
    <row r="641">
      <c r="A641" s="10" t="inlineStr">
        <is>
          <t>AMAZON PRIME*P82NB6WG5 AMZN.CO.UK/PM</t>
        </is>
      </c>
      <c r="B641" s="10">
        <f>IFERROR(INDEX('Review Items'!$D:$D,MATCH(A641,'Review Items'!$B:$B,0)),IFERROR(INDEX('Rule Updates'!$B:$B,MATCH(A641,'Rule Updates'!$A:$A,0)),"Uncategorised"))</f>
        <v/>
      </c>
      <c r="C641" s="10">
        <f>IFERROR(INDEX('Review Items'!$E:$E,MATCH(A641,'Review Items'!$B:$B,0)),IFERROR(INDEX('Rule Updates'!$C:$C,MATCH(A641,'Rule Updates'!$A:$A,0)),"Review"))</f>
        <v/>
      </c>
      <c r="D641" s="10">
        <f>COUNTIF('Amex Transactions'!$C:$C,A641)</f>
        <v/>
      </c>
      <c r="E641" s="10">
        <f>SUMIFS('Amex Transactions'!$G:$G,'Amex Transactions'!$C:$C,A641,'Amex Transactions'!$G:$G,"&gt;0")</f>
        <v/>
      </c>
      <c r="F641" s="11" t="n">
        <v>45629</v>
      </c>
      <c r="G641" s="10">
        <f>IF(COUNTIFS('Amex Transactions'!$C:$C,A641,'Amex Transactions'!$I:$I,"Check")&gt;0,"Check","")</f>
        <v/>
      </c>
    </row>
    <row r="642">
      <c r="A642" s="10" t="inlineStr">
        <is>
          <t>OMUSUBI - IFC CENTRAL</t>
        </is>
      </c>
      <c r="B642" s="10">
        <f>IFERROR(INDEX('Review Items'!$D:$D,MATCH(A642,'Review Items'!$B:$B,0)),IFERROR(INDEX('Rule Updates'!$B:$B,MATCH(A642,'Rule Updates'!$A:$A,0)),"Uncategorised"))</f>
        <v/>
      </c>
      <c r="C642" s="10">
        <f>IFERROR(INDEX('Review Items'!$E:$E,MATCH(A642,'Review Items'!$B:$B,0)),IFERROR(INDEX('Rule Updates'!$C:$C,MATCH(A642,'Rule Updates'!$A:$A,0)),"Review"))</f>
        <v/>
      </c>
      <c r="D642" s="10">
        <f>COUNTIF('Amex Transactions'!$C:$C,A642)</f>
        <v/>
      </c>
      <c r="E642" s="10">
        <f>SUMIFS('Amex Transactions'!$G:$G,'Amex Transactions'!$C:$C,A642,'Amex Transactions'!$G:$G,"&gt;0")</f>
        <v/>
      </c>
      <c r="F642" s="11" t="n">
        <v>45845</v>
      </c>
      <c r="G642" s="10">
        <f>IF(COUNTIFS('Amex Transactions'!$C:$C,A642,'Amex Transactions'!$I:$I,"Check")&gt;0,"Check","")</f>
        <v/>
      </c>
    </row>
    <row r="643">
      <c r="A643" s="10" t="inlineStr">
        <is>
          <t>AMAZON PRIME*R222J4AJ4 AMZN.CO.UK/PM</t>
        </is>
      </c>
      <c r="B643" s="10">
        <f>IFERROR(INDEX('Review Items'!$D:$D,MATCH(A643,'Review Items'!$B:$B,0)),IFERROR(INDEX('Rule Updates'!$B:$B,MATCH(A643,'Rule Updates'!$A:$A,0)),"Uncategorised"))</f>
        <v/>
      </c>
      <c r="C643" s="10">
        <f>IFERROR(INDEX('Review Items'!$E:$E,MATCH(A643,'Review Items'!$B:$B,0)),IFERROR(INDEX('Rule Updates'!$C:$C,MATCH(A643,'Rule Updates'!$A:$A,0)),"Review"))</f>
        <v/>
      </c>
      <c r="D643" s="10">
        <f>COUNTIF('Amex Transactions'!$C:$C,A643)</f>
        <v/>
      </c>
      <c r="E643" s="10">
        <f>SUMIFS('Amex Transactions'!$G:$G,'Amex Transactions'!$C:$C,A643,'Amex Transactions'!$G:$G,"&gt;0")</f>
        <v/>
      </c>
      <c r="F643" s="11" t="n">
        <v>45719</v>
      </c>
      <c r="G643" s="10">
        <f>IF(COUNTIFS('Amex Transactions'!$C:$C,A643,'Amex Transactions'!$I:$I,"Check")&gt;0,"Check","")</f>
        <v/>
      </c>
    </row>
    <row r="644">
      <c r="A644" s="10" t="inlineStr">
        <is>
          <t>MANDARIN ORIENTAL-BOOK CENTRAL</t>
        </is>
      </c>
      <c r="B644" s="10">
        <f>IFERROR(INDEX('Review Items'!$D:$D,MATCH(A644,'Review Items'!$B:$B,0)),IFERROR(INDEX('Rule Updates'!$B:$B,MATCH(A644,'Rule Updates'!$A:$A,0)),"Uncategorised"))</f>
        <v/>
      </c>
      <c r="C644" s="10">
        <f>IFERROR(INDEX('Review Items'!$E:$E,MATCH(A644,'Review Items'!$B:$B,0)),IFERROR(INDEX('Rule Updates'!$C:$C,MATCH(A644,'Rule Updates'!$A:$A,0)),"Review"))</f>
        <v/>
      </c>
      <c r="D644" s="10">
        <f>COUNTIF('Amex Transactions'!$C:$C,A644)</f>
        <v/>
      </c>
      <c r="E644" s="10">
        <f>SUMIFS('Amex Transactions'!$G:$G,'Amex Transactions'!$C:$C,A644,'Amex Transactions'!$G:$G,"&gt;0")</f>
        <v/>
      </c>
      <c r="F644" s="11" t="n">
        <v>46060</v>
      </c>
      <c r="G644" s="10">
        <f>IF(COUNTIFS('Amex Transactions'!$C:$C,A644,'Amex Transactions'!$I:$I,"Check")&gt;0,"Check","")</f>
        <v/>
      </c>
    </row>
    <row r="645">
      <c r="A645" s="10" t="inlineStr">
        <is>
          <t>AMAZON PRIME*PC0399TR5 AMZN.CO.UK/PM</t>
        </is>
      </c>
      <c r="B645" s="10">
        <f>IFERROR(INDEX('Review Items'!$D:$D,MATCH(A645,'Review Items'!$B:$B,0)),IFERROR(INDEX('Rule Updates'!$B:$B,MATCH(A645,'Rule Updates'!$A:$A,0)),"Uncategorised"))</f>
        <v/>
      </c>
      <c r="C645" s="10">
        <f>IFERROR(INDEX('Review Items'!$E:$E,MATCH(A645,'Review Items'!$B:$B,0)),IFERROR(INDEX('Rule Updates'!$C:$C,MATCH(A645,'Rule Updates'!$A:$A,0)),"Review"))</f>
        <v/>
      </c>
      <c r="D645" s="10">
        <f>COUNTIF('Amex Transactions'!$C:$C,A645)</f>
        <v/>
      </c>
      <c r="E645" s="10">
        <f>SUMIFS('Amex Transactions'!$G:$G,'Amex Transactions'!$C:$C,A645,'Amex Transactions'!$G:$G,"&gt;0")</f>
        <v/>
      </c>
      <c r="F645" s="11" t="n">
        <v>45660</v>
      </c>
      <c r="G645" s="10">
        <f>IF(COUNTIFS('Amex Transactions'!$C:$C,A645,'Amex Transactions'!$I:$I,"Check")&gt;0,"Check","")</f>
        <v/>
      </c>
    </row>
    <row r="646">
      <c r="A646" s="10" t="inlineStr">
        <is>
          <t>GAR MIN ( EUROPE ) LI MITED SOUTHA MPTON</t>
        </is>
      </c>
      <c r="B646" s="10">
        <f>IFERROR(INDEX('Review Items'!$D:$D,MATCH(A646,'Review Items'!$B:$B,0)),IFERROR(INDEX('Rule Updates'!$B:$B,MATCH(A646,'Rule Updates'!$A:$A,0)),"Uncategorised"))</f>
        <v/>
      </c>
      <c r="C646" s="10">
        <f>IFERROR(INDEX('Review Items'!$E:$E,MATCH(A646,'Review Items'!$B:$B,0)),IFERROR(INDEX('Rule Updates'!$C:$C,MATCH(A646,'Rule Updates'!$A:$A,0)),"Review"))</f>
        <v/>
      </c>
      <c r="D646" s="10">
        <f>COUNTIF('Amex Transactions'!$C:$C,A646)</f>
        <v/>
      </c>
      <c r="E646" s="10">
        <f>SUMIFS('Amex Transactions'!$G:$G,'Amex Transactions'!$C:$C,A646,'Amex Transactions'!$G:$G,"&gt;0")</f>
        <v/>
      </c>
      <c r="F646" s="11" t="n">
        <v>46012</v>
      </c>
      <c r="G646" s="10">
        <f>IF(COUNTIFS('Amex Transactions'!$C:$C,A646,'Amex Transactions'!$I:$I,"Check")&gt;0,"Check","")</f>
        <v/>
      </c>
    </row>
    <row r="647">
      <c r="A647" s="10" t="inlineStr">
        <is>
          <t>WHOLE FOODS HOUSE WOOLLAHRA</t>
        </is>
      </c>
      <c r="B647" s="10">
        <f>IFERROR(INDEX('Review Items'!$D:$D,MATCH(A647,'Review Items'!$B:$B,0)),IFERROR(INDEX('Rule Updates'!$B:$B,MATCH(A647,'Rule Updates'!$A:$A,0)),"Uncategorised"))</f>
        <v/>
      </c>
      <c r="C647" s="10">
        <f>IFERROR(INDEX('Review Items'!$E:$E,MATCH(A647,'Review Items'!$B:$B,0)),IFERROR(INDEX('Rule Updates'!$C:$C,MATCH(A647,'Rule Updates'!$A:$A,0)),"Review"))</f>
        <v/>
      </c>
      <c r="D647" s="10">
        <f>COUNTIF('Amex Transactions'!$C:$C,A647)</f>
        <v/>
      </c>
      <c r="E647" s="10">
        <f>SUMIFS('Amex Transactions'!$G:$G,'Amex Transactions'!$C:$C,A647,'Amex Transactions'!$G:$G,"&gt;0")</f>
        <v/>
      </c>
      <c r="F647" s="11" t="n">
        <v>46011</v>
      </c>
      <c r="G647" s="10">
        <f>IF(COUNTIFS('Amex Transactions'!$C:$C,A647,'Amex Transactions'!$I:$I,"Check")&gt;0,"Check","")</f>
        <v/>
      </c>
    </row>
    <row r="648">
      <c r="A648" s="10" t="inlineStr">
        <is>
          <t>AMAZON PRIME*SO37B7S55 AMZN.CO.UK/PM</t>
        </is>
      </c>
      <c r="B648" s="10">
        <f>IFERROR(INDEX('Review Items'!$D:$D,MATCH(A648,'Review Items'!$B:$B,0)),IFERROR(INDEX('Rule Updates'!$B:$B,MATCH(A648,'Rule Updates'!$A:$A,0)),"Uncategorised"))</f>
        <v/>
      </c>
      <c r="C648" s="10">
        <f>IFERROR(INDEX('Review Items'!$E:$E,MATCH(A648,'Review Items'!$B:$B,0)),IFERROR(INDEX('Rule Updates'!$C:$C,MATCH(A648,'Rule Updates'!$A:$A,0)),"Review"))</f>
        <v/>
      </c>
      <c r="D648" s="10">
        <f>COUNTIF('Amex Transactions'!$C:$C,A648)</f>
        <v/>
      </c>
      <c r="E648" s="10">
        <f>SUMIFS('Amex Transactions'!$G:$G,'Amex Transactions'!$C:$C,A648,'Amex Transactions'!$G:$G,"&gt;0")</f>
        <v/>
      </c>
      <c r="F648" s="11" t="n">
        <v>45667</v>
      </c>
      <c r="G648" s="10">
        <f>IF(COUNTIFS('Amex Transactions'!$C:$C,A648,'Amex Transactions'!$I:$I,"Check")&gt;0,"Check","")</f>
        <v/>
      </c>
    </row>
    <row r="649">
      <c r="A649" s="10" t="inlineStr">
        <is>
          <t>SUMUP*10 GREEN STREET BATH</t>
        </is>
      </c>
      <c r="B649" s="10">
        <f>IFERROR(INDEX('Review Items'!$D:$D,MATCH(A649,'Review Items'!$B:$B,0)),IFERROR(INDEX('Rule Updates'!$B:$B,MATCH(A649,'Rule Updates'!$A:$A,0)),"Uncategorised"))</f>
        <v/>
      </c>
      <c r="C649" s="10">
        <f>IFERROR(INDEX('Review Items'!$E:$E,MATCH(A649,'Review Items'!$B:$B,0)),IFERROR(INDEX('Rule Updates'!$C:$C,MATCH(A649,'Rule Updates'!$A:$A,0)),"Review"))</f>
        <v/>
      </c>
      <c r="D649" s="10">
        <f>COUNTIF('Amex Transactions'!$C:$C,A649)</f>
        <v/>
      </c>
      <c r="E649" s="10">
        <f>SUMIFS('Amex Transactions'!$G:$G,'Amex Transactions'!$C:$C,A649,'Amex Transactions'!$G:$G,"&gt;0")</f>
        <v/>
      </c>
      <c r="F649" s="11" t="n">
        <v>45633</v>
      </c>
      <c r="G649" s="10">
        <f>IF(COUNTIFS('Amex Transactions'!$C:$C,A649,'Amex Transactions'!$I:$I,"Check")&gt;0,"Check","")</f>
        <v/>
      </c>
    </row>
    <row r="650">
      <c r="A650" s="10" t="inlineStr">
        <is>
          <t>SHELL SERVICE STATION 1 SAN MATEO</t>
        </is>
      </c>
      <c r="B650" s="10">
        <f>IFERROR(INDEX('Review Items'!$D:$D,MATCH(A650,'Review Items'!$B:$B,0)),IFERROR(INDEX('Rule Updates'!$B:$B,MATCH(A650,'Rule Updates'!$A:$A,0)),"Uncategorised"))</f>
        <v/>
      </c>
      <c r="C650" s="10">
        <f>IFERROR(INDEX('Review Items'!$E:$E,MATCH(A650,'Review Items'!$B:$B,0)),IFERROR(INDEX('Rule Updates'!$C:$C,MATCH(A650,'Rule Updates'!$A:$A,0)),"Review"))</f>
        <v/>
      </c>
      <c r="D650" s="10">
        <f>COUNTIF('Amex Transactions'!$C:$C,A650)</f>
        <v/>
      </c>
      <c r="E650" s="10">
        <f>SUMIFS('Amex Transactions'!$G:$G,'Amex Transactions'!$C:$C,A650,'Amex Transactions'!$G:$G,"&gt;0")</f>
        <v/>
      </c>
      <c r="F650" s="11" t="n">
        <v>45796</v>
      </c>
      <c r="G650" s="10">
        <f>IF(COUNTIFS('Amex Transactions'!$C:$C,A650,'Amex Transactions'!$I:$I,"Check")&gt;0,"Check","")</f>
        <v/>
      </c>
    </row>
    <row r="651">
      <c r="A651" s="10" t="inlineStr">
        <is>
          <t>PARK HYATT Niseko DELI *</t>
        </is>
      </c>
      <c r="B651" s="10">
        <f>IFERROR(INDEX('Review Items'!$D:$D,MATCH(A651,'Review Items'!$B:$B,0)),IFERROR(INDEX('Rule Updates'!$B:$B,MATCH(A651,'Rule Updates'!$A:$A,0)),"Uncategorised"))</f>
        <v/>
      </c>
      <c r="C651" s="10">
        <f>IFERROR(INDEX('Review Items'!$E:$E,MATCH(A651,'Review Items'!$B:$B,0)),IFERROR(INDEX('Rule Updates'!$C:$C,MATCH(A651,'Rule Updates'!$A:$A,0)),"Review"))</f>
        <v/>
      </c>
      <c r="D651" s="10">
        <f>COUNTIF('Amex Transactions'!$C:$C,A651)</f>
        <v/>
      </c>
      <c r="E651" s="10">
        <f>SUMIFS('Amex Transactions'!$G:$G,'Amex Transactions'!$C:$C,A651,'Amex Transactions'!$G:$G,"&gt;0")</f>
        <v/>
      </c>
      <c r="F651" s="11" t="n">
        <v>45725</v>
      </c>
      <c r="G651" s="10">
        <f>IF(COUNTIFS('Amex Transactions'!$C:$C,A651,'Amex Transactions'!$I:$I,"Check")&gt;0,"Check","")</f>
        <v/>
      </c>
    </row>
    <row r="652">
      <c r="A652" s="10" t="inlineStr">
        <is>
          <t>28862 SYDNEY</t>
        </is>
      </c>
      <c r="B652" s="10">
        <f>IFERROR(INDEX('Review Items'!$D:$D,MATCH(A652,'Review Items'!$B:$B,0)),IFERROR(INDEX('Rule Updates'!$B:$B,MATCH(A652,'Rule Updates'!$A:$A,0)),"Uncategorised"))</f>
        <v/>
      </c>
      <c r="C652" s="10">
        <f>IFERROR(INDEX('Review Items'!$E:$E,MATCH(A652,'Review Items'!$B:$B,0)),IFERROR(INDEX('Rule Updates'!$C:$C,MATCH(A652,'Rule Updates'!$A:$A,0)),"Review"))</f>
        <v/>
      </c>
      <c r="D652" s="10">
        <f>COUNTIF('Amex Transactions'!$C:$C,A652)</f>
        <v/>
      </c>
      <c r="E652" s="10">
        <f>SUMIFS('Amex Transactions'!$G:$G,'Amex Transactions'!$C:$C,A652,'Amex Transactions'!$G:$G,"&gt;0")</f>
        <v/>
      </c>
      <c r="F652" s="11" t="n">
        <v>45880</v>
      </c>
      <c r="G652" s="10">
        <f>IF(COUNTIFS('Amex Transactions'!$C:$C,A652,'Amex Transactions'!$I:$I,"Check")&gt;0,"Check","")</f>
        <v/>
      </c>
    </row>
    <row r="653">
      <c r="A653" s="10" t="inlineStr">
        <is>
          <t>BAKER BLEU DOUBLE BAY Double Bay</t>
        </is>
      </c>
      <c r="B653" s="10">
        <f>IFERROR(INDEX('Review Items'!$D:$D,MATCH(A653,'Review Items'!$B:$B,0)),IFERROR(INDEX('Rule Updates'!$B:$B,MATCH(A653,'Rule Updates'!$A:$A,0)),"Uncategorised"))</f>
        <v/>
      </c>
      <c r="C653" s="10">
        <f>IFERROR(INDEX('Review Items'!$E:$E,MATCH(A653,'Review Items'!$B:$B,0)),IFERROR(INDEX('Rule Updates'!$C:$C,MATCH(A653,'Rule Updates'!$A:$A,0)),"Review"))</f>
        <v/>
      </c>
      <c r="D653" s="10">
        <f>COUNTIF('Amex Transactions'!$C:$C,A653)</f>
        <v/>
      </c>
      <c r="E653" s="10">
        <f>SUMIFS('Amex Transactions'!$G:$G,'Amex Transactions'!$C:$C,A653,'Amex Transactions'!$G:$G,"&gt;0")</f>
        <v/>
      </c>
      <c r="F653" s="11" t="n">
        <v>45663</v>
      </c>
      <c r="G653" s="10">
        <f>IF(COUNTIFS('Amex Transactions'!$C:$C,A653,'Amex Transactions'!$I:$I,"Check")&gt;0,"Check","")</f>
        <v/>
      </c>
    </row>
    <row r="654">
      <c r="A654" s="10" t="inlineStr">
        <is>
          <t>TOKYO NIHONKOTSU KYOTO KYOTO</t>
        </is>
      </c>
      <c r="B654" s="10">
        <f>IFERROR(INDEX('Review Items'!$D:$D,MATCH(A654,'Review Items'!$B:$B,0)),IFERROR(INDEX('Rule Updates'!$B:$B,MATCH(A654,'Rule Updates'!$A:$A,0)),"Uncategorised"))</f>
        <v/>
      </c>
      <c r="C654" s="10">
        <f>IFERROR(INDEX('Review Items'!$E:$E,MATCH(A654,'Review Items'!$B:$B,0)),IFERROR(INDEX('Rule Updates'!$C:$C,MATCH(A654,'Rule Updates'!$A:$A,0)),"Review"))</f>
        <v/>
      </c>
      <c r="D654" s="10">
        <f>COUNTIF('Amex Transactions'!$C:$C,A654)</f>
        <v/>
      </c>
      <c r="E654" s="10">
        <f>SUMIFS('Amex Transactions'!$G:$G,'Amex Transactions'!$C:$C,A654,'Amex Transactions'!$G:$G,"&gt;0")</f>
        <v/>
      </c>
      <c r="F654" s="11" t="n">
        <v>45641</v>
      </c>
      <c r="G654" s="10">
        <f>IF(COUNTIFS('Amex Transactions'!$C:$C,A654,'Amex Transactions'!$I:$I,"Check")&gt;0,"Check","")</f>
        <v/>
      </c>
    </row>
    <row r="655">
      <c r="A655" s="10" t="inlineStr">
        <is>
          <t>HUM BLE COFFEE&amp; BAKERY 74 SURRY HILLS</t>
        </is>
      </c>
      <c r="B655" s="10">
        <f>IFERROR(INDEX('Review Items'!$D:$D,MATCH(A655,'Review Items'!$B:$B,0)),IFERROR(INDEX('Rule Updates'!$B:$B,MATCH(A655,'Rule Updates'!$A:$A,0)),"Uncategorised"))</f>
        <v/>
      </c>
      <c r="C655" s="10">
        <f>IFERROR(INDEX('Review Items'!$E:$E,MATCH(A655,'Review Items'!$B:$B,0)),IFERROR(INDEX('Rule Updates'!$C:$C,MATCH(A655,'Rule Updates'!$A:$A,0)),"Review"))</f>
        <v/>
      </c>
      <c r="D655" s="10">
        <f>COUNTIF('Amex Transactions'!$C:$C,A655)</f>
        <v/>
      </c>
      <c r="E655" s="10">
        <f>SUMIFS('Amex Transactions'!$G:$G,'Amex Transactions'!$C:$C,A655,'Amex Transactions'!$G:$G,"&gt;0")</f>
        <v/>
      </c>
      <c r="F655" s="11" t="n">
        <v>46009</v>
      </c>
      <c r="G655" s="10">
        <f>IF(COUNTIFS('Amex Transactions'!$C:$C,A655,'Amex Transactions'!$I:$I,"Check")&gt;0,"Check","")</f>
        <v/>
      </c>
    </row>
    <row r="656">
      <c r="A656" s="10" t="inlineStr">
        <is>
          <t>LITTLE COVE ESPRESSO 00 HONG KONG</t>
        </is>
      </c>
      <c r="B656" s="10">
        <f>IFERROR(INDEX('Review Items'!$D:$D,MATCH(A656,'Review Items'!$B:$B,0)),IFERROR(INDEX('Rule Updates'!$B:$B,MATCH(A656,'Rule Updates'!$A:$A,0)),"Uncategorised"))</f>
        <v/>
      </c>
      <c r="C656" s="10">
        <f>IFERROR(INDEX('Review Items'!$E:$E,MATCH(A656,'Review Items'!$B:$B,0)),IFERROR(INDEX('Rule Updates'!$C:$C,MATCH(A656,'Rule Updates'!$A:$A,0)),"Review"))</f>
        <v/>
      </c>
      <c r="D656" s="10">
        <f>COUNTIF('Amex Transactions'!$C:$C,A656)</f>
        <v/>
      </c>
      <c r="E656" s="10">
        <f>SUMIFS('Amex Transactions'!$G:$G,'Amex Transactions'!$C:$C,A656,'Amex Transactions'!$G:$G,"&gt;0")</f>
        <v/>
      </c>
      <c r="F656" s="11" t="n">
        <v>45909</v>
      </c>
      <c r="G656" s="10">
        <f>IF(COUNTIFS('Amex Transactions'!$C:$C,A656,'Amex Transactions'!$I:$I,"Check")&gt;0,"Check","")</f>
        <v/>
      </c>
    </row>
    <row r="657">
      <c r="A657" s="10" t="inlineStr">
        <is>
          <t>BB MSL * I sl e t Co ff ee La b HK</t>
        </is>
      </c>
      <c r="B657" s="10">
        <f>IFERROR(INDEX('Review Items'!$D:$D,MATCH(A657,'Review Items'!$B:$B,0)),IFERROR(INDEX('Rule Updates'!$B:$B,MATCH(A657,'Rule Updates'!$A:$A,0)),"Uncategorised"))</f>
        <v/>
      </c>
      <c r="C657" s="10">
        <f>IFERROR(INDEX('Review Items'!$E:$E,MATCH(A657,'Review Items'!$B:$B,0)),IFERROR(INDEX('Rule Updates'!$C:$C,MATCH(A657,'Rule Updates'!$A:$A,0)),"Review"))</f>
        <v/>
      </c>
      <c r="D657" s="10">
        <f>COUNTIF('Amex Transactions'!$C:$C,A657)</f>
        <v/>
      </c>
      <c r="E657" s="10">
        <f>SUMIFS('Amex Transactions'!$G:$G,'Amex Transactions'!$C:$C,A657,'Amex Transactions'!$G:$G,"&gt;0")</f>
        <v/>
      </c>
      <c r="F657" s="11" t="n">
        <v>45903</v>
      </c>
      <c r="G657" s="10">
        <f>IF(COUNTIFS('Amex Transactions'!$C:$C,A657,'Amex Transactions'!$I:$I,"Check")&gt;0,"Check","")</f>
        <v/>
      </c>
    </row>
    <row r="658">
      <c r="A658" s="10" t="inlineStr">
        <is>
          <t>TAX I 1 PTY LTD BOTANY</t>
        </is>
      </c>
      <c r="B658" s="10">
        <f>IFERROR(INDEX('Review Items'!$D:$D,MATCH(A658,'Review Items'!$B:$B,0)),IFERROR(INDEX('Rule Updates'!$B:$B,MATCH(A658,'Rule Updates'!$A:$A,0)),"Uncategorised"))</f>
        <v/>
      </c>
      <c r="C658" s="10">
        <f>IFERROR(INDEX('Review Items'!$E:$E,MATCH(A658,'Review Items'!$B:$B,0)),IFERROR(INDEX('Rule Updates'!$C:$C,MATCH(A658,'Rule Updates'!$A:$A,0)),"Review"))</f>
        <v/>
      </c>
      <c r="D658" s="10">
        <f>COUNTIF('Amex Transactions'!$C:$C,A658)</f>
        <v/>
      </c>
      <c r="E658" s="10">
        <f>SUMIFS('Amex Transactions'!$G:$G,'Amex Transactions'!$C:$C,A658,'Amex Transactions'!$G:$G,"&gt;0")</f>
        <v/>
      </c>
      <c r="F658" s="11" t="n">
        <v>46009</v>
      </c>
      <c r="G658" s="10">
        <f>IF(COUNTIFS('Amex Transactions'!$C:$C,A658,'Amex Transactions'!$I:$I,"Check")&gt;0,"Check","")</f>
        <v/>
      </c>
    </row>
    <row r="659">
      <c r="A659" s="10" t="inlineStr">
        <is>
          <t>COLES SURRY HILLS 7671 REDFERN</t>
        </is>
      </c>
      <c r="B659" s="10">
        <f>IFERROR(INDEX('Review Items'!$D:$D,MATCH(A659,'Review Items'!$B:$B,0)),IFERROR(INDEX('Rule Updates'!$B:$B,MATCH(A659,'Rule Updates'!$A:$A,0)),"Uncategorised"))</f>
        <v/>
      </c>
      <c r="C659" s="10">
        <f>IFERROR(INDEX('Review Items'!$E:$E,MATCH(A659,'Review Items'!$B:$B,0)),IFERROR(INDEX('Rule Updates'!$C:$C,MATCH(A659,'Rule Updates'!$A:$A,0)),"Review"))</f>
        <v/>
      </c>
      <c r="D659" s="10">
        <f>COUNTIF('Amex Transactions'!$C:$C,A659)</f>
        <v/>
      </c>
      <c r="E659" s="10">
        <f>SUMIFS('Amex Transactions'!$G:$G,'Amex Transactions'!$C:$C,A659,'Amex Transactions'!$G:$G,"&gt;0")</f>
        <v/>
      </c>
      <c r="F659" s="11" t="n">
        <v>45881</v>
      </c>
      <c r="G659" s="10">
        <f>IF(COUNTIFS('Amex Transactions'!$C:$C,A659,'Amex Transactions'!$I:$I,"Check")&gt;0,"Check","")</f>
        <v/>
      </c>
    </row>
    <row r="660">
      <c r="A660" s="10" t="inlineStr">
        <is>
          <t>KYOTO FUYA RYU RYOKU AI KYOTO</t>
        </is>
      </c>
      <c r="B660" s="10">
        <f>IFERROR(INDEX('Review Items'!$D:$D,MATCH(A660,'Review Items'!$B:$B,0)),IFERROR(INDEX('Rule Updates'!$B:$B,MATCH(A660,'Rule Updates'!$A:$A,0)),"Uncategorised"))</f>
        <v/>
      </c>
      <c r="C660" s="10">
        <f>IFERROR(INDEX('Review Items'!$E:$E,MATCH(A660,'Review Items'!$B:$B,0)),IFERROR(INDEX('Rule Updates'!$C:$C,MATCH(A660,'Rule Updates'!$A:$A,0)),"Review"))</f>
        <v/>
      </c>
      <c r="D660" s="10">
        <f>COUNTIF('Amex Transactions'!$C:$C,A660)</f>
        <v/>
      </c>
      <c r="E660" s="10">
        <f>SUMIFS('Amex Transactions'!$G:$G,'Amex Transactions'!$C:$C,A660,'Amex Transactions'!$G:$G,"&gt;0")</f>
        <v/>
      </c>
      <c r="F660" s="11" t="n">
        <v>45640</v>
      </c>
      <c r="G660" s="10">
        <f>IF(COUNTIFS('Amex Transactions'!$C:$C,A660,'Amex Transactions'!$I:$I,"Check")&gt;0,"Check","")</f>
        <v/>
      </c>
    </row>
    <row r="661">
      <c r="A661" s="10" t="inlineStr">
        <is>
          <t>RAKUTENPAY NS TAXI KYOTO</t>
        </is>
      </c>
      <c r="B661" s="10">
        <f>IFERROR(INDEX('Review Items'!$D:$D,MATCH(A661,'Review Items'!$B:$B,0)),IFERROR(INDEX('Rule Updates'!$B:$B,MATCH(A661,'Rule Updates'!$A:$A,0)),"Uncategorised"))</f>
        <v/>
      </c>
      <c r="C661" s="10">
        <f>IFERROR(INDEX('Review Items'!$E:$E,MATCH(A661,'Review Items'!$B:$B,0)),IFERROR(INDEX('Rule Updates'!$C:$C,MATCH(A661,'Rule Updates'!$A:$A,0)),"Review"))</f>
        <v/>
      </c>
      <c r="D661" s="10">
        <f>COUNTIF('Amex Transactions'!$C:$C,A661)</f>
        <v/>
      </c>
      <c r="E661" s="10">
        <f>SUMIFS('Amex Transactions'!$G:$G,'Amex Transactions'!$C:$C,A661,'Amex Transactions'!$G:$G,"&gt;0")</f>
        <v/>
      </c>
      <c r="F661" s="11" t="n">
        <v>45640</v>
      </c>
      <c r="G661" s="10">
        <f>IF(COUNTIFS('Amex Transactions'!$C:$C,A661,'Amex Transactions'!$I:$I,"Check")&gt;0,"Check","")</f>
        <v/>
      </c>
    </row>
    <row r="662">
      <c r="A662" s="10" t="inlineStr">
        <is>
          <t>FOURSTONES PARNASMALL SEOUL</t>
        </is>
      </c>
      <c r="B662" s="10">
        <f>IFERROR(INDEX('Review Items'!$D:$D,MATCH(A662,'Review Items'!$B:$B,0)),IFERROR(INDEX('Rule Updates'!$B:$B,MATCH(A662,'Rule Updates'!$A:$A,0)),"Uncategorised"))</f>
        <v/>
      </c>
      <c r="C662" s="10">
        <f>IFERROR(INDEX('Review Items'!$E:$E,MATCH(A662,'Review Items'!$B:$B,0)),IFERROR(INDEX('Rule Updates'!$C:$C,MATCH(A662,'Rule Updates'!$A:$A,0)),"Review"))</f>
        <v/>
      </c>
      <c r="D662" s="10">
        <f>COUNTIF('Amex Transactions'!$C:$C,A662)</f>
        <v/>
      </c>
      <c r="E662" s="10">
        <f>SUMIFS('Amex Transactions'!$G:$G,'Amex Transactions'!$C:$C,A662,'Amex Transactions'!$G:$G,"&gt;0")</f>
        <v/>
      </c>
      <c r="F662" s="11" t="n">
        <v>45974</v>
      </c>
      <c r="G662" s="10">
        <f>IF(COUNTIFS('Amex Transactions'!$C:$C,A662,'Amex Transactions'!$I:$I,"Check")&gt;0,"Check","")</f>
        <v/>
      </c>
    </row>
    <row r="663">
      <c r="A663" s="10" t="inlineStr">
        <is>
          <t>MARKET PLACE - MAY ROAD THE PEAK</t>
        </is>
      </c>
      <c r="B663" s="10">
        <f>IFERROR(INDEX('Review Items'!$D:$D,MATCH(A663,'Review Items'!$B:$B,0)),IFERROR(INDEX('Rule Updates'!$B:$B,MATCH(A663,'Rule Updates'!$A:$A,0)),"Uncategorised"))</f>
        <v/>
      </c>
      <c r="C663" s="10">
        <f>IFERROR(INDEX('Review Items'!$E:$E,MATCH(A663,'Review Items'!$B:$B,0)),IFERROR(INDEX('Rule Updates'!$C:$C,MATCH(A663,'Rule Updates'!$A:$A,0)),"Review"))</f>
        <v/>
      </c>
      <c r="D663" s="10">
        <f>COUNTIF('Amex Transactions'!$C:$C,A663)</f>
        <v/>
      </c>
      <c r="E663" s="10">
        <f>SUMIFS('Amex Transactions'!$G:$G,'Amex Transactions'!$C:$C,A663,'Amex Transactions'!$G:$G,"&gt;0")</f>
        <v/>
      </c>
      <c r="F663" s="11" t="n">
        <v>45651</v>
      </c>
      <c r="G663" s="10">
        <f>IF(COUNTIFS('Amex Transactions'!$C:$C,A663,'Amex Transactions'!$I:$I,"Check")&gt;0,"Check","")</f>
        <v/>
      </c>
    </row>
    <row r="664">
      <c r="A664" s="10" t="inlineStr">
        <is>
          <t>TRANSPORTFORNSWTRAVEL SYDNEY</t>
        </is>
      </c>
      <c r="B664" s="10">
        <f>IFERROR(INDEX('Review Items'!$D:$D,MATCH(A664,'Review Items'!$B:$B,0)),IFERROR(INDEX('Rule Updates'!$B:$B,MATCH(A664,'Rule Updates'!$A:$A,0)),"Uncategorised"))</f>
        <v/>
      </c>
      <c r="C664" s="10">
        <f>IFERROR(INDEX('Review Items'!$E:$E,MATCH(A664,'Review Items'!$B:$B,0)),IFERROR(INDEX('Rule Updates'!$C:$C,MATCH(A664,'Rule Updates'!$A:$A,0)),"Review"))</f>
        <v/>
      </c>
      <c r="D664" s="10">
        <f>COUNTIF('Amex Transactions'!$C:$C,A664)</f>
        <v/>
      </c>
      <c r="E664" s="10">
        <f>SUMIFS('Amex Transactions'!$G:$G,'Amex Transactions'!$C:$C,A664,'Amex Transactions'!$G:$G,"&gt;0")</f>
        <v/>
      </c>
      <c r="F664" s="11" t="n">
        <v>45881</v>
      </c>
      <c r="G664" s="10">
        <f>IF(COUNTIFS('Amex Transactions'!$C:$C,A664,'Amex Transactions'!$I:$I,"Check")&gt;0,"Check","")</f>
        <v/>
      </c>
    </row>
    <row r="665">
      <c r="A665" s="10" t="inlineStr">
        <is>
          <t>LS &amp; PARTNERS @ LA XLLC LOS ANGELES</t>
        </is>
      </c>
      <c r="B665" s="10">
        <f>IFERROR(INDEX('Review Items'!$D:$D,MATCH(A665,'Review Items'!$B:$B,0)),IFERROR(INDEX('Rule Updates'!$B:$B,MATCH(A665,'Rule Updates'!$A:$A,0)),"Uncategorised"))</f>
        <v/>
      </c>
      <c r="C665" s="10">
        <f>IFERROR(INDEX('Review Items'!$E:$E,MATCH(A665,'Review Items'!$B:$B,0)),IFERROR(INDEX('Rule Updates'!$C:$C,MATCH(A665,'Rule Updates'!$A:$A,0)),"Review"))</f>
        <v/>
      </c>
      <c r="D665" s="10">
        <f>COUNTIF('Amex Transactions'!$C:$C,A665)</f>
        <v/>
      </c>
      <c r="E665" s="10">
        <f>SUMIFS('Amex Transactions'!$G:$G,'Amex Transactions'!$C:$C,A665,'Amex Transactions'!$G:$G,"&gt;0")</f>
        <v/>
      </c>
      <c r="F665" s="11" t="n">
        <v>45949</v>
      </c>
      <c r="G665" s="10">
        <f>IF(COUNTIFS('Amex Transactions'!$C:$C,A665,'Amex Transactions'!$I:$I,"Check")&gt;0,"Check","")</f>
        <v/>
      </c>
    </row>
    <row r="666">
      <c r="A666" s="10" t="inlineStr">
        <is>
          <t>SA WAMURAKYUKARUIZ A W ANAGANO</t>
        </is>
      </c>
      <c r="B666" s="10">
        <f>IFERROR(INDEX('Review Items'!$D:$D,MATCH(A666,'Review Items'!$B:$B,0)),IFERROR(INDEX('Rule Updates'!$B:$B,MATCH(A666,'Rule Updates'!$A:$A,0)),"Uncategorised"))</f>
        <v/>
      </c>
      <c r="C666" s="10">
        <f>IFERROR(INDEX('Review Items'!$E:$E,MATCH(A666,'Review Items'!$B:$B,0)),IFERROR(INDEX('Rule Updates'!$C:$C,MATCH(A666,'Rule Updates'!$A:$A,0)),"Review"))</f>
        <v/>
      </c>
      <c r="D666" s="10">
        <f>COUNTIF('Amex Transactions'!$C:$C,A666)</f>
        <v/>
      </c>
      <c r="E666" s="10">
        <f>SUMIFS('Amex Transactions'!$G:$G,'Amex Transactions'!$C:$C,A666,'Amex Transactions'!$G:$G,"&gt;0")</f>
        <v/>
      </c>
      <c r="F666" s="11" t="n">
        <v>45979</v>
      </c>
      <c r="G666" s="10">
        <f>IF(COUNTIFS('Amex Transactions'!$C:$C,A666,'Amex Transactions'!$I:$I,"Check")&gt;0,"Check","")</f>
        <v/>
      </c>
    </row>
    <row r="667">
      <c r="A667" s="10" t="inlineStr">
        <is>
          <t>MONOCLE HKGR22 00000000 HONG KONG</t>
        </is>
      </c>
      <c r="B667" s="10">
        <f>IFERROR(INDEX('Review Items'!$D:$D,MATCH(A667,'Review Items'!$B:$B,0)),IFERROR(INDEX('Rule Updates'!$B:$B,MATCH(A667,'Rule Updates'!$A:$A,0)),"Uncategorised"))</f>
        <v/>
      </c>
      <c r="C667" s="10">
        <f>IFERROR(INDEX('Review Items'!$E:$E,MATCH(A667,'Review Items'!$B:$B,0)),IFERROR(INDEX('Rule Updates'!$C:$C,MATCH(A667,'Rule Updates'!$A:$A,0)),"Review"))</f>
        <v/>
      </c>
      <c r="D667" s="10">
        <f>COUNTIF('Amex Transactions'!$C:$C,A667)</f>
        <v/>
      </c>
      <c r="E667" s="10">
        <f>SUMIFS('Amex Transactions'!$G:$G,'Amex Transactions'!$C:$C,A667,'Amex Transactions'!$G:$G,"&gt;0")</f>
        <v/>
      </c>
      <c r="F667" s="11" t="n">
        <v>45879</v>
      </c>
      <c r="G667" s="10">
        <f>IF(COUNTIFS('Amex Transactions'!$C:$C,A667,'Amex Transactions'!$I:$I,"Check")&gt;0,"Check","")</f>
        <v/>
      </c>
    </row>
    <row r="668">
      <c r="A668" s="10" t="inlineStr">
        <is>
          <t>POL BASED HANNAM KEOPISE SEOUL</t>
        </is>
      </c>
      <c r="B668" s="10">
        <f>IFERROR(INDEX('Review Items'!$D:$D,MATCH(A668,'Review Items'!$B:$B,0)),IFERROR(INDEX('Rule Updates'!$B:$B,MATCH(A668,'Rule Updates'!$A:$A,0)),"Uncategorised"))</f>
        <v/>
      </c>
      <c r="C668" s="10">
        <f>IFERROR(INDEX('Review Items'!$E:$E,MATCH(A668,'Review Items'!$B:$B,0)),IFERROR(INDEX('Rule Updates'!$C:$C,MATCH(A668,'Rule Updates'!$A:$A,0)),"Review"))</f>
        <v/>
      </c>
      <c r="D668" s="10">
        <f>COUNTIF('Amex Transactions'!$C:$C,A668)</f>
        <v/>
      </c>
      <c r="E668" s="10">
        <f>SUMIFS('Amex Transactions'!$G:$G,'Amex Transactions'!$C:$C,A668,'Amex Transactions'!$G:$G,"&gt;0")</f>
        <v/>
      </c>
      <c r="F668" s="11" t="n">
        <v>45968</v>
      </c>
      <c r="G668" s="10">
        <f>IF(COUNTIFS('Amex Transactions'!$C:$C,A668,'Amex Transactions'!$I:$I,"Check")&gt;0,"Check","")</f>
        <v/>
      </c>
    </row>
    <row r="669">
      <c r="A669" s="10" t="inlineStr">
        <is>
          <t>Skye Cafe meng t ian j u n</t>
        </is>
      </c>
      <c r="B669" s="10">
        <f>IFERROR(INDEX('Review Items'!$D:$D,MATCH(A669,'Review Items'!$B:$B,0)),IFERROR(INDEX('Rule Updates'!$B:$B,MATCH(A669,'Rule Updates'!$A:$A,0)),"Uncategorised"))</f>
        <v/>
      </c>
      <c r="C669" s="10">
        <f>IFERROR(INDEX('Review Items'!$E:$E,MATCH(A669,'Review Items'!$B:$B,0)),IFERROR(INDEX('Rule Updates'!$C:$C,MATCH(A669,'Rule Updates'!$A:$A,0)),"Review"))</f>
        <v/>
      </c>
      <c r="D669" s="10">
        <f>COUNTIF('Amex Transactions'!$C:$C,A669)</f>
        <v/>
      </c>
      <c r="E669" s="10">
        <f>SUMIFS('Amex Transactions'!$G:$G,'Amex Transactions'!$C:$C,A669,'Amex Transactions'!$G:$G,"&gt;0")</f>
        <v/>
      </c>
      <c r="F669" s="11" t="n">
        <v>46080</v>
      </c>
      <c r="G669" s="10">
        <f>IF(COUNTIFS('Amex Transactions'!$C:$C,A669,'Amex Transactions'!$I:$I,"Check")&gt;0,"Check","")</f>
        <v/>
      </c>
    </row>
    <row r="670">
      <c r="A670" s="10" t="inlineStr">
        <is>
          <t>MOUNTAIN KIOSK CO FF EE meng t ian j u n</t>
        </is>
      </c>
      <c r="B670" s="10">
        <f>IFERROR(INDEX('Review Items'!$D:$D,MATCH(A670,'Review Items'!$B:$B,0)),IFERROR(INDEX('Rule Updates'!$B:$B,MATCH(A670,'Rule Updates'!$A:$A,0)),"Uncategorised"))</f>
        <v/>
      </c>
      <c r="C670" s="10">
        <f>IFERROR(INDEX('Review Items'!$E:$E,MATCH(A670,'Review Items'!$B:$B,0)),IFERROR(INDEX('Rule Updates'!$C:$C,MATCH(A670,'Rule Updates'!$A:$A,0)),"Review"))</f>
        <v/>
      </c>
      <c r="D670" s="10">
        <f>COUNTIF('Amex Transactions'!$C:$C,A670)</f>
        <v/>
      </c>
      <c r="E670" s="10">
        <f>SUMIFS('Amex Transactions'!$G:$G,'Amex Transactions'!$C:$C,A670,'Amex Transactions'!$G:$G,"&gt;0")</f>
        <v/>
      </c>
      <c r="F670" s="11" t="n">
        <v>46082</v>
      </c>
      <c r="G670" s="10">
        <f>IF(COUNTIFS('Amex Transactions'!$C:$C,A670,'Amex Transactions'!$I:$I,"Check")&gt;0,"Check","")</f>
        <v/>
      </c>
    </row>
    <row r="671">
      <c r="A671" s="10" t="inlineStr">
        <is>
          <t>THIS WAY CANTEEN SYDNEY</t>
        </is>
      </c>
      <c r="B671" s="10">
        <f>IFERROR(INDEX('Review Items'!$D:$D,MATCH(A671,'Review Items'!$B:$B,0)),IFERROR(INDEX('Rule Updates'!$B:$B,MATCH(A671,'Rule Updates'!$A:$A,0)),"Uncategorised"))</f>
        <v/>
      </c>
      <c r="C671" s="10">
        <f>IFERROR(INDEX('Review Items'!$E:$E,MATCH(A671,'Review Items'!$B:$B,0)),IFERROR(INDEX('Rule Updates'!$C:$C,MATCH(A671,'Rule Updates'!$A:$A,0)),"Review"))</f>
        <v/>
      </c>
      <c r="D671" s="10">
        <f>COUNTIF('Amex Transactions'!$C:$C,A671)</f>
        <v/>
      </c>
      <c r="E671" s="10">
        <f>SUMIFS('Amex Transactions'!$G:$G,'Amex Transactions'!$C:$C,A671,'Amex Transactions'!$G:$G,"&gt;0")</f>
        <v/>
      </c>
      <c r="F671" s="11" t="n">
        <v>45657</v>
      </c>
      <c r="G671" s="10">
        <f>IF(COUNTIFS('Amex Transactions'!$C:$C,A671,'Amex Transactions'!$I:$I,"Check")&gt;0,"Check","")</f>
        <v/>
      </c>
    </row>
    <row r="672">
      <c r="A672" s="10" t="inlineStr">
        <is>
          <t>UMEZONOSANJOTERAMACHI AKYOTO</t>
        </is>
      </c>
      <c r="B672" s="10">
        <f>IFERROR(INDEX('Review Items'!$D:$D,MATCH(A672,'Review Items'!$B:$B,0)),IFERROR(INDEX('Rule Updates'!$B:$B,MATCH(A672,'Rule Updates'!$A:$A,0)),"Uncategorised"))</f>
        <v/>
      </c>
      <c r="C672" s="10">
        <f>IFERROR(INDEX('Review Items'!$E:$E,MATCH(A672,'Review Items'!$B:$B,0)),IFERROR(INDEX('Rule Updates'!$C:$C,MATCH(A672,'Rule Updates'!$A:$A,0)),"Review"))</f>
        <v/>
      </c>
      <c r="D672" s="10">
        <f>COUNTIF('Amex Transactions'!$C:$C,A672)</f>
        <v/>
      </c>
      <c r="E672" s="10">
        <f>SUMIFS('Amex Transactions'!$G:$G,'Amex Transactions'!$C:$C,A672,'Amex Transactions'!$G:$G,"&gt;0")</f>
        <v/>
      </c>
      <c r="F672" s="11" t="n">
        <v>45640</v>
      </c>
      <c r="G672" s="10">
        <f>IF(COUNTIFS('Amex Transactions'!$C:$C,A672,'Amex Transactions'!$I:$I,"Check")&gt;0,"Check","")</f>
        <v/>
      </c>
    </row>
    <row r="673">
      <c r="A673" s="10" t="inlineStr">
        <is>
          <t>He ll o Pharmacy INCHEON</t>
        </is>
      </c>
      <c r="B673" s="10">
        <f>IFERROR(INDEX('Review Items'!$D:$D,MATCH(A673,'Review Items'!$B:$B,0)),IFERROR(INDEX('Rule Updates'!$B:$B,MATCH(A673,'Rule Updates'!$A:$A,0)),"Uncategorised"))</f>
        <v/>
      </c>
      <c r="C673" s="10">
        <f>IFERROR(INDEX('Review Items'!$E:$E,MATCH(A673,'Review Items'!$B:$B,0)),IFERROR(INDEX('Rule Updates'!$C:$C,MATCH(A673,'Rule Updates'!$A:$A,0)),"Review"))</f>
        <v/>
      </c>
      <c r="D673" s="10">
        <f>COUNTIF('Amex Transactions'!$C:$C,A673)</f>
        <v/>
      </c>
      <c r="E673" s="10">
        <f>SUMIFS('Amex Transactions'!$G:$G,'Amex Transactions'!$C:$C,A673,'Amex Transactions'!$G:$G,"&gt;0")</f>
        <v/>
      </c>
      <c r="F673" s="11" t="n">
        <v>45975</v>
      </c>
      <c r="G673" s="10">
        <f>IF(COUNTIFS('Amex Transactions'!$C:$C,A673,'Amex Transactions'!$I:$I,"Check")&gt;0,"Check","")</f>
        <v/>
      </c>
    </row>
    <row r="674">
      <c r="A674" s="10" t="inlineStr">
        <is>
          <t>TUCKERBOX Paddington</t>
        </is>
      </c>
      <c r="B674" s="10">
        <f>IFERROR(INDEX('Review Items'!$D:$D,MATCH(A674,'Review Items'!$B:$B,0)),IFERROR(INDEX('Rule Updates'!$B:$B,MATCH(A674,'Rule Updates'!$A:$A,0)),"Uncategorised"))</f>
        <v/>
      </c>
      <c r="C674" s="10">
        <f>IFERROR(INDEX('Review Items'!$E:$E,MATCH(A674,'Review Items'!$B:$B,0)),IFERROR(INDEX('Rule Updates'!$C:$C,MATCH(A674,'Rule Updates'!$A:$A,0)),"Review"))</f>
        <v/>
      </c>
      <c r="D674" s="10">
        <f>COUNTIF('Amex Transactions'!$C:$C,A674)</f>
        <v/>
      </c>
      <c r="E674" s="10">
        <f>SUMIFS('Amex Transactions'!$G:$G,'Amex Transactions'!$C:$C,A674,'Amex Transactions'!$G:$G,"&gt;0")</f>
        <v/>
      </c>
      <c r="F674" s="11" t="n">
        <v>45866</v>
      </c>
      <c r="G674" s="10">
        <f>IF(COUNTIFS('Amex Transactions'!$C:$C,A674,'Amex Transactions'!$I:$I,"Check")&gt;0,"Check","")</f>
        <v/>
      </c>
    </row>
    <row r="675">
      <c r="A675" s="10" t="inlineStr">
        <is>
          <t>( JOO ) OSEOLLOK JEOI JOOJ E J U-DO</t>
        </is>
      </c>
      <c r="B675" s="10">
        <f>IFERROR(INDEX('Review Items'!$D:$D,MATCH(A675,'Review Items'!$B:$B,0)),IFERROR(INDEX('Rule Updates'!$B:$B,MATCH(A675,'Rule Updates'!$A:$A,0)),"Uncategorised"))</f>
        <v/>
      </c>
      <c r="C675" s="10">
        <f>IFERROR(INDEX('Review Items'!$E:$E,MATCH(A675,'Review Items'!$B:$B,0)),IFERROR(INDEX('Rule Updates'!$C:$C,MATCH(A675,'Rule Updates'!$A:$A,0)),"Review"))</f>
        <v/>
      </c>
      <c r="D675" s="10">
        <f>COUNTIF('Amex Transactions'!$C:$C,A675)</f>
        <v/>
      </c>
      <c r="E675" s="10">
        <f>SUMIFS('Amex Transactions'!$G:$G,'Amex Transactions'!$C:$C,A675,'Amex Transactions'!$G:$G,"&gt;0")</f>
        <v/>
      </c>
      <c r="F675" s="11" t="n">
        <v>45970</v>
      </c>
      <c r="G675" s="10">
        <f>IF(COUNTIFS('Amex Transactions'!$C:$C,A675,'Amex Transactions'!$I:$I,"Check")&gt;0,"Check","")</f>
        <v/>
      </c>
    </row>
    <row r="676">
      <c r="A676" s="10" t="inlineStr">
        <is>
          <t>KPAY * TROIS 000000000000 HONG KONG</t>
        </is>
      </c>
      <c r="B676" s="10">
        <f>IFERROR(INDEX('Review Items'!$D:$D,MATCH(A676,'Review Items'!$B:$B,0)),IFERROR(INDEX('Rule Updates'!$B:$B,MATCH(A676,'Rule Updates'!$A:$A,0)),"Uncategorised"))</f>
        <v/>
      </c>
      <c r="C676" s="10">
        <f>IFERROR(INDEX('Review Items'!$E:$E,MATCH(A676,'Review Items'!$B:$B,0)),IFERROR(INDEX('Rule Updates'!$C:$C,MATCH(A676,'Rule Updates'!$A:$A,0)),"Review"))</f>
        <v/>
      </c>
      <c r="D676" s="10">
        <f>COUNTIF('Amex Transactions'!$C:$C,A676)</f>
        <v/>
      </c>
      <c r="E676" s="10">
        <f>SUMIFS('Amex Transactions'!$G:$G,'Amex Transactions'!$C:$C,A676,'Amex Transactions'!$G:$G,"&gt;0")</f>
        <v/>
      </c>
      <c r="F676" s="11" t="n">
        <v>45897</v>
      </c>
      <c r="G676" s="10">
        <f>IF(COUNTIFS('Amex Transactions'!$C:$C,A676,'Amex Transactions'!$I:$I,"Check")&gt;0,"Check","")</f>
        <v/>
      </c>
    </row>
    <row r="677">
      <c r="A677" s="10" t="inlineStr">
        <is>
          <t>SEICOMART NISEKOHIRAFU HOKKAIDO</t>
        </is>
      </c>
      <c r="B677" s="10">
        <f>IFERROR(INDEX('Review Items'!$D:$D,MATCH(A677,'Review Items'!$B:$B,0)),IFERROR(INDEX('Rule Updates'!$B:$B,MATCH(A677,'Rule Updates'!$A:$A,0)),"Uncategorised"))</f>
        <v/>
      </c>
      <c r="C677" s="10">
        <f>IFERROR(INDEX('Review Items'!$E:$E,MATCH(A677,'Review Items'!$B:$B,0)),IFERROR(INDEX('Rule Updates'!$C:$C,MATCH(A677,'Rule Updates'!$A:$A,0)),"Review"))</f>
        <v/>
      </c>
      <c r="D677" s="10">
        <f>COUNTIF('Amex Transactions'!$C:$C,A677)</f>
        <v/>
      </c>
      <c r="E677" s="10">
        <f>SUMIFS('Amex Transactions'!$G:$G,'Amex Transactions'!$C:$C,A677,'Amex Transactions'!$G:$G,"&gt;0")</f>
        <v/>
      </c>
      <c r="F677" s="11" t="n">
        <v>45722</v>
      </c>
      <c r="G677" s="10">
        <f>IF(COUNTIFS('Amex Transactions'!$C:$C,A677,'Amex Transactions'!$I:$I,"Check")&gt;0,"Check","")</f>
        <v/>
      </c>
    </row>
    <row r="678">
      <c r="A678" s="10" t="inlineStr">
        <is>
          <t>EPHEMERA SEOUL</t>
        </is>
      </c>
      <c r="B678" s="10">
        <f>IFERROR(INDEX('Review Items'!$D:$D,MATCH(A678,'Review Items'!$B:$B,0)),IFERROR(INDEX('Rule Updates'!$B:$B,MATCH(A678,'Rule Updates'!$A:$A,0)),"Uncategorised"))</f>
        <v/>
      </c>
      <c r="C678" s="10">
        <f>IFERROR(INDEX('Review Items'!$E:$E,MATCH(A678,'Review Items'!$B:$B,0)),IFERROR(INDEX('Rule Updates'!$C:$C,MATCH(A678,'Rule Updates'!$A:$A,0)),"Review"))</f>
        <v/>
      </c>
      <c r="D678" s="10">
        <f>COUNTIF('Amex Transactions'!$C:$C,A678)</f>
        <v/>
      </c>
      <c r="E678" s="10">
        <f>SUMIFS('Amex Transactions'!$G:$G,'Amex Transactions'!$C:$C,A678,'Amex Transactions'!$G:$G,"&gt;0")</f>
        <v/>
      </c>
      <c r="F678" s="11" t="n">
        <v>45968</v>
      </c>
      <c r="G678" s="10">
        <f>IF(COUNTIFS('Amex Transactions'!$C:$C,A678,'Amex Transactions'!$I:$I,"Check")&gt;0,"Check","")</f>
        <v/>
      </c>
    </row>
    <row r="679">
      <c r="A679" s="10" t="inlineStr">
        <is>
          <t>WW METRO 1669 CENTRAL SSURRY HILLS</t>
        </is>
      </c>
      <c r="B679" s="10">
        <f>IFERROR(INDEX('Review Items'!$D:$D,MATCH(A679,'Review Items'!$B:$B,0)),IFERROR(INDEX('Rule Updates'!$B:$B,MATCH(A679,'Rule Updates'!$A:$A,0)),"Uncategorised"))</f>
        <v/>
      </c>
      <c r="C679" s="10">
        <f>IFERROR(INDEX('Review Items'!$E:$E,MATCH(A679,'Review Items'!$B:$B,0)),IFERROR(INDEX('Rule Updates'!$C:$C,MATCH(A679,'Rule Updates'!$A:$A,0)),"Review"))</f>
        <v/>
      </c>
      <c r="D679" s="10">
        <f>COUNTIF('Amex Transactions'!$C:$C,A679)</f>
        <v/>
      </c>
      <c r="E679" s="10">
        <f>SUMIFS('Amex Transactions'!$G:$G,'Amex Transactions'!$C:$C,A679,'Amex Transactions'!$G:$G,"&gt;0")</f>
        <v/>
      </c>
      <c r="F679" s="11" t="n">
        <v>45881</v>
      </c>
      <c r="G679" s="10">
        <f>IF(COUNTIFS('Amex Transactions'!$C:$C,A679,'Amex Transactions'!$I:$I,"Check")&gt;0,"Check","")</f>
        <v/>
      </c>
    </row>
    <row r="680">
      <c r="A680" s="10" t="inlineStr">
        <is>
          <t>KPAY*SILK TEA 000000000 HONG KONG</t>
        </is>
      </c>
      <c r="B680" s="10">
        <f>IFERROR(INDEX('Review Items'!$D:$D,MATCH(A680,'Review Items'!$B:$B,0)),IFERROR(INDEX('Rule Updates'!$B:$B,MATCH(A680,'Rule Updates'!$A:$A,0)),"Uncategorised"))</f>
        <v/>
      </c>
      <c r="C680" s="10">
        <f>IFERROR(INDEX('Review Items'!$E:$E,MATCH(A680,'Review Items'!$B:$B,0)),IFERROR(INDEX('Rule Updates'!$C:$C,MATCH(A680,'Rule Updates'!$A:$A,0)),"Review"))</f>
        <v/>
      </c>
      <c r="D680" s="10">
        <f>COUNTIF('Amex Transactions'!$C:$C,A680)</f>
        <v/>
      </c>
      <c r="E680" s="10">
        <f>SUMIFS('Amex Transactions'!$G:$G,'Amex Transactions'!$C:$C,A680,'Amex Transactions'!$G:$G,"&gt;0")</f>
        <v/>
      </c>
      <c r="F680" s="11" t="n">
        <v>45645</v>
      </c>
      <c r="G680" s="10">
        <f>IF(COUNTIFS('Amex Transactions'!$C:$C,A680,'Amex Transactions'!$I:$I,"Check")&gt;0,"Check","")</f>
        <v/>
      </c>
    </row>
    <row r="681">
      <c r="A681" s="10" t="inlineStr">
        <is>
          <t>TFL TRAVEL CHARGE TFL.GOV.UK/CP</t>
        </is>
      </c>
      <c r="B681" s="10">
        <f>IFERROR(INDEX('Review Items'!$D:$D,MATCH(A681,'Review Items'!$B:$B,0)),IFERROR(INDEX('Rule Updates'!$B:$B,MATCH(A681,'Rule Updates'!$A:$A,0)),"Uncategorised"))</f>
        <v/>
      </c>
      <c r="C681" s="10">
        <f>IFERROR(INDEX('Review Items'!$E:$E,MATCH(A681,'Review Items'!$B:$B,0)),IFERROR(INDEX('Rule Updates'!$C:$C,MATCH(A681,'Rule Updates'!$A:$A,0)),"Review"))</f>
        <v/>
      </c>
      <c r="D681" s="10">
        <f>COUNTIF('Amex Transactions'!$C:$C,A681)</f>
        <v/>
      </c>
      <c r="E681" s="10">
        <f>SUMIFS('Amex Transactions'!$G:$G,'Amex Transactions'!$C:$C,A681,'Amex Transactions'!$G:$G,"&gt;0")</f>
        <v/>
      </c>
      <c r="F681" s="11" t="n">
        <v>45839</v>
      </c>
      <c r="G681" s="10">
        <f>IF(COUNTIFS('Amex Transactions'!$C:$C,A681,'Amex Transactions'!$I:$I,"Check")&gt;0,"Check","")</f>
        <v/>
      </c>
    </row>
    <row r="682">
      <c r="A682" s="10" t="inlineStr">
        <is>
          <t>WW METRO 1527 THE KITCH DOUBLE BAY</t>
        </is>
      </c>
      <c r="B682" s="10">
        <f>IFERROR(INDEX('Review Items'!$D:$D,MATCH(A682,'Review Items'!$B:$B,0)),IFERROR(INDEX('Rule Updates'!$B:$B,MATCH(A682,'Rule Updates'!$A:$A,0)),"Uncategorised"))</f>
        <v/>
      </c>
      <c r="C682" s="10">
        <f>IFERROR(INDEX('Review Items'!$E:$E,MATCH(A682,'Review Items'!$B:$B,0)),IFERROR(INDEX('Rule Updates'!$C:$C,MATCH(A682,'Rule Updates'!$A:$A,0)),"Review"))</f>
        <v/>
      </c>
      <c r="D682" s="10">
        <f>COUNTIF('Amex Transactions'!$C:$C,A682)</f>
        <v/>
      </c>
      <c r="E682" s="10">
        <f>SUMIFS('Amex Transactions'!$G:$G,'Amex Transactions'!$C:$C,A682,'Amex Transactions'!$G:$G,"&gt;0")</f>
        <v/>
      </c>
      <c r="F682" s="11" t="n">
        <v>45666</v>
      </c>
      <c r="G682" s="10">
        <f>IF(COUNTIFS('Amex Transactions'!$C:$C,A682,'Amex Transactions'!$I:$I,"Check")&gt;0,"Check","")</f>
        <v/>
      </c>
    </row>
    <row r="683">
      <c r="A683" s="10" t="inlineStr">
        <is>
          <t>CHEVRON 0090206/CHEVRON MILLBRAE</t>
        </is>
      </c>
      <c r="B683" s="10">
        <f>IFERROR(INDEX('Review Items'!$D:$D,MATCH(A683,'Review Items'!$B:$B,0)),IFERROR(INDEX('Rule Updates'!$B:$B,MATCH(A683,'Rule Updates'!$A:$A,0)),"Uncategorised"))</f>
        <v/>
      </c>
      <c r="C683" s="10">
        <f>IFERROR(INDEX('Review Items'!$E:$E,MATCH(A683,'Review Items'!$B:$B,0)),IFERROR(INDEX('Rule Updates'!$C:$C,MATCH(A683,'Rule Updates'!$A:$A,0)),"Review"))</f>
        <v/>
      </c>
      <c r="D683" s="10">
        <f>COUNTIF('Amex Transactions'!$C:$C,A683)</f>
        <v/>
      </c>
      <c r="E683" s="10">
        <f>SUMIFS('Amex Transactions'!$G:$G,'Amex Transactions'!$C:$C,A683,'Amex Transactions'!$G:$G,"&gt;0")</f>
        <v/>
      </c>
      <c r="F683" s="11" t="n">
        <v>45796</v>
      </c>
      <c r="G683" s="10">
        <f>IF(COUNTIFS('Amex Transactions'!$C:$C,A683,'Amex Transactions'!$I:$I,"Check")&gt;0,"Check","")</f>
        <v/>
      </c>
    </row>
    <row r="684">
      <c r="A684" s="10" t="inlineStr">
        <is>
          <t>LA WSON *</t>
        </is>
      </c>
      <c r="B684" s="10">
        <f>IFERROR(INDEX('Review Items'!$D:$D,MATCH(A684,'Review Items'!$B:$B,0)),IFERROR(INDEX('Rule Updates'!$B:$B,MATCH(A684,'Rule Updates'!$A:$A,0)),"Uncategorised"))</f>
        <v/>
      </c>
      <c r="C684" s="10">
        <f>IFERROR(INDEX('Review Items'!$E:$E,MATCH(A684,'Review Items'!$B:$B,0)),IFERROR(INDEX('Rule Updates'!$C:$C,MATCH(A684,'Rule Updates'!$A:$A,0)),"Review"))</f>
        <v/>
      </c>
      <c r="D684" s="10">
        <f>COUNTIF('Amex Transactions'!$C:$C,A684)</f>
        <v/>
      </c>
      <c r="E684" s="10">
        <f>SUMIFS('Amex Transactions'!$G:$G,'Amex Transactions'!$C:$C,A684,'Amex Transactions'!$G:$G,"&gt;0")</f>
        <v/>
      </c>
      <c r="F684" s="11" t="n">
        <v>46084</v>
      </c>
      <c r="G684" s="10">
        <f>IF(COUNTIFS('Amex Transactions'!$C:$C,A684,'Amex Transactions'!$I:$I,"Check")&gt;0,"Check","")</f>
        <v/>
      </c>
    </row>
    <row r="685">
      <c r="A685" s="10" t="inlineStr">
        <is>
          <t>JIESEU 25 INCHEONGONGHANG INCHEON</t>
        </is>
      </c>
      <c r="B685" s="10">
        <f>IFERROR(INDEX('Review Items'!$D:$D,MATCH(A685,'Review Items'!$B:$B,0)),IFERROR(INDEX('Rule Updates'!$B:$B,MATCH(A685,'Rule Updates'!$A:$A,0)),"Uncategorised"))</f>
        <v/>
      </c>
      <c r="C685" s="10">
        <f>IFERROR(INDEX('Review Items'!$E:$E,MATCH(A685,'Review Items'!$B:$B,0)),IFERROR(INDEX('Rule Updates'!$C:$C,MATCH(A685,'Rule Updates'!$A:$A,0)),"Review"))</f>
        <v/>
      </c>
      <c r="D685" s="10">
        <f>COUNTIF('Amex Transactions'!$C:$C,A685)</f>
        <v/>
      </c>
      <c r="E685" s="10">
        <f>SUMIFS('Amex Transactions'!$G:$G,'Amex Transactions'!$C:$C,A685,'Amex Transactions'!$G:$G,"&gt;0")</f>
        <v/>
      </c>
      <c r="F685" s="11" t="n">
        <v>45934</v>
      </c>
      <c r="G685" s="10">
        <f>IF(COUNTIFS('Amex Transactions'!$C:$C,A685,'Amex Transactions'!$I:$I,"Check")&gt;0,"Check","")</f>
        <v/>
      </c>
    </row>
    <row r="686">
      <c r="A686" s="10" t="inlineStr">
        <is>
          <t>COLD STORAGE FRESH KIM SINGAPORE</t>
        </is>
      </c>
      <c r="B686" s="10">
        <f>IFERROR(INDEX('Review Items'!$D:$D,MATCH(A686,'Review Items'!$B:$B,0)),IFERROR(INDEX('Rule Updates'!$B:$B,MATCH(A686,'Rule Updates'!$A:$A,0)),"Uncategorised"))</f>
        <v/>
      </c>
      <c r="C686" s="10">
        <f>IFERROR(INDEX('Review Items'!$E:$E,MATCH(A686,'Review Items'!$B:$B,0)),IFERROR(INDEX('Rule Updates'!$C:$C,MATCH(A686,'Rule Updates'!$A:$A,0)),"Review"))</f>
        <v/>
      </c>
      <c r="D686" s="10">
        <f>COUNTIF('Amex Transactions'!$C:$C,A686)</f>
        <v/>
      </c>
      <c r="E686" s="10">
        <f>SUMIFS('Amex Transactions'!$G:$G,'Amex Transactions'!$C:$C,A686,'Amex Transactions'!$G:$G,"&gt;0")</f>
        <v/>
      </c>
      <c r="F686" s="11" t="n">
        <v>45548</v>
      </c>
      <c r="G686" s="10">
        <f>IF(COUNTIFS('Amex Transactions'!$C:$C,A686,'Amex Transactions'!$I:$I,"Check")&gt;0,"Check","")</f>
        <v/>
      </c>
    </row>
    <row r="687">
      <c r="A687" s="10" t="inlineStr">
        <is>
          <t>AMAZON.CO.UK*UW4HA5C25 353-12477661</t>
        </is>
      </c>
      <c r="B687" s="10">
        <f>IFERROR(INDEX('Review Items'!$D:$D,MATCH(A687,'Review Items'!$B:$B,0)),IFERROR(INDEX('Rule Updates'!$B:$B,MATCH(A687,'Rule Updates'!$A:$A,0)),"Uncategorised"))</f>
        <v/>
      </c>
      <c r="C687" s="10">
        <f>IFERROR(INDEX('Review Items'!$E:$E,MATCH(A687,'Review Items'!$B:$B,0)),IFERROR(INDEX('Rule Updates'!$C:$C,MATCH(A687,'Rule Updates'!$A:$A,0)),"Review"))</f>
        <v/>
      </c>
      <c r="D687" s="10">
        <f>COUNTIF('Amex Transactions'!$C:$C,A687)</f>
        <v/>
      </c>
      <c r="E687" s="10">
        <f>SUMIFS('Amex Transactions'!$G:$G,'Amex Transactions'!$C:$C,A687,'Amex Transactions'!$G:$G,"&gt;0")</f>
        <v/>
      </c>
      <c r="F687" s="11" t="n">
        <v>45814</v>
      </c>
      <c r="G687" s="10">
        <f>IF(COUNTIFS('Amex Transactions'!$C:$C,A687,'Amex Transactions'!$I:$I,"Check")&gt;0,"Check","")</f>
        <v/>
      </c>
    </row>
    <row r="688">
      <c r="A688" s="10" t="inlineStr">
        <is>
          <t>PAYMENT RECEIVED THROUGH AUTOPAY</t>
        </is>
      </c>
      <c r="B688" s="10">
        <f>IFERROR(INDEX('Review Items'!$D:$D,MATCH(A688,'Review Items'!$B:$B,0)),IFERROR(INDEX('Rule Updates'!$B:$B,MATCH(A688,'Rule Updates'!$A:$A,0)),"Uncategorised"))</f>
        <v/>
      </c>
      <c r="C688" s="10">
        <f>IFERROR(INDEX('Review Items'!$E:$E,MATCH(A688,'Review Items'!$B:$B,0)),IFERROR(INDEX('Rule Updates'!$C:$C,MATCH(A688,'Rule Updates'!$A:$A,0)),"Review"))</f>
        <v/>
      </c>
      <c r="D688" s="10">
        <f>COUNTIF('Amex Transactions'!$C:$C,A688)</f>
        <v/>
      </c>
      <c r="E688" s="10">
        <f>SUMIFS('Amex Transactions'!$G:$G,'Amex Transactions'!$C:$C,A688,'Amex Transactions'!$G:$G,"&gt;0")</f>
        <v/>
      </c>
      <c r="F688" s="11" t="n">
        <v>46090</v>
      </c>
      <c r="G688" s="10">
        <f>IF(COUNTIFS('Amex Transactions'!$C:$C,A688,'Amex Transactions'!$I:$I,"Check")&gt;0,"Check","")</f>
        <v/>
      </c>
    </row>
    <row r="689">
      <c r="A689" s="10" t="inlineStr">
        <is>
          <t>SP SOLACE LONDON LONDON</t>
        </is>
      </c>
      <c r="B689" s="10">
        <f>IFERROR(INDEX('Review Items'!$D:$D,MATCH(A689,'Review Items'!$B:$B,0)),IFERROR(INDEX('Rule Updates'!$B:$B,MATCH(A689,'Rule Updates'!$A:$A,0)),"Uncategorised"))</f>
        <v/>
      </c>
      <c r="C689" s="10">
        <f>IFERROR(INDEX('Review Items'!$E:$E,MATCH(A689,'Review Items'!$B:$B,0)),IFERROR(INDEX('Rule Updates'!$C:$C,MATCH(A689,'Rule Updates'!$A:$A,0)),"Review"))</f>
        <v/>
      </c>
      <c r="D689" s="10">
        <f>COUNTIF('Amex Transactions'!$C:$C,A689)</f>
        <v/>
      </c>
      <c r="E689" s="10">
        <f>SUMIFS('Amex Transactions'!$G:$G,'Amex Transactions'!$C:$C,A689,'Amex Transactions'!$G:$G,"&gt;0")</f>
        <v/>
      </c>
      <c r="F689" s="11" t="n">
        <v>45559</v>
      </c>
      <c r="G689" s="10">
        <f>IF(COUNTIFS('Amex Transactions'!$C:$C,A689,'Amex Transactions'!$I:$I,"Check")&gt;0,"Check","")</f>
        <v/>
      </c>
    </row>
    <row r="690">
      <c r="A690" s="10" t="inlineStr">
        <is>
          <t>AUSTRALIA CUSTOMS 60800 CANBERRA</t>
        </is>
      </c>
      <c r="B690" s="10">
        <f>IFERROR(INDEX('Review Items'!$D:$D,MATCH(A690,'Review Items'!$B:$B,0)),IFERROR(INDEX('Rule Updates'!$B:$B,MATCH(A690,'Rule Updates'!$A:$A,0)),"Uncategorised"))</f>
        <v/>
      </c>
      <c r="C690" s="10">
        <f>IFERROR(INDEX('Review Items'!$E:$E,MATCH(A690,'Review Items'!$B:$B,0)),IFERROR(INDEX('Rule Updates'!$C:$C,MATCH(A690,'Rule Updates'!$A:$A,0)),"Review"))</f>
        <v/>
      </c>
      <c r="D690" s="10">
        <f>COUNTIF('Amex Transactions'!$C:$C,A690)</f>
        <v/>
      </c>
      <c r="E690" s="10">
        <f>SUMIFS('Amex Transactions'!$G:$G,'Amex Transactions'!$C:$C,A690,'Amex Transactions'!$G:$G,"&gt;0")</f>
        <v/>
      </c>
      <c r="F690" s="11" t="n">
        <v>45673</v>
      </c>
      <c r="G690" s="10">
        <f>IF(COUNTIFS('Amex Transactions'!$C:$C,A690,'Amex Transactions'!$I:$I,"Check")&gt;0,"Check","")</f>
        <v/>
      </c>
    </row>
    <row r="691">
      <c r="A691" s="10" t="inlineStr">
        <is>
          <t>PAY MENT RECEIVED THROUGH AUTOPAY</t>
        </is>
      </c>
      <c r="B691" s="10">
        <f>IFERROR(INDEX('Review Items'!$D:$D,MATCH(A691,'Review Items'!$B:$B,0)),IFERROR(INDEX('Rule Updates'!$B:$B,MATCH(A691,'Rule Updates'!$A:$A,0)),"Uncategorised"))</f>
        <v/>
      </c>
      <c r="C691" s="10">
        <f>IFERROR(INDEX('Review Items'!$E:$E,MATCH(A691,'Review Items'!$B:$B,0)),IFERROR(INDEX('Rule Updates'!$C:$C,MATCH(A691,'Rule Updates'!$A:$A,0)),"Review"))</f>
        <v/>
      </c>
      <c r="D691" s="10">
        <f>COUNTIF('Amex Transactions'!$C:$C,A691)</f>
        <v/>
      </c>
      <c r="E691" s="10">
        <f>SUMIFS('Amex Transactions'!$G:$G,'Amex Transactions'!$C:$C,A691,'Amex Transactions'!$G:$G,"&gt;0")</f>
        <v/>
      </c>
      <c r="F691" s="11" t="n">
        <v>45999</v>
      </c>
      <c r="G691" s="10">
        <f>IF(COUNTIFS('Amex Transactions'!$C:$C,A691,'Amex Transactions'!$I:$I,"Check")&gt;0,"Check","")</f>
        <v/>
      </c>
    </row>
    <row r="692">
      <c r="A692" s="10" t="inlineStr">
        <is>
          <t>TUMI ASIA LIMITED</t>
        </is>
      </c>
      <c r="B692" s="10">
        <f>IFERROR(INDEX('Review Items'!$D:$D,MATCH(A692,'Review Items'!$B:$B,0)),IFERROR(INDEX('Rule Updates'!$B:$B,MATCH(A692,'Rule Updates'!$A:$A,0)),"Uncategorised"))</f>
        <v/>
      </c>
      <c r="C692" s="10">
        <f>IFERROR(INDEX('Review Items'!$E:$E,MATCH(A692,'Review Items'!$B:$B,0)),IFERROR(INDEX('Rule Updates'!$C:$C,MATCH(A692,'Rule Updates'!$A:$A,0)),"Review"))</f>
        <v/>
      </c>
      <c r="D692" s="10">
        <f>COUNTIF('Amex Transactions'!$C:$C,A692)</f>
        <v/>
      </c>
      <c r="E692" s="10">
        <f>SUMIFS('Amex Transactions'!$G:$G,'Amex Transactions'!$C:$C,A692,'Amex Transactions'!$G:$G,"&gt;0")</f>
        <v/>
      </c>
      <c r="F692" s="11" t="n">
        <v>46076</v>
      </c>
      <c r="G692" s="10">
        <f>IF(COUNTIFS('Amex Transactions'!$C:$C,A692,'Amex Transactions'!$I:$I,"Check")&gt;0,"Check","")</f>
        <v/>
      </c>
    </row>
  </sheetData>
  <autoFilter ref="A4:G692"/>
  <dataValidations count="2">
    <dataValidation sqref="B5:B1192" showDropDown="0" showInputMessage="0" showErrorMessage="0" allowBlank="0" errorTitle="Invalid category" error="Choose a category from the list." type="list">
      <formula1>=Lists!$A$2:$A$36</formula1>
    </dataValidation>
    <dataValidation sqref="C5:C1192" showDropDown="0" showInputMessage="0" showErrorMessage="0" allowBlank="0" errorTitle="Invalid owner" error="Choose who this spend belongs to from the list.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8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50" customWidth="1" min="4" max="4"/>
    <col width="22" customWidth="1" min="5" max="5"/>
    <col width="16" customWidth="1" min="6" max="6"/>
    <col width="18" customWidth="1" min="7" max="7"/>
  </cols>
  <sheetData>
    <row r="1" ht="24" customHeight="1">
      <c r="A1" s="1" t="inlineStr">
        <is>
          <t>Review Items</t>
        </is>
      </c>
    </row>
    <row r="2">
      <c r="A2" s="2" t="inlineStr">
        <is>
          <t>Live queue of transactions that started without a complete category/owner.</t>
        </is>
      </c>
    </row>
    <row r="4">
      <c r="A4" s="7" t="inlineStr">
        <is>
          <t>Date</t>
        </is>
      </c>
      <c r="B4" s="7" t="inlineStr">
        <is>
          <t>Merchant</t>
        </is>
      </c>
      <c r="C4" s="7" t="inlineStr">
        <is>
          <t>Amount HKD</t>
        </is>
      </c>
      <c r="D4" s="7" t="inlineStr">
        <is>
          <t>Current Category</t>
        </is>
      </c>
      <c r="E4" s="7" t="inlineStr">
        <is>
          <t>Belongs To</t>
        </is>
      </c>
      <c r="F4" s="7" t="inlineStr">
        <is>
          <t>Statement</t>
        </is>
      </c>
      <c r="G4" s="7" t="inlineStr">
        <is>
          <t>Status</t>
        </is>
      </c>
    </row>
    <row r="5">
      <c r="A5" s="11" t="n">
        <v>45529</v>
      </c>
      <c r="B5" s="10" t="inlineStr">
        <is>
          <t>AZABUDAIHILLS TOKYO</t>
        </is>
      </c>
      <c r="C5" s="12" t="n">
        <v>3640.51</v>
      </c>
      <c r="D5" s="10" t="inlineStr">
        <is>
          <t>Uncategorised</t>
        </is>
      </c>
      <c r="E5" s="10" t="inlineStr">
        <is>
          <t>Review</t>
        </is>
      </c>
      <c r="F5" s="10" t="inlineStr">
        <is>
          <t>Amex Sep-2024</t>
        </is>
      </c>
      <c r="G5" s="10">
        <f>IF(OR(D5="Uncategorised",E5="",E5="Review"),"Needs category/owner","Resolved")</f>
        <v/>
      </c>
    </row>
    <row r="6">
      <c r="A6" s="11" t="n">
        <v>45536</v>
      </c>
      <c r="B6" s="10" t="inlineStr">
        <is>
          <t>LOOKOPTIC LOS ANGELES</t>
        </is>
      </c>
      <c r="C6" s="12" t="n">
        <v>1006.49</v>
      </c>
      <c r="D6" s="10" t="inlineStr">
        <is>
          <t>Uncategorised</t>
        </is>
      </c>
      <c r="E6" s="10" t="inlineStr">
        <is>
          <t>Review</t>
        </is>
      </c>
      <c r="F6" s="10" t="inlineStr">
        <is>
          <t>Amex Sep-2024</t>
        </is>
      </c>
      <c r="G6" s="10">
        <f>IF(OR(D6="Uncategorised",E6="",E6="Review"),"Needs category/owner","Resolved")</f>
        <v/>
      </c>
    </row>
    <row r="7">
      <c r="A7" s="11" t="n">
        <v>45536</v>
      </c>
      <c r="B7" s="10" t="inlineStr">
        <is>
          <t>LOOKOPTIC LOS ANGELES</t>
        </is>
      </c>
      <c r="C7" s="12" t="n">
        <v>444.43</v>
      </c>
      <c r="D7" s="10" t="inlineStr">
        <is>
          <t>Uncategorised</t>
        </is>
      </c>
      <c r="E7" s="10" t="inlineStr">
        <is>
          <t>Review</t>
        </is>
      </c>
      <c r="F7" s="10" t="inlineStr">
        <is>
          <t>Amex Sep-2024</t>
        </is>
      </c>
      <c r="G7" s="10">
        <f>IF(OR(D7="Uncategorised",E7="",E7="Review"),"Needs category/owner","Resolved")</f>
        <v/>
      </c>
    </row>
    <row r="8">
      <c r="A8" s="11" t="n">
        <v>45546</v>
      </c>
      <c r="B8" s="10" t="inlineStr">
        <is>
          <t>KPAY*MOMOGAWANOU 000000 HONG KONG</t>
        </is>
      </c>
      <c r="C8" s="12" t="n">
        <v>3340</v>
      </c>
      <c r="D8" s="10" t="inlineStr">
        <is>
          <t>Uncategorised</t>
        </is>
      </c>
      <c r="E8" s="10" t="inlineStr">
        <is>
          <t>Review</t>
        </is>
      </c>
      <c r="F8" s="10" t="inlineStr">
        <is>
          <t>Amex Sep-2024</t>
        </is>
      </c>
      <c r="G8" s="10">
        <f>IF(OR(D8="Uncategorised",E8="",E8="Review"),"Needs category/owner","Resolved")</f>
        <v/>
      </c>
    </row>
    <row r="9">
      <c r="A9" s="11" t="n">
        <v>45562</v>
      </c>
      <c r="B9" s="10" t="inlineStr">
        <is>
          <t>SOGO HONG KONG CO LTD CAUSEWAY BAY</t>
        </is>
      </c>
      <c r="C9" s="12" t="n">
        <v>120</v>
      </c>
      <c r="D9" s="10" t="inlineStr">
        <is>
          <t>Uncategorised</t>
        </is>
      </c>
      <c r="E9" s="10" t="inlineStr">
        <is>
          <t>Review</t>
        </is>
      </c>
      <c r="F9" s="10" t="inlineStr">
        <is>
          <t>Amex Oct-2024</t>
        </is>
      </c>
      <c r="G9" s="10">
        <f>IF(OR(D9="Uncategorised",E9="",E9="Review"),"Needs category/owner","Resolved")</f>
        <v/>
      </c>
    </row>
    <row r="10">
      <c r="A10" s="11" t="n">
        <v>45575</v>
      </c>
      <c r="B10" s="10" t="inlineStr">
        <is>
          <t>WWW.HYUNDAI.COM SINGAPORE</t>
        </is>
      </c>
      <c r="C10" s="12" t="n">
        <v>4742.32</v>
      </c>
      <c r="D10" s="10" t="inlineStr">
        <is>
          <t>Uncategorised</t>
        </is>
      </c>
      <c r="E10" s="10" t="inlineStr">
        <is>
          <t>Review</t>
        </is>
      </c>
      <c r="F10" s="10" t="inlineStr">
        <is>
          <t>Amex Oct-2024</t>
        </is>
      </c>
      <c r="G10" s="10">
        <f>IF(OR(D10="Uncategorised",E10="",E10="Review"),"Needs category/owner","Resolved")</f>
        <v/>
      </c>
    </row>
    <row r="11">
      <c r="A11" s="11" t="n">
        <v>45576</v>
      </c>
      <c r="B11" s="10" t="inlineStr">
        <is>
          <t>Alice Pizza CTRL HK</t>
        </is>
      </c>
      <c r="C11" s="12" t="n">
        <v>261.1</v>
      </c>
      <c r="D11" s="10" t="inlineStr">
        <is>
          <t>Uncategorised</t>
        </is>
      </c>
      <c r="E11" s="10" t="inlineStr">
        <is>
          <t>Review</t>
        </is>
      </c>
      <c r="F11" s="10" t="inlineStr">
        <is>
          <t>Amex Oct-2024</t>
        </is>
      </c>
      <c r="G11" s="10">
        <f>IF(OR(D11="Uncategorised",E11="",E11="Review"),"Needs category/owner","Resolved")</f>
        <v/>
      </c>
    </row>
    <row r="12">
      <c r="A12" s="11" t="n">
        <v>45588</v>
      </c>
      <c r="B12" s="10" t="inlineStr">
        <is>
          <t>WIX SQUARED LTD ST. MARTIN</t>
        </is>
      </c>
      <c r="C12" s="12" t="n">
        <v>32248.15</v>
      </c>
      <c r="D12" s="10" t="inlineStr">
        <is>
          <t>Uncategorised</t>
        </is>
      </c>
      <c r="E12" s="10" t="inlineStr">
        <is>
          <t>Review</t>
        </is>
      </c>
      <c r="F12" s="10" t="inlineStr">
        <is>
          <t>Amex Oct-2024</t>
        </is>
      </c>
      <c r="G12" s="10">
        <f>IF(OR(D12="Uncategorised",E12="",E12="Review"),"Needs category/owner","Resolved")</f>
        <v/>
      </c>
    </row>
    <row r="13">
      <c r="A13" s="11" t="n">
        <v>45589</v>
      </c>
      <c r="B13" s="10" t="inlineStr">
        <is>
          <t>PARAGON CENTRAL</t>
        </is>
      </c>
      <c r="C13" s="12" t="n">
        <v>242</v>
      </c>
      <c r="D13" s="10" t="inlineStr">
        <is>
          <t>Uncategorised</t>
        </is>
      </c>
      <c r="E13" s="10" t="inlineStr">
        <is>
          <t>Review</t>
        </is>
      </c>
      <c r="F13" s="10" t="inlineStr">
        <is>
          <t>Amex Oct-2024</t>
        </is>
      </c>
      <c r="G13" s="10">
        <f>IF(OR(D13="Uncategorised",E13="",E13="Review"),"Needs category/owner","Resolved")</f>
        <v/>
      </c>
    </row>
    <row r="14">
      <c r="A14" s="11" t="n">
        <v>45590</v>
      </c>
      <c r="B14" s="10" t="inlineStr">
        <is>
          <t>FIATA CENTRAL</t>
        </is>
      </c>
      <c r="C14" s="12" t="n">
        <v>627</v>
      </c>
      <c r="D14" s="10" t="inlineStr">
        <is>
          <t>Uncategorised</t>
        </is>
      </c>
      <c r="E14" s="10" t="inlineStr">
        <is>
          <t>Review</t>
        </is>
      </c>
      <c r="F14" s="10" t="inlineStr">
        <is>
          <t>Amex Oct-2024</t>
        </is>
      </c>
      <c r="G14" s="10">
        <f>IF(OR(D14="Uncategorised",E14="",E14="Review"),"Needs category/owner","Resolved")</f>
        <v/>
      </c>
    </row>
    <row r="15">
      <c r="A15" s="11" t="n">
        <v>45622</v>
      </c>
      <c r="B15" s="10" t="inlineStr">
        <is>
          <t>CITEES CARTAGENACARMEN MURCIA</t>
        </is>
      </c>
      <c r="C15" s="12" t="n">
        <v>626.84</v>
      </c>
      <c r="D15" s="10" t="inlineStr">
        <is>
          <t>Uncategorised</t>
        </is>
      </c>
      <c r="E15" s="10" t="inlineStr">
        <is>
          <t>Review</t>
        </is>
      </c>
      <c r="F15" s="10" t="inlineStr">
        <is>
          <t>Amex Dec-2024</t>
        </is>
      </c>
      <c r="G15" s="10">
        <f>IF(OR(D15="Uncategorised",E15="",E15="Review"),"Needs category/owner","Resolved")</f>
        <v/>
      </c>
    </row>
    <row r="16">
      <c r="A16" s="11" t="n">
        <v>45623</v>
      </c>
      <c r="B16" s="10" t="inlineStr">
        <is>
          <t>FARMACIA EL SAGRARIO 01 MALAGA</t>
        </is>
      </c>
      <c r="C16" s="12" t="n">
        <v>443.14</v>
      </c>
      <c r="D16" s="10" t="inlineStr">
        <is>
          <t>Uncategorised</t>
        </is>
      </c>
      <c r="E16" s="10" t="inlineStr">
        <is>
          <t>Review</t>
        </is>
      </c>
      <c r="F16" s="10" t="inlineStr">
        <is>
          <t>Amex Dec-2024</t>
        </is>
      </c>
      <c r="G16" s="10">
        <f>IF(OR(D16="Uncategorised",E16="",E16="Review"),"Needs category/owner","Resolved")</f>
        <v/>
      </c>
    </row>
    <row r="17">
      <c r="A17" s="11" t="n">
        <v>45624</v>
      </c>
      <c r="B17" s="10" t="inlineStr">
        <is>
          <t>FARMACIA MATA 055606560 MALAGA</t>
        </is>
      </c>
      <c r="C17" s="12" t="n">
        <v>564.8</v>
      </c>
      <c r="D17" s="10" t="inlineStr">
        <is>
          <t>Uncategorised</t>
        </is>
      </c>
      <c r="E17" s="10" t="inlineStr">
        <is>
          <t>Review</t>
        </is>
      </c>
      <c r="F17" s="10" t="inlineStr">
        <is>
          <t>Amex Dec-2024</t>
        </is>
      </c>
      <c r="G17" s="10">
        <f>IF(OR(D17="Uncategorised",E17="",E17="Review"),"Needs category/owner","Resolved")</f>
        <v/>
      </c>
    </row>
    <row r="18">
      <c r="A18" s="11" t="n">
        <v>45630</v>
      </c>
      <c r="B18" s="10" t="inlineStr">
        <is>
          <t>SILVER RAY LONDON</t>
        </is>
      </c>
      <c r="C18" s="12" t="n">
        <v>1214.93</v>
      </c>
      <c r="D18" s="10" t="inlineStr">
        <is>
          <t>Uncategorised</t>
        </is>
      </c>
      <c r="E18" s="10" t="inlineStr">
        <is>
          <t>Review</t>
        </is>
      </c>
      <c r="F18" s="10" t="inlineStr">
        <is>
          <t>Amex Dec-2024</t>
        </is>
      </c>
      <c r="G18" s="10">
        <f>IF(OR(D18="Uncategorised",E18="",E18="Review"),"Needs category/owner","Resolved")</f>
        <v/>
      </c>
    </row>
    <row r="19">
      <c r="A19" s="11" t="n">
        <v>45632</v>
      </c>
      <c r="B19" s="10" t="inlineStr">
        <is>
          <t>ZETTLE *BECKFORD BOTTLE TISBURY</t>
        </is>
      </c>
      <c r="C19" s="12" t="n">
        <v>2403.96</v>
      </c>
      <c r="D19" s="10" t="inlineStr">
        <is>
          <t>Uncategorised</t>
        </is>
      </c>
      <c r="E19" s="10" t="inlineStr">
        <is>
          <t>Review</t>
        </is>
      </c>
      <c r="F19" s="10" t="inlineStr">
        <is>
          <t>Amex Dec-2024</t>
        </is>
      </c>
      <c r="G19" s="10">
        <f>IF(OR(D19="Uncategorised",E19="",E19="Review"),"Needs category/owner","Resolved")</f>
        <v/>
      </c>
    </row>
    <row r="20">
      <c r="A20" s="11" t="n">
        <v>45633</v>
      </c>
      <c r="B20" s="10" t="inlineStr">
        <is>
          <t>WP - CHEF TAM SSEASONS MACAO</t>
        </is>
      </c>
      <c r="C20" s="12" t="n">
        <v>9158.790000000001</v>
      </c>
      <c r="D20" s="10" t="inlineStr">
        <is>
          <t>Uncategorised</t>
        </is>
      </c>
      <c r="E20" s="10" t="inlineStr">
        <is>
          <t>Review</t>
        </is>
      </c>
      <c r="F20" s="10" t="inlineStr">
        <is>
          <t>Amex Dec-2024</t>
        </is>
      </c>
      <c r="G20" s="10">
        <f>IF(OR(D20="Uncategorised",E20="",E20="Review"),"Needs category/owner","Resolved")</f>
        <v/>
      </c>
    </row>
    <row r="21">
      <c r="A21" s="11" t="n">
        <v>45634</v>
      </c>
      <c r="B21" s="10" t="inlineStr">
        <is>
          <t>MANDARIN ORIENTAL FRONT MACAU</t>
        </is>
      </c>
      <c r="C21" s="12" t="n">
        <v>3333.77</v>
      </c>
      <c r="D21" s="10" t="inlineStr">
        <is>
          <t>Uncategorised</t>
        </is>
      </c>
      <c r="E21" s="10" t="inlineStr">
        <is>
          <t>Review</t>
        </is>
      </c>
      <c r="F21" s="10" t="inlineStr">
        <is>
          <t>Amex Dec-2024</t>
        </is>
      </c>
      <c r="G21" s="10">
        <f>IF(OR(D21="Uncategorised",E21="",E21="Review"),"Needs category/owner","Resolved")</f>
        <v/>
      </c>
    </row>
    <row r="22">
      <c r="A22" s="11" t="n">
        <v>45639</v>
      </c>
      <c r="B22" s="10" t="inlineStr">
        <is>
          <t>SP VINGARDEVALISE BOYNTON BEACH</t>
        </is>
      </c>
      <c r="C22" s="12" t="n">
        <v>4076.82</v>
      </c>
      <c r="D22" s="10" t="inlineStr">
        <is>
          <t>Uncategorised</t>
        </is>
      </c>
      <c r="E22" s="10" t="inlineStr">
        <is>
          <t>Review</t>
        </is>
      </c>
      <c r="F22" s="10" t="inlineStr">
        <is>
          <t>Amex Dec-2024</t>
        </is>
      </c>
      <c r="G22" s="10">
        <f>IF(OR(D22="Uncategorised",E22="",E22="Review"),"Needs category/owner","Resolved")</f>
        <v/>
      </c>
    </row>
    <row r="23">
      <c r="A23" s="11" t="n">
        <v>45639</v>
      </c>
      <c r="B23" s="10" t="inlineStr">
        <is>
          <t>STOCKXX*14546514601324 PHILADELPHIA</t>
        </is>
      </c>
      <c r="C23" s="12" t="n">
        <v>2897.37</v>
      </c>
      <c r="D23" s="10" t="inlineStr">
        <is>
          <t>Uncategorised</t>
        </is>
      </c>
      <c r="E23" s="10" t="inlineStr">
        <is>
          <t>Review</t>
        </is>
      </c>
      <c r="F23" s="10" t="inlineStr">
        <is>
          <t>Amex Dec-2024</t>
        </is>
      </c>
      <c r="G23" s="10">
        <f>IF(OR(D23="Uncategorised",E23="",E23="Review"),"Needs category/owner","Resolved")</f>
        <v/>
      </c>
    </row>
    <row r="24">
      <c r="A24" s="11" t="n">
        <v>45640</v>
      </c>
      <c r="B24" s="10" t="inlineStr">
        <is>
          <t>KYOTO FUYA RYU RYOKU AI KYOTO</t>
        </is>
      </c>
      <c r="C24" s="12" t="n">
        <v>72.64</v>
      </c>
      <c r="D24" s="10" t="inlineStr">
        <is>
          <t>Uncategorised</t>
        </is>
      </c>
      <c r="E24" s="10" t="inlineStr">
        <is>
          <t>Review</t>
        </is>
      </c>
      <c r="F24" s="10" t="inlineStr">
        <is>
          <t>Amex Dec-2024</t>
        </is>
      </c>
      <c r="G24" s="10">
        <f>IF(OR(D24="Uncategorised",E24="",E24="Review"),"Needs category/owner","Resolved")</f>
        <v/>
      </c>
    </row>
    <row r="25">
      <c r="A25" s="11" t="n">
        <v>45640</v>
      </c>
      <c r="B25" s="10" t="inlineStr">
        <is>
          <t>NANZENJI OGATA KYOTO</t>
        </is>
      </c>
      <c r="C25" s="12" t="n">
        <v>12588.49</v>
      </c>
      <c r="D25" s="10" t="inlineStr">
        <is>
          <t>Uncategorised</t>
        </is>
      </c>
      <c r="E25" s="10" t="inlineStr">
        <is>
          <t>Review</t>
        </is>
      </c>
      <c r="F25" s="10" t="inlineStr">
        <is>
          <t>Amex Dec-2024</t>
        </is>
      </c>
      <c r="G25" s="10">
        <f>IF(OR(D25="Uncategorised",E25="",E25="Review"),"Needs category/owner","Resolved")</f>
        <v/>
      </c>
    </row>
    <row r="26">
      <c r="A26" s="11" t="n">
        <v>45641</v>
      </c>
      <c r="B26" s="10" t="inlineStr">
        <is>
          <t>DAND DEPARTMENT KYOTO KYOTO</t>
        </is>
      </c>
      <c r="C26" s="12" t="n">
        <v>1174.32</v>
      </c>
      <c r="D26" s="10" t="inlineStr">
        <is>
          <t>Uncategorised</t>
        </is>
      </c>
      <c r="E26" s="10" t="inlineStr">
        <is>
          <t>Review</t>
        </is>
      </c>
      <c r="F26" s="10" t="inlineStr">
        <is>
          <t>Amex Dec-2024</t>
        </is>
      </c>
      <c r="G26" s="10">
        <f>IF(OR(D26="Uncategorised",E26="",E26="Review"),"Needs category/owner","Resolved")</f>
        <v/>
      </c>
    </row>
    <row r="27">
      <c r="A27" s="11" t="n">
        <v>45641</v>
      </c>
      <c r="B27" s="10" t="inlineStr">
        <is>
          <t>STUDIOUS MENS KYOTO KYOTO</t>
        </is>
      </c>
      <c r="C27" s="12" t="n">
        <v>2543.63</v>
      </c>
      <c r="D27" s="10" t="inlineStr">
        <is>
          <t>Uncategorised</t>
        </is>
      </c>
      <c r="E27" s="10" t="inlineStr">
        <is>
          <t>Review</t>
        </is>
      </c>
      <c r="F27" s="10" t="inlineStr">
        <is>
          <t>Amex Dec-2024</t>
        </is>
      </c>
      <c r="G27" s="10">
        <f>IF(OR(D27="Uncategorised",E27="",E27="Review"),"Needs category/owner","Resolved")</f>
        <v/>
      </c>
    </row>
    <row r="28">
      <c r="A28" s="11" t="n">
        <v>45641</v>
      </c>
      <c r="B28" s="10" t="inlineStr">
        <is>
          <t>TOKYO NIHONKOTSU KYOTO KYOTO</t>
        </is>
      </c>
      <c r="C28" s="12" t="n">
        <v>82.70999999999999</v>
      </c>
      <c r="D28" s="10" t="inlineStr">
        <is>
          <t>Uncategorised</t>
        </is>
      </c>
      <c r="E28" s="10" t="inlineStr">
        <is>
          <t>Review</t>
        </is>
      </c>
      <c r="F28" s="10" t="inlineStr">
        <is>
          <t>Amex Dec-2024</t>
        </is>
      </c>
      <c r="G28" s="10">
        <f>IF(OR(D28="Uncategorised",E28="",E28="Review"),"Needs category/owner","Resolved")</f>
        <v/>
      </c>
    </row>
    <row r="29">
      <c r="A29" s="11" t="n">
        <v>45644</v>
      </c>
      <c r="B29" s="10" t="inlineStr">
        <is>
          <t>MOVIE MOVIE PACIFIC PLA ADMIRALTY</t>
        </is>
      </c>
      <c r="C29" s="12" t="n">
        <v>204</v>
      </c>
      <c r="D29" s="10" t="inlineStr">
        <is>
          <t>Uncategorised</t>
        </is>
      </c>
      <c r="E29" s="10" t="inlineStr">
        <is>
          <t>Review</t>
        </is>
      </c>
      <c r="F29" s="10" t="inlineStr">
        <is>
          <t>Amex Dec-2024</t>
        </is>
      </c>
      <c r="G29" s="10">
        <f>IF(OR(D29="Uncategorised",E29="",E29="Review"),"Needs category/owner","Resolved")</f>
        <v/>
      </c>
    </row>
    <row r="30">
      <c r="A30" s="11" t="n">
        <v>45645</v>
      </c>
      <c r="B30" s="10" t="inlineStr">
        <is>
          <t>JOYCE BEAUTY CAUSEWAY BAY</t>
        </is>
      </c>
      <c r="C30" s="12" t="n">
        <v>2535</v>
      </c>
      <c r="D30" s="10" t="inlineStr">
        <is>
          <t>Uncategorised</t>
        </is>
      </c>
      <c r="E30" s="10" t="inlineStr">
        <is>
          <t>Review</t>
        </is>
      </c>
      <c r="F30" s="10" t="inlineStr">
        <is>
          <t>Amex Dec-2024</t>
        </is>
      </c>
      <c r="G30" s="10">
        <f>IF(OR(D30="Uncategorised",E30="",E30="Review"),"Needs category/owner","Resolved")</f>
        <v/>
      </c>
    </row>
    <row r="31">
      <c r="A31" s="11" t="n">
        <v>45645</v>
      </c>
      <c r="B31" s="10" t="inlineStr">
        <is>
          <t>KPAY*SILK TEA 000000000 HONG KONG</t>
        </is>
      </c>
      <c r="C31" s="12" t="n">
        <v>32</v>
      </c>
      <c r="D31" s="10" t="inlineStr">
        <is>
          <t>Uncategorised</t>
        </is>
      </c>
      <c r="E31" s="10" t="inlineStr">
        <is>
          <t>Review</t>
        </is>
      </c>
      <c r="F31" s="10" t="inlineStr">
        <is>
          <t>Amex Dec-2024</t>
        </is>
      </c>
      <c r="G31" s="10">
        <f>IF(OR(D31="Uncategorised",E31="",E31="Review"),"Needs category/owner","Resolved")</f>
        <v/>
      </c>
    </row>
    <row r="32">
      <c r="A32" s="11" t="n">
        <v>45645</v>
      </c>
      <c r="B32" s="10" t="inlineStr">
        <is>
          <t>OCL* OCTOPUS AD7783729 KOWLOON BAY</t>
        </is>
      </c>
      <c r="C32" s="12" t="n">
        <v>1800</v>
      </c>
      <c r="D32" s="10" t="inlineStr">
        <is>
          <t>Uncategorised</t>
        </is>
      </c>
      <c r="E32" s="10" t="inlineStr">
        <is>
          <t>Review</t>
        </is>
      </c>
      <c r="F32" s="10" t="inlineStr">
        <is>
          <t>Amex Dec-2024</t>
        </is>
      </c>
      <c r="G32" s="10">
        <f>IF(OR(D32="Uncategorised",E32="",E32="Review"),"Needs category/owner","Resolved")</f>
        <v/>
      </c>
    </row>
    <row r="33">
      <c r="A33" s="11" t="n">
        <v>45645</v>
      </c>
      <c r="B33" s="10" t="inlineStr">
        <is>
          <t>SHOPBOP.COM 877-746-7267</t>
        </is>
      </c>
      <c r="C33" s="12" t="n">
        <v>1189.22</v>
      </c>
      <c r="D33" s="10" t="inlineStr">
        <is>
          <t>Uncategorised</t>
        </is>
      </c>
      <c r="E33" s="10" t="inlineStr">
        <is>
          <t>Review</t>
        </is>
      </c>
      <c r="F33" s="10" t="inlineStr">
        <is>
          <t>Amex Dec-2024</t>
        </is>
      </c>
      <c r="G33" s="10">
        <f>IF(OR(D33="Uncategorised",E33="",E33="Review"),"Needs category/owner","Resolved")</f>
        <v/>
      </c>
    </row>
    <row r="34">
      <c r="A34" s="11" t="n">
        <v>45649</v>
      </c>
      <c r="B34" s="10" t="inlineStr">
        <is>
          <t>GREAT FOOD HALL (GPP-25 ADMIRALTY</t>
        </is>
      </c>
      <c r="C34" s="12" t="n">
        <v>457.3</v>
      </c>
      <c r="D34" s="10" t="inlineStr">
        <is>
          <t>Uncategorised</t>
        </is>
      </c>
      <c r="E34" s="10" t="inlineStr">
        <is>
          <t>Review</t>
        </is>
      </c>
      <c r="F34" s="10" t="inlineStr">
        <is>
          <t>Amex Dec-2024</t>
        </is>
      </c>
      <c r="G34" s="10">
        <f>IF(OR(D34="Uncategorised",E34="",E34="Review"),"Needs category/owner","Resolved")</f>
        <v/>
      </c>
    </row>
    <row r="35">
      <c r="A35" s="11" t="n">
        <v>45649</v>
      </c>
      <c r="B35" s="10" t="inlineStr">
        <is>
          <t>ON HONG KONG LTD. WAN CHAI</t>
        </is>
      </c>
      <c r="C35" s="12" t="n">
        <v>3680</v>
      </c>
      <c r="D35" s="10" t="inlineStr">
        <is>
          <t>Uncategorised</t>
        </is>
      </c>
      <c r="E35" s="10" t="inlineStr">
        <is>
          <t>Review</t>
        </is>
      </c>
      <c r="F35" s="10" t="inlineStr">
        <is>
          <t>Amex Dec-2024</t>
        </is>
      </c>
      <c r="G35" s="10">
        <f>IF(OR(D35="Uncategorised",E35="",E35="Review"),"Needs category/owner","Resolved")</f>
        <v/>
      </c>
    </row>
    <row r="36">
      <c r="A36" s="11" t="n">
        <v>45651</v>
      </c>
      <c r="B36" s="10" t="inlineStr">
        <is>
          <t>MARKET PLACE - MAY ROAD THE PEAK</t>
        </is>
      </c>
      <c r="C36" s="12" t="n">
        <v>69</v>
      </c>
      <c r="D36" s="10" t="inlineStr">
        <is>
          <t>Uncategorised</t>
        </is>
      </c>
      <c r="E36" s="10" t="inlineStr">
        <is>
          <t>Review</t>
        </is>
      </c>
      <c r="F36" s="10" t="inlineStr">
        <is>
          <t>Amex Dec-2024</t>
        </is>
      </c>
      <c r="G36" s="10">
        <f>IF(OR(D36="Uncategorised",E36="",E36="Review"),"Needs category/owner","Resolved")</f>
        <v/>
      </c>
    </row>
    <row r="37">
      <c r="A37" s="11" t="n">
        <v>45653</v>
      </c>
      <c r="B37" s="10" t="inlineStr">
        <is>
          <t>PONTI FOOD &amp; WINE CELLA CENTRAL</t>
        </is>
      </c>
      <c r="C37" s="12" t="n">
        <v>29842</v>
      </c>
      <c r="D37" s="10" t="inlineStr">
        <is>
          <t>Uncategorised</t>
        </is>
      </c>
      <c r="E37" s="10" t="inlineStr">
        <is>
          <t>Review</t>
        </is>
      </c>
      <c r="F37" s="10" t="inlineStr">
        <is>
          <t>Amex Jan-2025</t>
        </is>
      </c>
      <c r="G37" s="10">
        <f>IF(OR(D37="Uncategorised",E37="",E37="Review"),"Needs category/owner","Resolved")</f>
        <v/>
      </c>
    </row>
    <row r="38">
      <c r="A38" s="11" t="n">
        <v>45653</v>
      </c>
      <c r="B38" s="10" t="inlineStr">
        <is>
          <t>SP ST. ALI SOUTH MELBOURNE</t>
        </is>
      </c>
      <c r="C38" s="12" t="n">
        <v>1176.9</v>
      </c>
      <c r="D38" s="10" t="inlineStr">
        <is>
          <t>Uncategorised</t>
        </is>
      </c>
      <c r="E38" s="10" t="inlineStr">
        <is>
          <t>Review</t>
        </is>
      </c>
      <c r="F38" s="10" t="inlineStr">
        <is>
          <t>Amex Jan-2025</t>
        </is>
      </c>
      <c r="G38" s="10">
        <f>IF(OR(D38="Uncategorised",E38="",E38="Review"),"Needs category/owner","Resolved")</f>
        <v/>
      </c>
    </row>
    <row r="39">
      <c r="A39" s="11" t="n">
        <v>45654</v>
      </c>
      <c r="B39" s="10" t="inlineStr">
        <is>
          <t>CIPRIANI ORIENTAL LIMIT CENTRAL</t>
        </is>
      </c>
      <c r="C39" s="12" t="n">
        <v>7788</v>
      </c>
      <c r="D39" s="10" t="inlineStr">
        <is>
          <t>Uncategorised</t>
        </is>
      </c>
      <c r="E39" s="10" t="inlineStr">
        <is>
          <t>Review</t>
        </is>
      </c>
      <c r="F39" s="10" t="inlineStr">
        <is>
          <t>Amex Jan-2025</t>
        </is>
      </c>
      <c r="G39" s="10">
        <f>IF(OR(D39="Uncategorised",E39="",E39="Review"),"Needs category/owner","Resolved")</f>
        <v/>
      </c>
    </row>
    <row r="40">
      <c r="A40" s="11" t="n">
        <v>45654</v>
      </c>
      <c r="B40" s="10" t="inlineStr">
        <is>
          <t>G.HEYWOOD HILL LTD LONDON</t>
        </is>
      </c>
      <c r="C40" s="12" t="n">
        <v>14310.46</v>
      </c>
      <c r="D40" s="10" t="inlineStr">
        <is>
          <t>Uncategorised</t>
        </is>
      </c>
      <c r="E40" s="10" t="inlineStr">
        <is>
          <t>Review</t>
        </is>
      </c>
      <c r="F40" s="10" t="inlineStr">
        <is>
          <t>Amex Jan-2025</t>
        </is>
      </c>
      <c r="G40" s="10">
        <f>IF(OR(D40="Uncategorised",E40="",E40="Review"),"Needs category/owner","Resolved")</f>
        <v/>
      </c>
    </row>
    <row r="41">
      <c r="A41" s="11" t="n">
        <v>45656</v>
      </c>
      <c r="B41" s="10" t="inlineStr">
        <is>
          <t>THE POTTS POINT BOOK SELIZABETH BAY</t>
        </is>
      </c>
      <c r="C41" s="12" t="n">
        <v>754.26</v>
      </c>
      <c r="D41" s="10" t="inlineStr">
        <is>
          <t>Uncategorised</t>
        </is>
      </c>
      <c r="E41" s="10" t="inlineStr">
        <is>
          <t>Review</t>
        </is>
      </c>
      <c r="F41" s="10" t="inlineStr">
        <is>
          <t>Amex Jan-2025</t>
        </is>
      </c>
      <c r="G41" s="10">
        <f>IF(OR(D41="Uncategorised",E41="",E41="Review"),"Needs category/owner","Resolved")</f>
        <v/>
      </c>
    </row>
    <row r="42">
      <c r="A42" s="11" t="n">
        <v>45657</v>
      </c>
      <c r="B42" s="10" t="inlineStr">
        <is>
          <t>THIS WAY CANTEEN SYDNEY</t>
        </is>
      </c>
      <c r="C42" s="12" t="n">
        <v>50.89</v>
      </c>
      <c r="D42" s="10" t="inlineStr">
        <is>
          <t>Uncategorised</t>
        </is>
      </c>
      <c r="E42" s="10" t="inlineStr">
        <is>
          <t>Review</t>
        </is>
      </c>
      <c r="F42" s="10" t="inlineStr">
        <is>
          <t>Amex Jan-2025</t>
        </is>
      </c>
      <c r="G42" s="10">
        <f>IF(OR(D42="Uncategorised",E42="",E42="Review"),"Needs category/owner","Resolved")</f>
        <v/>
      </c>
    </row>
    <row r="43">
      <c r="A43" s="11" t="n">
        <v>45658</v>
      </c>
      <c r="B43" s="10" t="inlineStr">
        <is>
          <t>PLATYPUS SHOES AUSTRALI CRENORNE</t>
        </is>
      </c>
      <c r="C43" s="12" t="n">
        <v>1340.93</v>
      </c>
      <c r="D43" s="10" t="inlineStr">
        <is>
          <t>Uncategorised</t>
        </is>
      </c>
      <c r="E43" s="10" t="inlineStr">
        <is>
          <t>Review</t>
        </is>
      </c>
      <c r="F43" s="10" t="inlineStr">
        <is>
          <t>Amex Jan-2025</t>
        </is>
      </c>
      <c r="G43" s="10">
        <f>IF(OR(D43="Uncategorised",E43="",E43="Review"),"Needs category/owner","Resolved")</f>
        <v/>
      </c>
    </row>
    <row r="44">
      <c r="A44" s="11" t="n">
        <v>45662</v>
      </c>
      <c r="B44" s="10" t="inlineStr">
        <is>
          <t>FISHBUTCHERY WATERLOO 1 WATERLOO</t>
        </is>
      </c>
      <c r="C44" s="12" t="n">
        <v>170.21</v>
      </c>
      <c r="D44" s="10" t="inlineStr">
        <is>
          <t>Uncategorised</t>
        </is>
      </c>
      <c r="E44" s="10" t="inlineStr">
        <is>
          <t>Review</t>
        </is>
      </c>
      <c r="F44" s="10" t="inlineStr">
        <is>
          <t>Amex Jan-2025</t>
        </is>
      </c>
      <c r="G44" s="10">
        <f>IF(OR(D44="Uncategorised",E44="",E44="Review"),"Needs category/owner","Resolved")</f>
        <v/>
      </c>
    </row>
    <row r="45">
      <c r="A45" s="11" t="n">
        <v>45663</v>
      </c>
      <c r="B45" s="10" t="inlineStr">
        <is>
          <t>ABUNDANCE 10X COMPOUNDI DOUBLE BAY</t>
        </is>
      </c>
      <c r="C45" s="12" t="n">
        <v>2109.13</v>
      </c>
      <c r="D45" s="10" t="inlineStr">
        <is>
          <t>Uncategorised</t>
        </is>
      </c>
      <c r="E45" s="10" t="inlineStr">
        <is>
          <t>Review</t>
        </is>
      </c>
      <c r="F45" s="10" t="inlineStr">
        <is>
          <t>Amex Jan-2025</t>
        </is>
      </c>
      <c r="G45" s="10">
        <f>IF(OR(D45="Uncategorised",E45="",E45="Review"),"Needs category/owner","Resolved")</f>
        <v/>
      </c>
    </row>
    <row r="46">
      <c r="A46" s="11" t="n">
        <v>45663</v>
      </c>
      <c r="B46" s="10" t="inlineStr">
        <is>
          <t>LS NEPTUNE'SGROTTO SYDNEY</t>
        </is>
      </c>
      <c r="C46" s="12" t="n">
        <v>2665.82</v>
      </c>
      <c r="D46" s="10" t="inlineStr">
        <is>
          <t>Uncategorised</t>
        </is>
      </c>
      <c r="E46" s="10" t="inlineStr">
        <is>
          <t>Review</t>
        </is>
      </c>
      <c r="F46" s="10" t="inlineStr">
        <is>
          <t>Amex Jan-2025</t>
        </is>
      </c>
      <c r="G46" s="10">
        <f>IF(OR(D46="Uncategorised",E46="",E46="Review"),"Needs category/owner","Resolved")</f>
        <v/>
      </c>
    </row>
    <row r="47">
      <c r="A47" s="11" t="n">
        <v>45664</v>
      </c>
      <c r="B47" s="10" t="inlineStr">
        <is>
          <t>BENNELONG SYDNEY</t>
        </is>
      </c>
      <c r="C47" s="12" t="n">
        <v>5980.56</v>
      </c>
      <c r="D47" s="10" t="inlineStr">
        <is>
          <t>Uncategorised</t>
        </is>
      </c>
      <c r="E47" s="10" t="inlineStr">
        <is>
          <t>Review</t>
        </is>
      </c>
      <c r="F47" s="10" t="inlineStr">
        <is>
          <t>Amex Jan-2025</t>
        </is>
      </c>
      <c r="G47" s="10">
        <f>IF(OR(D47="Uncategorised",E47="",E47="Review"),"Needs category/owner","Resolved")</f>
        <v/>
      </c>
    </row>
    <row r="48">
      <c r="A48" s="11" t="n">
        <v>45664</v>
      </c>
      <c r="B48" s="10" t="inlineStr">
        <is>
          <t>BONIIK HILTON 100370 SYDNEY</t>
        </is>
      </c>
      <c r="C48" s="12" t="n">
        <v>308.92</v>
      </c>
      <c r="D48" s="10" t="inlineStr">
        <is>
          <t>Uncategorised</t>
        </is>
      </c>
      <c r="E48" s="10" t="inlineStr">
        <is>
          <t>Review</t>
        </is>
      </c>
      <c r="F48" s="10" t="inlineStr">
        <is>
          <t>Amex Jan-2025</t>
        </is>
      </c>
      <c r="G48" s="10">
        <f>IF(OR(D48="Uncategorised",E48="",E48="Review"),"Needs category/owner","Resolved")</f>
        <v/>
      </c>
    </row>
    <row r="49">
      <c r="A49" s="11" t="n">
        <v>45664</v>
      </c>
      <c r="B49" s="10" t="inlineStr">
        <is>
          <t>FOOT LOCKER AUSTALIA IN MURARRIE</t>
        </is>
      </c>
      <c r="C49" s="12" t="n">
        <v>949.9299999999999</v>
      </c>
      <c r="D49" s="10" t="inlineStr">
        <is>
          <t>Uncategorised</t>
        </is>
      </c>
      <c r="E49" s="10" t="inlineStr">
        <is>
          <t>Review</t>
        </is>
      </c>
      <c r="F49" s="10" t="inlineStr">
        <is>
          <t>Amex Jan-2025</t>
        </is>
      </c>
      <c r="G49" s="10">
        <f>IF(OR(D49="Uncategorised",E49="",E49="Review"),"Needs category/owner","Resolved")</f>
        <v/>
      </c>
    </row>
    <row r="50">
      <c r="A50" s="11" t="n">
        <v>45664</v>
      </c>
      <c r="B50" s="10" t="inlineStr">
        <is>
          <t>LS LUNE CROISSANTERIE ROSEBERY</t>
        </is>
      </c>
      <c r="C50" s="12" t="n">
        <v>108.79</v>
      </c>
      <c r="D50" s="10" t="inlineStr">
        <is>
          <t>Uncategorised</t>
        </is>
      </c>
      <c r="E50" s="10" t="inlineStr">
        <is>
          <t>Review</t>
        </is>
      </c>
      <c r="F50" s="10" t="inlineStr">
        <is>
          <t>Amex Jan-2025</t>
        </is>
      </c>
      <c r="G50" s="10">
        <f>IF(OR(D50="Uncategorised",E50="",E50="Review"),"Needs category/owner","Resolved")</f>
        <v/>
      </c>
    </row>
    <row r="51">
      <c r="A51" s="11" t="n">
        <v>45664</v>
      </c>
      <c r="B51" s="10" t="inlineStr">
        <is>
          <t>SP JULY AU MELBOURNE</t>
        </is>
      </c>
      <c r="C51" s="12" t="n">
        <v>2799.7</v>
      </c>
      <c r="D51" s="10" t="inlineStr">
        <is>
          <t>Uncategorised</t>
        </is>
      </c>
      <c r="E51" s="10" t="inlineStr">
        <is>
          <t>Review</t>
        </is>
      </c>
      <c r="F51" s="10" t="inlineStr">
        <is>
          <t>Amex Jan-2025</t>
        </is>
      </c>
      <c r="G51" s="10">
        <f>IF(OR(D51="Uncategorised",E51="",E51="Review"),"Needs category/owner","Resolved")</f>
        <v/>
      </c>
    </row>
    <row r="52">
      <c r="A52" s="11" t="n">
        <v>45665</v>
      </c>
      <c r="B52" s="10" t="inlineStr">
        <is>
          <t>BAYSIDE NATURAL HEALTH DOUBLE BAY</t>
        </is>
      </c>
      <c r="C52" s="12" t="n">
        <v>954.49</v>
      </c>
      <c r="D52" s="10" t="inlineStr">
        <is>
          <t>Uncategorised</t>
        </is>
      </c>
      <c r="E52" s="10" t="inlineStr">
        <is>
          <t>Review</t>
        </is>
      </c>
      <c r="F52" s="10" t="inlineStr">
        <is>
          <t>Amex Jan-2025</t>
        </is>
      </c>
      <c r="G52" s="10">
        <f>IF(OR(D52="Uncategorised",E52="",E52="Review"),"Needs category/owner","Resolved")</f>
        <v/>
      </c>
    </row>
    <row r="53">
      <c r="A53" s="11" t="n">
        <v>45666</v>
      </c>
      <c r="B53" s="10" t="inlineStr">
        <is>
          <t>RESTAURANT AZUMA SYDNEY</t>
        </is>
      </c>
      <c r="C53" s="12" t="n">
        <v>3003.52</v>
      </c>
      <c r="D53" s="10" t="inlineStr">
        <is>
          <t>Uncategorised</t>
        </is>
      </c>
      <c r="E53" s="10" t="inlineStr">
        <is>
          <t>Review</t>
        </is>
      </c>
      <c r="F53" s="10" t="inlineStr">
        <is>
          <t>Amex Jan-2025</t>
        </is>
      </c>
      <c r="G53" s="10">
        <f>IF(OR(D53="Uncategorised",E53="",E53="Review"),"Needs category/owner","Resolved")</f>
        <v/>
      </c>
    </row>
    <row r="54">
      <c r="A54" s="11" t="n">
        <v>45666</v>
      </c>
      <c r="B54" s="10" t="inlineStr">
        <is>
          <t>WW METRO 1527 THE KITCH DOUBLE BAY</t>
        </is>
      </c>
      <c r="C54" s="12" t="n">
        <v>29.67</v>
      </c>
      <c r="D54" s="10" t="inlineStr">
        <is>
          <t>Uncategorised</t>
        </is>
      </c>
      <c r="E54" s="10" t="inlineStr">
        <is>
          <t>Review</t>
        </is>
      </c>
      <c r="F54" s="10" t="inlineStr">
        <is>
          <t>Amex Jan-2025</t>
        </is>
      </c>
      <c r="G54" s="10">
        <f>IF(OR(D54="Uncategorised",E54="",E54="Review"),"Needs category/owner","Resolved")</f>
        <v/>
      </c>
    </row>
    <row r="55">
      <c r="A55" s="11" t="n">
        <v>45667</v>
      </c>
      <c r="B55" s="10" t="inlineStr">
        <is>
          <t>XOPP 62109 HAYMARKET</t>
        </is>
      </c>
      <c r="C55" s="12" t="n">
        <v>3002.92</v>
      </c>
      <c r="D55" s="10" t="inlineStr">
        <is>
          <t>Uncategorised</t>
        </is>
      </c>
      <c r="E55" s="10" t="inlineStr">
        <is>
          <t>Review</t>
        </is>
      </c>
      <c r="F55" s="10" t="inlineStr">
        <is>
          <t>Amex Jan-2025</t>
        </is>
      </c>
      <c r="G55" s="10">
        <f>IF(OR(D55="Uncategorised",E55="",E55="Review"),"Needs category/owner","Resolved")</f>
        <v/>
      </c>
    </row>
    <row r="56">
      <c r="A56" s="11" t="n">
        <v>45668</v>
      </c>
      <c r="B56" s="10" t="inlineStr">
        <is>
          <t>ARIA RESTAURANT SYDNEY</t>
        </is>
      </c>
      <c r="C56" s="12" t="n">
        <v>3896.38</v>
      </c>
      <c r="D56" s="10" t="inlineStr">
        <is>
          <t>Uncategorised</t>
        </is>
      </c>
      <c r="E56" s="10" t="inlineStr">
        <is>
          <t>Review</t>
        </is>
      </c>
      <c r="F56" s="10" t="inlineStr">
        <is>
          <t>Amex Jan-2025</t>
        </is>
      </c>
      <c r="G56" s="10">
        <f>IF(OR(D56="Uncategorised",E56="",E56="Review"),"Needs category/owner","Resolved")</f>
        <v/>
      </c>
    </row>
    <row r="57">
      <c r="A57" s="11" t="n">
        <v>45669</v>
      </c>
      <c r="B57" s="10" t="inlineStr">
        <is>
          <t>52 GAGE CENTRAL</t>
        </is>
      </c>
      <c r="C57" s="12" t="n">
        <v>11500</v>
      </c>
      <c r="D57" s="10" t="inlineStr">
        <is>
          <t>Uncategorised</t>
        </is>
      </c>
      <c r="E57" s="10" t="inlineStr">
        <is>
          <t>Review</t>
        </is>
      </c>
      <c r="F57" s="10" t="inlineStr">
        <is>
          <t>Amex Jan-2025</t>
        </is>
      </c>
      <c r="G57" s="10">
        <f>IF(OR(D57="Uncategorised",E57="",E57="Review"),"Needs category/owner","Resolved")</f>
        <v/>
      </c>
    </row>
    <row r="58">
      <c r="A58" s="11" t="n">
        <v>45673</v>
      </c>
      <c r="B58" s="10" t="inlineStr">
        <is>
          <t>AUSTRALIA CUSTOMS 60800 CANBERRA</t>
        </is>
      </c>
      <c r="C58" s="12" t="n">
        <v>-287.08</v>
      </c>
      <c r="D58" s="10" t="inlineStr">
        <is>
          <t>Uncategorised</t>
        </is>
      </c>
      <c r="E58" s="10" t="inlineStr">
        <is>
          <t>Review</t>
        </is>
      </c>
      <c r="F58" s="10" t="inlineStr">
        <is>
          <t>Amex Jan-2025</t>
        </is>
      </c>
      <c r="G58" s="10">
        <f>IF(OR(D58="Uncategorised",E58="",E58="Review"),"Needs category/owner","Resolved")</f>
        <v/>
      </c>
    </row>
    <row r="59">
      <c r="A59" s="11" t="n">
        <v>45676</v>
      </c>
      <c r="B59" s="10" t="inlineStr">
        <is>
          <t>ST REGIS MACAO - HOTEL MACAU</t>
        </is>
      </c>
      <c r="C59" s="12" t="n">
        <v>5904.96</v>
      </c>
      <c r="D59" s="10" t="inlineStr">
        <is>
          <t>Uncategorised</t>
        </is>
      </c>
      <c r="E59" s="10" t="inlineStr">
        <is>
          <t>Review</t>
        </is>
      </c>
      <c r="F59" s="10" t="inlineStr">
        <is>
          <t>Amex Jan-2025</t>
        </is>
      </c>
      <c r="G59" s="10">
        <f>IF(OR(D59="Uncategorised",E59="",E59="Review"),"Needs category/owner","Resolved")</f>
        <v/>
      </c>
    </row>
    <row r="60">
      <c r="A60" s="11" t="n">
        <v>45680</v>
      </c>
      <c r="B60" s="10" t="inlineStr">
        <is>
          <t>ON HONG KONG LTD. WAN CHAI</t>
        </is>
      </c>
      <c r="C60" s="12" t="n">
        <v>1290</v>
      </c>
      <c r="D60" s="10" t="inlineStr">
        <is>
          <t>Uncategorised</t>
        </is>
      </c>
      <c r="E60" s="10" t="inlineStr">
        <is>
          <t>Review</t>
        </is>
      </c>
      <c r="F60" s="10" t="inlineStr">
        <is>
          <t>Amex Jan-2025</t>
        </is>
      </c>
      <c r="G60" s="10">
        <f>IF(OR(D60="Uncategorised",E60="",E60="Review"),"Needs category/owner","Resolved")</f>
        <v/>
      </c>
    </row>
    <row r="61">
      <c r="A61" s="11" t="n">
        <v>45680</v>
      </c>
      <c r="B61" s="10" t="inlineStr">
        <is>
          <t>STOCKXX*14576436151932 PHILADELPHIA</t>
        </is>
      </c>
      <c r="C61" s="12" t="n">
        <v>1105.61</v>
      </c>
      <c r="D61" s="10" t="inlineStr">
        <is>
          <t>Uncategorised</t>
        </is>
      </c>
      <c r="E61" s="10" t="inlineStr">
        <is>
          <t>Review</t>
        </is>
      </c>
      <c r="F61" s="10" t="inlineStr">
        <is>
          <t>Amex Jan-2025</t>
        </is>
      </c>
      <c r="G61" s="10">
        <f>IF(OR(D61="Uncategorised",E61="",E61="Review"),"Needs category/owner","Resolved")</f>
        <v/>
      </c>
    </row>
    <row r="62">
      <c r="A62" s="11" t="n">
        <v>45681</v>
      </c>
      <c r="B62" s="10" t="inlineStr">
        <is>
          <t>KPAY*LEMON KING 0000000 HONG KONG</t>
        </is>
      </c>
      <c r="C62" s="12" t="n">
        <v>731</v>
      </c>
      <c r="D62" s="10" t="inlineStr">
        <is>
          <t>Uncategorised</t>
        </is>
      </c>
      <c r="E62" s="10" t="inlineStr">
        <is>
          <t>Review</t>
        </is>
      </c>
      <c r="F62" s="10" t="inlineStr">
        <is>
          <t>Amex Jan-2025</t>
        </is>
      </c>
      <c r="G62" s="10">
        <f>IF(OR(D62="Uncategorised",E62="",E62="Review"),"Needs category/owner","Resolved")</f>
        <v/>
      </c>
    </row>
    <row r="63">
      <c r="A63" s="11" t="n">
        <v>45681</v>
      </c>
      <c r="B63" s="10" t="inlineStr">
        <is>
          <t>SHANGHAI FOOD LIMITED CENTRAL</t>
        </is>
      </c>
      <c r="C63" s="12" t="n">
        <v>1252</v>
      </c>
      <c r="D63" s="10" t="inlineStr">
        <is>
          <t>Uncategorised</t>
        </is>
      </c>
      <c r="E63" s="10" t="inlineStr">
        <is>
          <t>Review</t>
        </is>
      </c>
      <c r="F63" s="10" t="inlineStr">
        <is>
          <t>Amex Jan-2025</t>
        </is>
      </c>
      <c r="G63" s="10">
        <f>IF(OR(D63="Uncategorised",E63="",E63="Review"),"Needs category/owner","Resolved")</f>
        <v/>
      </c>
    </row>
    <row r="64">
      <c r="A64" s="11" t="n">
        <v>45718</v>
      </c>
      <c r="B64" s="10" t="inlineStr">
        <is>
          <t>NisekoBion meng tian jun</t>
        </is>
      </c>
      <c r="C64" s="12" t="n">
        <v>5754.02</v>
      </c>
      <c r="D64" s="10" t="inlineStr">
        <is>
          <t>Uncategorised</t>
        </is>
      </c>
      <c r="E64" s="10" t="inlineStr">
        <is>
          <t>Review</t>
        </is>
      </c>
      <c r="F64" s="10" t="inlineStr">
        <is>
          <t>Amex Mar-2025</t>
        </is>
      </c>
      <c r="G64" s="10">
        <f>IF(OR(D64="Uncategorised",E64="",E64="Review"),"Needs category/owner","Resolved")</f>
        <v/>
      </c>
    </row>
    <row r="65">
      <c r="A65" s="11" t="n">
        <v>45719</v>
      </c>
      <c r="B65" s="10" t="inlineStr">
        <is>
          <t>DELSOLE Niseko, K.K. meng tian jun</t>
        </is>
      </c>
      <c r="C65" s="12" t="n">
        <v>677.09</v>
      </c>
      <c r="D65" s="10" t="inlineStr">
        <is>
          <t>Uncategorised</t>
        </is>
      </c>
      <c r="E65" s="10" t="inlineStr">
        <is>
          <t>Review</t>
        </is>
      </c>
      <c r="F65" s="10" t="inlineStr">
        <is>
          <t>Amex Mar-2025</t>
        </is>
      </c>
      <c r="G65" s="10">
        <f>IF(OR(D65="Uncategorised",E65="",E65="Review"),"Needs category/owner","Resolved")</f>
        <v/>
      </c>
    </row>
    <row r="66">
      <c r="A66" s="11" t="n">
        <v>45719</v>
      </c>
      <c r="B66" s="10" t="inlineStr">
        <is>
          <t>PARK HYATT Niseko CHINA *</t>
        </is>
      </c>
      <c r="C66" s="12" t="n">
        <v>841.33</v>
      </c>
      <c r="D66" s="10" t="inlineStr">
        <is>
          <t>Uncategorised</t>
        </is>
      </c>
      <c r="E66" s="10" t="inlineStr">
        <is>
          <t>Review</t>
        </is>
      </c>
      <c r="F66" s="10" t="inlineStr">
        <is>
          <t>Amex Mar-2025</t>
        </is>
      </c>
      <c r="G66" s="10">
        <f>IF(OR(D66="Uncategorised",E66="",E66="Review"),"Needs category/owner","Resolved")</f>
        <v/>
      </c>
    </row>
    <row r="67">
      <c r="A67" s="11" t="n">
        <v>45720</v>
      </c>
      <c r="B67" s="10" t="inlineStr">
        <is>
          <t>RAKUTENPAY YUKARANISEKO HOKKAIDO</t>
        </is>
      </c>
      <c r="C67" s="12" t="n">
        <v>60.42</v>
      </c>
      <c r="D67" s="10" t="inlineStr">
        <is>
          <t>Uncategorised</t>
        </is>
      </c>
      <c r="E67" s="10" t="inlineStr">
        <is>
          <t>Review</t>
        </is>
      </c>
      <c r="F67" s="10" t="inlineStr">
        <is>
          <t>Amex Mar-2025</t>
        </is>
      </c>
      <c r="G67" s="10">
        <f>IF(OR(D67="Uncategorised",E67="",E67="Review"),"Needs category/owner","Resolved")</f>
        <v/>
      </c>
    </row>
    <row r="68">
      <c r="A68" s="11" t="n">
        <v>45720</v>
      </c>
      <c r="B68" s="10" t="inlineStr">
        <is>
          <t>Rikka Spa meng tian jun</t>
        </is>
      </c>
      <c r="C68" s="12" t="n">
        <v>137.53</v>
      </c>
      <c r="D68" s="10" t="inlineStr">
        <is>
          <t>Uncategorised</t>
        </is>
      </c>
      <c r="E68" s="10" t="inlineStr">
        <is>
          <t>Review</t>
        </is>
      </c>
      <c r="F68" s="10" t="inlineStr">
        <is>
          <t>Amex Mar-2025</t>
        </is>
      </c>
      <c r="G68" s="10">
        <f>IF(OR(D68="Uncategorised",E68="",E68="Review"),"Needs category/owner","Resolved")</f>
        <v/>
      </c>
    </row>
    <row r="69">
      <c r="A69" s="11" t="n">
        <v>45720</v>
      </c>
      <c r="B69" s="10" t="inlineStr">
        <is>
          <t>Rikka Spa meng tian jun</t>
        </is>
      </c>
      <c r="C69" s="12" t="n">
        <v>137.53</v>
      </c>
      <c r="D69" s="10" t="inlineStr">
        <is>
          <t>Uncategorised</t>
        </is>
      </c>
      <c r="E69" s="10" t="inlineStr">
        <is>
          <t>Review</t>
        </is>
      </c>
      <c r="F69" s="10" t="inlineStr">
        <is>
          <t>Amex Mar-2025</t>
        </is>
      </c>
      <c r="G69" s="10">
        <f>IF(OR(D69="Uncategorised",E69="",E69="Review"),"Needs category/owner","Resolved")</f>
        <v/>
      </c>
    </row>
    <row r="70">
      <c r="A70" s="11" t="n">
        <v>45721</v>
      </c>
      <c r="B70" s="10" t="inlineStr">
        <is>
          <t>PARK HYATT Niseko OLIVI *</t>
        </is>
      </c>
      <c r="C70" s="12" t="n">
        <v>838.02</v>
      </c>
      <c r="D70" s="10" t="inlineStr">
        <is>
          <t>Uncategorised</t>
        </is>
      </c>
      <c r="E70" s="10" t="inlineStr">
        <is>
          <t>Review</t>
        </is>
      </c>
      <c r="F70" s="10" t="inlineStr">
        <is>
          <t>Amex Mar-2025</t>
        </is>
      </c>
      <c r="G70" s="10">
        <f>IF(OR(D70="Uncategorised",E70="",E70="Review"),"Needs category/owner","Resolved")</f>
        <v/>
      </c>
    </row>
    <row r="71">
      <c r="A71" s="11" t="n">
        <v>45721</v>
      </c>
      <c r="B71" s="10" t="inlineStr">
        <is>
          <t>SUSHI KATO INORI HOKKAIDO</t>
        </is>
      </c>
      <c r="C71" s="12" t="n">
        <v>1894.44</v>
      </c>
      <c r="D71" s="10" t="inlineStr">
        <is>
          <t>Uncategorised</t>
        </is>
      </c>
      <c r="E71" s="10" t="inlineStr">
        <is>
          <t>Review</t>
        </is>
      </c>
      <c r="F71" s="10" t="inlineStr">
        <is>
          <t>Amex Mar-2025</t>
        </is>
      </c>
      <c r="G71" s="10">
        <f>IF(OR(D71="Uncategorised",E71="",E71="Review"),"Needs category/owner","Resolved")</f>
        <v/>
      </c>
    </row>
    <row r="72">
      <c r="A72" s="11" t="n">
        <v>45722</v>
      </c>
      <c r="B72" s="10" t="inlineStr">
        <is>
          <t>SEICOMART NISEKOHIRAFU HOKKAIDO</t>
        </is>
      </c>
      <c r="C72" s="12" t="n">
        <v>43.68</v>
      </c>
      <c r="D72" s="10" t="inlineStr">
        <is>
          <t>Uncategorised</t>
        </is>
      </c>
      <c r="E72" s="10" t="inlineStr">
        <is>
          <t>Review</t>
        </is>
      </c>
      <c r="F72" s="10" t="inlineStr">
        <is>
          <t>Amex Mar-2025</t>
        </is>
      </c>
      <c r="G72" s="10">
        <f>IF(OR(D72="Uncategorised",E72="",E72="Review"),"Needs category/owner","Resolved")</f>
        <v/>
      </c>
    </row>
    <row r="73">
      <c r="A73" s="11" t="n">
        <v>45723</v>
      </c>
      <c r="B73" s="10" t="inlineStr">
        <is>
          <t>RAKUTENPAY MELI MELO YU HOKKAIDO</t>
        </is>
      </c>
      <c r="C73" s="12" t="n">
        <v>1031.67</v>
      </c>
      <c r="D73" s="10" t="inlineStr">
        <is>
          <t>Uncategorised</t>
        </is>
      </c>
      <c r="E73" s="10" t="inlineStr">
        <is>
          <t>Review</t>
        </is>
      </c>
      <c r="F73" s="10" t="inlineStr">
        <is>
          <t>Amex Mar-2025</t>
        </is>
      </c>
      <c r="G73" s="10">
        <f>IF(OR(D73="Uncategorised",E73="",E73="Review"),"Needs category/owner","Resolved")</f>
        <v/>
      </c>
    </row>
    <row r="74">
      <c r="A74" s="11" t="n">
        <v>45723</v>
      </c>
      <c r="B74" s="10" t="inlineStr">
        <is>
          <t>UKVI UKVI LONDON</t>
        </is>
      </c>
      <c r="C74" s="12" t="n">
        <v>102.33</v>
      </c>
      <c r="D74" s="10" t="inlineStr">
        <is>
          <t>Uncategorised</t>
        </is>
      </c>
      <c r="E74" s="10" t="inlineStr">
        <is>
          <t>Review</t>
        </is>
      </c>
      <c r="F74" s="10" t="inlineStr">
        <is>
          <t>Amex Mar-2025</t>
        </is>
      </c>
      <c r="G74" s="10">
        <f>IF(OR(D74="Uncategorised",E74="",E74="Review"),"Needs category/owner","Resolved")</f>
        <v/>
      </c>
    </row>
    <row r="75">
      <c r="A75" s="11" t="n">
        <v>45724</v>
      </c>
      <c r="B75" s="10" t="inlineStr">
        <is>
          <t>NISEKOCACAOCROWN AIR HOKKAIDO</t>
        </is>
      </c>
      <c r="C75" s="12" t="n">
        <v>143.49</v>
      </c>
      <c r="D75" s="10" t="inlineStr">
        <is>
          <t>Uncategorised</t>
        </is>
      </c>
      <c r="E75" s="10" t="inlineStr">
        <is>
          <t>Review</t>
        </is>
      </c>
      <c r="F75" s="10" t="inlineStr">
        <is>
          <t>Amex Mar-2025</t>
        </is>
      </c>
      <c r="G75" s="10">
        <f>IF(OR(D75="Uncategorised",E75="",E75="Review"),"Needs category/owner","Resolved")</f>
        <v/>
      </c>
    </row>
    <row r="76">
      <c r="A76" s="11" t="n">
        <v>45724</v>
      </c>
      <c r="B76" s="10" t="inlineStr">
        <is>
          <t>RAKUTENPAY YUKARANISEKO HOKKAIDO</t>
        </is>
      </c>
      <c r="C76" s="12" t="n">
        <v>64.06</v>
      </c>
      <c r="D76" s="10" t="inlineStr">
        <is>
          <t>Uncategorised</t>
        </is>
      </c>
      <c r="E76" s="10" t="inlineStr">
        <is>
          <t>Review</t>
        </is>
      </c>
      <c r="F76" s="10" t="inlineStr">
        <is>
          <t>Amex Mar-2025</t>
        </is>
      </c>
      <c r="G76" s="10">
        <f>IF(OR(D76="Uncategorised",E76="",E76="Review"),"Needs category/owner","Resolved")</f>
        <v/>
      </c>
    </row>
    <row r="77">
      <c r="A77" s="11" t="n">
        <v>45725</v>
      </c>
      <c r="B77" s="10" t="inlineStr">
        <is>
          <t>GO APP RIDE FEE TOKYO</t>
        </is>
      </c>
      <c r="C77" s="12" t="n">
        <v>274.15</v>
      </c>
      <c r="D77" s="10" t="inlineStr">
        <is>
          <t>Uncategorised</t>
        </is>
      </c>
      <c r="E77" s="10" t="inlineStr">
        <is>
          <t>Review</t>
        </is>
      </c>
      <c r="F77" s="10" t="inlineStr">
        <is>
          <t>Amex Mar-2025</t>
        </is>
      </c>
      <c r="G77" s="10">
        <f>IF(OR(D77="Uncategorised",E77="",E77="Review"),"Needs category/owner","Resolved")</f>
        <v/>
      </c>
    </row>
    <row r="78">
      <c r="A78" s="11" t="n">
        <v>45725</v>
      </c>
      <c r="B78" s="10" t="inlineStr">
        <is>
          <t>PARK HYATT Niseko DELI *</t>
        </is>
      </c>
      <c r="C78" s="12" t="n">
        <v>85.23</v>
      </c>
      <c r="D78" s="10" t="inlineStr">
        <is>
          <t>Uncategorised</t>
        </is>
      </c>
      <c r="E78" s="10" t="inlineStr">
        <is>
          <t>Review</t>
        </is>
      </c>
      <c r="F78" s="10" t="inlineStr">
        <is>
          <t>Amex Mar-2025</t>
        </is>
      </c>
      <c r="G78" s="10">
        <f>IF(OR(D78="Uncategorised",E78="",E78="Review"),"Needs category/owner","Resolved")</f>
        <v/>
      </c>
    </row>
    <row r="79">
      <c r="A79" s="11" t="n">
        <v>45725</v>
      </c>
      <c r="B79" s="10" t="inlineStr">
        <is>
          <t>PARK HYATT Niseko ROBAT *</t>
        </is>
      </c>
      <c r="C79" s="12" t="n">
        <v>1771.84</v>
      </c>
      <c r="D79" s="10" t="inlineStr">
        <is>
          <t>Uncategorised</t>
        </is>
      </c>
      <c r="E79" s="10" t="inlineStr">
        <is>
          <t>Review</t>
        </is>
      </c>
      <c r="F79" s="10" t="inlineStr">
        <is>
          <t>Amex Mar-2025</t>
        </is>
      </c>
      <c r="G79" s="10">
        <f>IF(OR(D79="Uncategorised",E79="",E79="Review"),"Needs category/owner","Resolved")</f>
        <v/>
      </c>
    </row>
    <row r="80">
      <c r="A80" s="11" t="n">
        <v>45726</v>
      </c>
      <c r="B80" s="10" t="inlineStr">
        <is>
          <t>TC YAKITORIFUJIWARA TOKYO</t>
        </is>
      </c>
      <c r="C80" s="12" t="n">
        <v>2673.99</v>
      </c>
      <c r="D80" s="10" t="inlineStr">
        <is>
          <t>Uncategorised</t>
        </is>
      </c>
      <c r="E80" s="10" t="inlineStr">
        <is>
          <t>Review</t>
        </is>
      </c>
      <c r="F80" s="10" t="inlineStr">
        <is>
          <t>Amex Mar-2025</t>
        </is>
      </c>
      <c r="G80" s="10">
        <f>IF(OR(D80="Uncategorised",E80="",E80="Review"),"Needs category/owner","Resolved")</f>
        <v/>
      </c>
    </row>
    <row r="81">
      <c r="A81" s="11" t="n">
        <v>45726</v>
      </c>
      <c r="B81" s="10" t="inlineStr">
        <is>
          <t>TENPURAARAKINISEKO HOKKAIDO</t>
        </is>
      </c>
      <c r="C81" s="12" t="n">
        <v>3832.04</v>
      </c>
      <c r="D81" s="10" t="inlineStr">
        <is>
          <t>Uncategorised</t>
        </is>
      </c>
      <c r="E81" s="10" t="inlineStr">
        <is>
          <t>Review</t>
        </is>
      </c>
      <c r="F81" s="10" t="inlineStr">
        <is>
          <t>Amex Mar-2025</t>
        </is>
      </c>
      <c r="G81" s="10">
        <f>IF(OR(D81="Uncategorised",E81="",E81="Review"),"Needs category/owner","Resolved")</f>
        <v/>
      </c>
    </row>
    <row r="82">
      <c r="A82" s="11" t="n">
        <v>45727</v>
      </c>
      <c r="B82" s="10" t="inlineStr">
        <is>
          <t>RAKUTENPAY MELI MELO YU HOKKAIDO</t>
        </is>
      </c>
      <c r="C82" s="12" t="n">
        <v>1180.41</v>
      </c>
      <c r="D82" s="10" t="inlineStr">
        <is>
          <t>Uncategorised</t>
        </is>
      </c>
      <c r="E82" s="10" t="inlineStr">
        <is>
          <t>Review</t>
        </is>
      </c>
      <c r="F82" s="10" t="inlineStr">
        <is>
          <t>Amex Apr-2025</t>
        </is>
      </c>
      <c r="G82" s="10">
        <f>IF(OR(D82="Uncategorised",E82="",E82="Review"),"Needs category/owner","Resolved")</f>
        <v/>
      </c>
    </row>
    <row r="83">
      <c r="A83" s="11" t="n">
        <v>45727</v>
      </c>
      <c r="B83" s="10" t="inlineStr">
        <is>
          <t>TC NISEKOBION TOKYO</t>
        </is>
      </c>
      <c r="C83" s="12" t="n">
        <v>4606.93</v>
      </c>
      <c r="D83" s="10" t="inlineStr">
        <is>
          <t>Uncategorised</t>
        </is>
      </c>
      <c r="E83" s="10" t="inlineStr">
        <is>
          <t>Review</t>
        </is>
      </c>
      <c r="F83" s="10" t="inlineStr">
        <is>
          <t>Amex Mar-2025</t>
        </is>
      </c>
      <c r="G83" s="10">
        <f>IF(OR(D83="Uncategorised",E83="",E83="Review"),"Needs category/owner","Resolved")</f>
        <v/>
      </c>
    </row>
    <row r="84">
      <c r="A84" s="11" t="n">
        <v>45728</v>
      </c>
      <c r="B84" s="10" t="inlineStr">
        <is>
          <t>Rikka Spa meng tian jun j</t>
        </is>
      </c>
      <c r="C84" s="12" t="n">
        <v>113.34</v>
      </c>
      <c r="D84" s="10" t="inlineStr">
        <is>
          <t>Uncategorised</t>
        </is>
      </c>
      <c r="E84" s="10" t="inlineStr">
        <is>
          <t>Review</t>
        </is>
      </c>
      <c r="F84" s="10" t="inlineStr">
        <is>
          <t>Amex Mar-2025</t>
        </is>
      </c>
      <c r="G84" s="10">
        <f>IF(OR(D84="Uncategorised",E84="",E84="Review"),"Needs category/owner","Resolved")</f>
        <v/>
      </c>
    </row>
    <row r="85">
      <c r="A85" s="11" t="n">
        <v>45729</v>
      </c>
      <c r="B85" s="10" t="inlineStr">
        <is>
          <t>RAKUTENPAY YAKITORI FUJ HOKKAIDO</t>
        </is>
      </c>
      <c r="C85" s="12" t="n">
        <v>293.79</v>
      </c>
      <c r="D85" s="10" t="inlineStr">
        <is>
          <t>Uncategorised</t>
        </is>
      </c>
      <c r="E85" s="10" t="inlineStr">
        <is>
          <t>Review</t>
        </is>
      </c>
      <c r="F85" s="10" t="inlineStr">
        <is>
          <t>Amex Apr-2025</t>
        </is>
      </c>
      <c r="G85" s="10">
        <f>IF(OR(D85="Uncategorised",E85="",E85="Review"),"Needs category/owner","Resolved")</f>
        <v/>
      </c>
    </row>
    <row r="86">
      <c r="A86" s="11" t="n">
        <v>45730</v>
      </c>
      <c r="B86" s="10" t="inlineStr">
        <is>
          <t>PIKANROLLPIZZA PG HOKKAIDO</t>
        </is>
      </c>
      <c r="C86" s="12" t="n">
        <v>257.14</v>
      </c>
      <c r="D86" s="10" t="inlineStr">
        <is>
          <t>Uncategorised</t>
        </is>
      </c>
      <c r="E86" s="10" t="inlineStr">
        <is>
          <t>Review</t>
        </is>
      </c>
      <c r="F86" s="10" t="inlineStr">
        <is>
          <t>Amex Mar-2025</t>
        </is>
      </c>
      <c r="G86" s="10">
        <f>IF(OR(D86="Uncategorised",E86="",E86="Review"),"Needs category/owner","Resolved")</f>
        <v/>
      </c>
    </row>
    <row r="87">
      <c r="A87" s="11" t="n">
        <v>45730</v>
      </c>
      <c r="B87" s="10" t="inlineStr">
        <is>
          <t>TC RISTORANTE THE RHOKKAIDO</t>
        </is>
      </c>
      <c r="C87" s="12" t="n">
        <v>1411.17</v>
      </c>
      <c r="D87" s="10" t="inlineStr">
        <is>
          <t>Uncategorised</t>
        </is>
      </c>
      <c r="E87" s="10" t="inlineStr">
        <is>
          <t>Review</t>
        </is>
      </c>
      <c r="F87" s="10" t="inlineStr">
        <is>
          <t>Amex Mar-2025</t>
        </is>
      </c>
      <c r="G87" s="10">
        <f>IF(OR(D87="Uncategorised",E87="",E87="Review"),"Needs category/owner","Resolved")</f>
        <v/>
      </c>
    </row>
    <row r="88">
      <c r="A88" s="11" t="n">
        <v>45730</v>
      </c>
      <c r="B88" s="10" t="inlineStr">
        <is>
          <t>Trattoria R meng tian jun</t>
        </is>
      </c>
      <c r="C88" s="12" t="n">
        <v>2018.75</v>
      </c>
      <c r="D88" s="10" t="inlineStr">
        <is>
          <t>Uncategorised</t>
        </is>
      </c>
      <c r="E88" s="10" t="inlineStr">
        <is>
          <t>Review</t>
        </is>
      </c>
      <c r="F88" s="10" t="inlineStr">
        <is>
          <t>Amex Mar-2025</t>
        </is>
      </c>
      <c r="G88" s="10">
        <f>IF(OR(D88="Uncategorised",E88="",E88="Review"),"Needs category/owner","Resolved")</f>
        <v/>
      </c>
    </row>
    <row r="89">
      <c r="A89" s="11" t="n">
        <v>45731</v>
      </c>
      <c r="B89" s="10" t="inlineStr">
        <is>
          <t>KIRORORESORT HOKKAIDO</t>
        </is>
      </c>
      <c r="C89" s="12" t="n">
        <v>390.2</v>
      </c>
      <c r="D89" s="10" t="inlineStr">
        <is>
          <t>Uncategorised</t>
        </is>
      </c>
      <c r="E89" s="10" t="inlineStr">
        <is>
          <t>Review</t>
        </is>
      </c>
      <c r="F89" s="10" t="inlineStr">
        <is>
          <t>Amex Mar-2025</t>
        </is>
      </c>
      <c r="G89" s="10">
        <f>IF(OR(D89="Uncategorised",E89="",E89="Review"),"Needs category/owner","Resolved")</f>
        <v/>
      </c>
    </row>
    <row r="90">
      <c r="A90" s="11" t="n">
        <v>45731</v>
      </c>
      <c r="B90" s="10" t="inlineStr">
        <is>
          <t>KIRORORESORT HOKKAIDO</t>
        </is>
      </c>
      <c r="C90" s="12" t="n">
        <v>47.02</v>
      </c>
      <c r="D90" s="10" t="inlineStr">
        <is>
          <t>Uncategorised</t>
        </is>
      </c>
      <c r="E90" s="10" t="inlineStr">
        <is>
          <t>Review</t>
        </is>
      </c>
      <c r="F90" s="10" t="inlineStr">
        <is>
          <t>Amex Mar-2025</t>
        </is>
      </c>
      <c r="G90" s="10">
        <f>IF(OR(D90="Uncategorised",E90="",E90="Review"),"Needs category/owner","Resolved")</f>
        <v/>
      </c>
    </row>
    <row r="91">
      <c r="A91" s="11" t="n">
        <v>45731</v>
      </c>
      <c r="B91" s="10" t="inlineStr">
        <is>
          <t>NisekoBion meng tian jun j</t>
        </is>
      </c>
      <c r="C91" s="12" t="n">
        <v>4703.88</v>
      </c>
      <c r="D91" s="10" t="inlineStr">
        <is>
          <t>Uncategorised</t>
        </is>
      </c>
      <c r="E91" s="10" t="inlineStr">
        <is>
          <t>Review</t>
        </is>
      </c>
      <c r="F91" s="10" t="inlineStr">
        <is>
          <t>Amex Mar-2025</t>
        </is>
      </c>
      <c r="G91" s="10">
        <f>IF(OR(D91="Uncategorised",E91="",E91="Review"),"Needs category/owner","Resolved")</f>
        <v/>
      </c>
    </row>
    <row r="92">
      <c r="A92" s="11" t="n">
        <v>45737</v>
      </c>
      <c r="B92" s="10" t="inlineStr">
        <is>
          <t>KPAY*METAPOD MA-2 00000 HONG KONG</t>
        </is>
      </c>
      <c r="C92" s="12" t="n">
        <v>399</v>
      </c>
      <c r="D92" s="10" t="inlineStr">
        <is>
          <t>Uncategorised</t>
        </is>
      </c>
      <c r="E92" s="10" t="inlineStr">
        <is>
          <t>Review</t>
        </is>
      </c>
      <c r="F92" s="10" t="inlineStr">
        <is>
          <t>Amex Mar-2025</t>
        </is>
      </c>
      <c r="G92" s="10">
        <f>IF(OR(D92="Uncategorised",E92="",E92="Review"),"Needs category/owner","Resolved")</f>
        <v/>
      </c>
    </row>
    <row r="93">
      <c r="A93" s="11" t="n">
        <v>45740</v>
      </c>
      <c r="B93" s="10" t="inlineStr">
        <is>
          <t>EASYJET LUTON</t>
        </is>
      </c>
      <c r="C93" s="12" t="n">
        <v>3541.18</v>
      </c>
      <c r="D93" s="10" t="inlineStr">
        <is>
          <t>Uncategorised</t>
        </is>
      </c>
      <c r="E93" s="10" t="inlineStr">
        <is>
          <t>Review</t>
        </is>
      </c>
      <c r="F93" s="10" t="inlineStr">
        <is>
          <t>Amex Mar-2025</t>
        </is>
      </c>
      <c r="G93" s="10">
        <f>IF(OR(D93="Uncategorised",E93="",E93="Review"),"Needs category/owner","Resolved")</f>
        <v/>
      </c>
    </row>
    <row r="94">
      <c r="A94" s="11" t="n">
        <v>45742</v>
      </c>
      <c r="B94" s="10" t="inlineStr">
        <is>
          <t>3CPAYMENT*BEAVERBROOK HSURREY</t>
        </is>
      </c>
      <c r="C94" s="12" t="n">
        <v>2626.79</v>
      </c>
      <c r="D94" s="10" t="inlineStr">
        <is>
          <t>Uncategorised</t>
        </is>
      </c>
      <c r="E94" s="10" t="inlineStr">
        <is>
          <t>Review</t>
        </is>
      </c>
      <c r="F94" s="10" t="inlineStr">
        <is>
          <t>Amex Apr-2025</t>
        </is>
      </c>
      <c r="G94" s="10">
        <f>IF(OR(D94="Uncategorised",E94="",E94="Review"),"Needs category/owner","Resolved")</f>
        <v/>
      </c>
    </row>
    <row r="95">
      <c r="A95" s="11" t="n">
        <v>45742</v>
      </c>
      <c r="B95" s="10" t="inlineStr">
        <is>
          <t>3CPAYMENT*COACH HOUSE DSURREY</t>
        </is>
      </c>
      <c r="C95" s="12" t="n">
        <v>437.98</v>
      </c>
      <c r="D95" s="10" t="inlineStr">
        <is>
          <t>Uncategorised</t>
        </is>
      </c>
      <c r="E95" s="10" t="inlineStr">
        <is>
          <t>Review</t>
        </is>
      </c>
      <c r="F95" s="10" t="inlineStr">
        <is>
          <t>Amex Apr-2025</t>
        </is>
      </c>
      <c r="G95" s="10">
        <f>IF(OR(D95="Uncategorised",E95="",E95="Review"),"Needs category/owner","Resolved")</f>
        <v/>
      </c>
    </row>
    <row r="96">
      <c r="A96" s="11" t="n">
        <v>45742</v>
      </c>
      <c r="B96" s="10" t="inlineStr">
        <is>
          <t>SP SUSANNE KAUFMANN BEZAU</t>
        </is>
      </c>
      <c r="C96" s="12" t="n">
        <v>2702.7</v>
      </c>
      <c r="D96" s="10" t="inlineStr">
        <is>
          <t>Uncategorised</t>
        </is>
      </c>
      <c r="E96" s="10" t="inlineStr">
        <is>
          <t>Review</t>
        </is>
      </c>
      <c r="F96" s="10" t="inlineStr">
        <is>
          <t>Amex Apr-2025</t>
        </is>
      </c>
      <c r="G96" s="10">
        <f>IF(OR(D96="Uncategorised",E96="",E96="Review"),"Needs category/owner","Resolved")</f>
        <v/>
      </c>
    </row>
    <row r="97">
      <c r="A97" s="11" t="n">
        <v>45743</v>
      </c>
      <c r="B97" s="10" t="inlineStr">
        <is>
          <t>BATH PRIORY HOTEL BATH</t>
        </is>
      </c>
      <c r="C97" s="12" t="n">
        <v>422.67</v>
      </c>
      <c r="D97" s="10" t="inlineStr">
        <is>
          <t>Uncategorised</t>
        </is>
      </c>
      <c r="E97" s="10" t="inlineStr">
        <is>
          <t>Review</t>
        </is>
      </c>
      <c r="F97" s="10" t="inlineStr">
        <is>
          <t>Amex Apr-2025</t>
        </is>
      </c>
      <c r="G97" s="10">
        <f>IF(OR(D97="Uncategorised",E97="",E97="Review"),"Needs category/owner","Resolved")</f>
        <v/>
      </c>
    </row>
    <row r="98">
      <c r="A98" s="11" t="n">
        <v>45744</v>
      </c>
      <c r="B98" s="10" t="inlineStr">
        <is>
          <t>LS UPSTAIRS AT LANDRAC BATH</t>
        </is>
      </c>
      <c r="C98" s="12" t="n">
        <v>41857.13</v>
      </c>
      <c r="D98" s="10" t="inlineStr">
        <is>
          <t>Uncategorised</t>
        </is>
      </c>
      <c r="E98" s="10" t="inlineStr">
        <is>
          <t>Review</t>
        </is>
      </c>
      <c r="F98" s="10" t="inlineStr">
        <is>
          <t>Amex Apr-2025</t>
        </is>
      </c>
      <c r="G98" s="10">
        <f>IF(OR(D98="Uncategorised",E98="",E98="Review"),"Needs category/owner","Resolved")</f>
        <v/>
      </c>
    </row>
    <row r="99">
      <c r="A99" s="11" t="n">
        <v>45744</v>
      </c>
      <c r="B99" s="10" t="inlineStr">
        <is>
          <t>ZETTLE *BECKFORD BOTTLE TISBURY</t>
        </is>
      </c>
      <c r="C99" s="12" t="n">
        <v>5088.15</v>
      </c>
      <c r="D99" s="10" t="inlineStr">
        <is>
          <t>Uncategorised</t>
        </is>
      </c>
      <c r="E99" s="10" t="inlineStr">
        <is>
          <t>Review</t>
        </is>
      </c>
      <c r="F99" s="10" t="inlineStr">
        <is>
          <t>Amex Apr-2025</t>
        </is>
      </c>
      <c r="G99" s="10">
        <f>IF(OR(D99="Uncategorised",E99="",E99="Review"),"Needs category/owner","Resolved")</f>
        <v/>
      </c>
    </row>
    <row r="100">
      <c r="A100" s="11" t="n">
        <v>45745</v>
      </c>
      <c r="B100" s="10" t="inlineStr">
        <is>
          <t>THE NEWT IN SOMERSET SOMERSET</t>
        </is>
      </c>
      <c r="C100" s="12" t="n">
        <v>11338.59</v>
      </c>
      <c r="D100" s="10" t="inlineStr">
        <is>
          <t>Uncategorised</t>
        </is>
      </c>
      <c r="E100" s="10" t="inlineStr">
        <is>
          <t>Review</t>
        </is>
      </c>
      <c r="F100" s="10" t="inlineStr">
        <is>
          <t>Amex Apr-2025</t>
        </is>
      </c>
      <c r="G100" s="10">
        <f>IF(OR(D100="Uncategorised",E100="",E100="Review"),"Needs category/owner","Resolved")</f>
        <v/>
      </c>
    </row>
    <row r="101">
      <c r="A101" s="11" t="n">
        <v>45750</v>
      </c>
      <c r="B101" s="10" t="inlineStr">
        <is>
          <t>AVIDA PORTUGUESA LISBOA</t>
        </is>
      </c>
      <c r="C101" s="12" t="n">
        <v>9868.84</v>
      </c>
      <c r="D101" s="10" t="inlineStr">
        <is>
          <t>Uncategorised</t>
        </is>
      </c>
      <c r="E101" s="10" t="inlineStr">
        <is>
          <t>Review</t>
        </is>
      </c>
      <c r="F101" s="10" t="inlineStr">
        <is>
          <t>Amex Apr-2025</t>
        </is>
      </c>
      <c r="G101" s="10">
        <f>IF(OR(D101="Uncategorised",E101="",E101="Review"),"Needs category/owner","Resolved")</f>
        <v/>
      </c>
    </row>
    <row r="102">
      <c r="A102" s="11" t="n">
        <v>45750</v>
      </c>
      <c r="B102" s="10" t="inlineStr">
        <is>
          <t>GARRAFEIRA NACIONAL LISBOA</t>
        </is>
      </c>
      <c r="C102" s="12" t="n">
        <v>13030.97</v>
      </c>
      <c r="D102" s="10" t="inlineStr">
        <is>
          <t>Uncategorised</t>
        </is>
      </c>
      <c r="E102" s="10" t="inlineStr">
        <is>
          <t>Review</t>
        </is>
      </c>
      <c r="F102" s="10" t="inlineStr">
        <is>
          <t>Amex Apr-2025</t>
        </is>
      </c>
      <c r="G102" s="10">
        <f>IF(OR(D102="Uncategorised",E102="",E102="Review"),"Needs category/owner","Resolved")</f>
        <v/>
      </c>
    </row>
    <row r="103">
      <c r="A103" s="11" t="n">
        <v>45751</v>
      </c>
      <c r="B103" s="10" t="inlineStr">
        <is>
          <t>FREE PEOPLE 4804 38/39 LONDON</t>
        </is>
      </c>
      <c r="C103" s="12" t="n">
        <v>497.39</v>
      </c>
      <c r="D103" s="10" t="inlineStr">
        <is>
          <t>Uncategorised</t>
        </is>
      </c>
      <c r="E103" s="10" t="inlineStr">
        <is>
          <t>Review</t>
        </is>
      </c>
      <c r="F103" s="10" t="inlineStr">
        <is>
          <t>Amex Apr-2025</t>
        </is>
      </c>
      <c r="G103" s="10">
        <f>IF(OR(D103="Uncategorised",E103="",E103="Review"),"Needs category/owner","Resolved")</f>
        <v/>
      </c>
    </row>
    <row r="104">
      <c r="A104" s="11" t="n">
        <v>45751</v>
      </c>
      <c r="B104" s="10" t="inlineStr">
        <is>
          <t>PENINSULA LONDON, LP LONDON</t>
        </is>
      </c>
      <c r="C104" s="12" t="n">
        <v>1978.24</v>
      </c>
      <c r="D104" s="10" t="inlineStr">
        <is>
          <t>Uncategorised</t>
        </is>
      </c>
      <c r="E104" s="10" t="inlineStr">
        <is>
          <t>Review</t>
        </is>
      </c>
      <c r="F104" s="10" t="inlineStr">
        <is>
          <t>Amex Apr-2025</t>
        </is>
      </c>
      <c r="G104" s="10">
        <f>IF(OR(D104="Uncategorised",E104="",E104="Review"),"Needs category/owner","Resolved")</f>
        <v/>
      </c>
    </row>
    <row r="105">
      <c r="A105" s="11" t="n">
        <v>45751</v>
      </c>
      <c r="B105" s="10" t="inlineStr">
        <is>
          <t>SMCP UK LIMITED LONDON</t>
        </is>
      </c>
      <c r="C105" s="12" t="n">
        <v>15371.75</v>
      </c>
      <c r="D105" s="10" t="inlineStr">
        <is>
          <t>Uncategorised</t>
        </is>
      </c>
      <c r="E105" s="10" t="inlineStr">
        <is>
          <t>Review</t>
        </is>
      </c>
      <c r="F105" s="10" t="inlineStr">
        <is>
          <t>Amex Apr-2025</t>
        </is>
      </c>
      <c r="G105" s="10">
        <f>IF(OR(D105="Uncategorised",E105="",E105="Review"),"Needs category/owner","Resolved")</f>
        <v/>
      </c>
    </row>
    <row r="106">
      <c r="A106" s="11" t="n">
        <v>45751</v>
      </c>
      <c r="B106" s="10" t="inlineStr">
        <is>
          <t>SUNSPEL LIMITED NOTTINGHAM</t>
        </is>
      </c>
      <c r="C106" s="12" t="n">
        <v>2776.79</v>
      </c>
      <c r="D106" s="10" t="inlineStr">
        <is>
          <t>Uncategorised</t>
        </is>
      </c>
      <c r="E106" s="10" t="inlineStr">
        <is>
          <t>Review</t>
        </is>
      </c>
      <c r="F106" s="10" t="inlineStr">
        <is>
          <t>Amex Apr-2025</t>
        </is>
      </c>
      <c r="G106" s="10">
        <f>IF(OR(D106="Uncategorised",E106="",E106="Review"),"Needs category/owner","Resolved")</f>
        <v/>
      </c>
    </row>
    <row r="107">
      <c r="A107" s="11" t="n">
        <v>45753</v>
      </c>
      <c r="B107" s="10" t="inlineStr">
        <is>
          <t>DOJO*OTTOLENGHI PAVILIO LONDON</t>
        </is>
      </c>
      <c r="C107" s="12" t="n">
        <v>127.41</v>
      </c>
      <c r="D107" s="10" t="inlineStr">
        <is>
          <t>Uncategorised</t>
        </is>
      </c>
      <c r="E107" s="10" t="inlineStr">
        <is>
          <t>Review</t>
        </is>
      </c>
      <c r="F107" s="10" t="inlineStr">
        <is>
          <t>Amex Apr-2025</t>
        </is>
      </c>
      <c r="G107" s="10">
        <f>IF(OR(D107="Uncategorised",E107="",E107="Review"),"Needs category/owner","Resolved")</f>
        <v/>
      </c>
    </row>
    <row r="108">
      <c r="A108" s="11" t="n">
        <v>45755</v>
      </c>
      <c r="B108" s="10" t="inlineStr">
        <is>
          <t>HAI NA TRADING LIMITED BATH</t>
        </is>
      </c>
      <c r="C108" s="12" t="n">
        <v>100.02</v>
      </c>
      <c r="D108" s="10" t="inlineStr">
        <is>
          <t>Uncategorised</t>
        </is>
      </c>
      <c r="E108" s="10" t="inlineStr">
        <is>
          <t>Review</t>
        </is>
      </c>
      <c r="F108" s="10" t="inlineStr">
        <is>
          <t>Amex Apr-2025</t>
        </is>
      </c>
      <c r="G108" s="10">
        <f>IF(OR(D108="Uncategorised",E108="",E108="Review"),"Needs category/owner","Resolved")</f>
        <v/>
      </c>
    </row>
    <row r="109">
      <c r="A109" s="11" t="n">
        <v>45755</v>
      </c>
      <c r="B109" s="10" t="inlineStr">
        <is>
          <t>HTOKUMINE@JAPANCENTRE.CLONDON</t>
        </is>
      </c>
      <c r="C109" s="12" t="n">
        <v>693.52</v>
      </c>
      <c r="D109" s="10" t="inlineStr">
        <is>
          <t>Uncategorised</t>
        </is>
      </c>
      <c r="E109" s="10" t="inlineStr">
        <is>
          <t>Review</t>
        </is>
      </c>
      <c r="F109" s="10" t="inlineStr">
        <is>
          <t>Amex Apr-2025</t>
        </is>
      </c>
      <c r="G109" s="10">
        <f>IF(OR(D109="Uncategorised",E109="",E109="Review"),"Needs category/owner","Resolved")</f>
        <v/>
      </c>
    </row>
    <row r="110">
      <c r="A110" s="11" t="n">
        <v>45756</v>
      </c>
      <c r="B110" s="10" t="inlineStr">
        <is>
          <t>Colonna and Smalls Ltd Bath</t>
        </is>
      </c>
      <c r="C110" s="12" t="n">
        <v>202.88</v>
      </c>
      <c r="D110" s="10" t="inlineStr">
        <is>
          <t>Uncategorised</t>
        </is>
      </c>
      <c r="E110" s="10" t="inlineStr">
        <is>
          <t>Review</t>
        </is>
      </c>
      <c r="F110" s="10" t="inlineStr">
        <is>
          <t>Amex Apr-2025</t>
        </is>
      </c>
      <c r="G110" s="10">
        <f>IF(OR(D110="Uncategorised",E110="",E110="Review"),"Needs category/owner","Resolved")</f>
        <v/>
      </c>
    </row>
    <row r="111">
      <c r="A111" s="11" t="n">
        <v>45756</v>
      </c>
      <c r="B111" s="10" t="inlineStr">
        <is>
          <t>LS RUNNING BATH BATH</t>
        </is>
      </c>
      <c r="C111" s="12" t="n">
        <v>456.19</v>
      </c>
      <c r="D111" s="10" t="inlineStr">
        <is>
          <t>Uncategorised</t>
        </is>
      </c>
      <c r="E111" s="10" t="inlineStr">
        <is>
          <t>Review</t>
        </is>
      </c>
      <c r="F111" s="10" t="inlineStr">
        <is>
          <t>Amex Apr-2025</t>
        </is>
      </c>
      <c r="G111" s="10">
        <f>IF(OR(D111="Uncategorised",E111="",E111="Review"),"Needs category/owner","Resolved")</f>
        <v/>
      </c>
    </row>
    <row r="112">
      <c r="A112" s="11" t="n">
        <v>45756</v>
      </c>
      <c r="B112" s="10" t="inlineStr">
        <is>
          <t>SP AWAKE-MODE LONDON</t>
        </is>
      </c>
      <c r="C112" s="12" t="n">
        <v>5173.36</v>
      </c>
      <c r="D112" s="10" t="inlineStr">
        <is>
          <t>Uncategorised</t>
        </is>
      </c>
      <c r="E112" s="10" t="inlineStr">
        <is>
          <t>Review</t>
        </is>
      </c>
      <c r="F112" s="10" t="inlineStr">
        <is>
          <t>Amex Apr-2025</t>
        </is>
      </c>
      <c r="G112" s="10">
        <f>IF(OR(D112="Uncategorised",E112="",E112="Review"),"Needs category/owner","Resolved")</f>
        <v/>
      </c>
    </row>
    <row r="113">
      <c r="A113" s="11" t="n">
        <v>45763</v>
      </c>
      <c r="B113" s="10" t="inlineStr">
        <is>
          <t>SP HEALF MANCHESTER</t>
        </is>
      </c>
      <c r="C113" s="12" t="n">
        <v>8096.29</v>
      </c>
      <c r="D113" s="10" t="inlineStr">
        <is>
          <t>Uncategorised</t>
        </is>
      </c>
      <c r="E113" s="10" t="inlineStr">
        <is>
          <t>Review</t>
        </is>
      </c>
      <c r="F113" s="10" t="inlineStr">
        <is>
          <t>Amex Apr-2025</t>
        </is>
      </c>
      <c r="G113" s="10">
        <f>IF(OR(D113="Uncategorised",E113="",E113="Review"),"Needs category/owner","Resolved")</f>
        <v/>
      </c>
    </row>
    <row r="114">
      <c r="A114" s="11" t="n">
        <v>45765</v>
      </c>
      <c r="B114" s="10" t="inlineStr">
        <is>
          <t>SP SOUS CHEF LONDON</t>
        </is>
      </c>
      <c r="C114" s="12" t="n">
        <v>1757.37</v>
      </c>
      <c r="D114" s="10" t="inlineStr">
        <is>
          <t>Uncategorised</t>
        </is>
      </c>
      <c r="E114" s="10" t="inlineStr">
        <is>
          <t>Review</t>
        </is>
      </c>
      <c r="F114" s="10" t="inlineStr">
        <is>
          <t>Amex Apr-2025</t>
        </is>
      </c>
      <c r="G114" s="10">
        <f>IF(OR(D114="Uncategorised",E114="",E114="Review"),"Needs category/owner","Resolved")</f>
        <v/>
      </c>
    </row>
    <row r="115">
      <c r="A115" s="11" t="n">
        <v>45769</v>
      </c>
      <c r="B115" s="10" t="inlineStr">
        <is>
          <t>Colonna and Smalls Ltd Bath</t>
        </is>
      </c>
      <c r="C115" s="12" t="n">
        <v>318.84</v>
      </c>
      <c r="D115" s="10" t="inlineStr">
        <is>
          <t>Uncategorised</t>
        </is>
      </c>
      <c r="E115" s="10" t="inlineStr">
        <is>
          <t>Review</t>
        </is>
      </c>
      <c r="F115" s="10" t="inlineStr">
        <is>
          <t>Amex Apr-2025</t>
        </is>
      </c>
      <c r="G115" s="10">
        <f>IF(OR(D115="Uncategorised",E115="",E115="Review"),"Needs category/owner","Resolved")</f>
        <v/>
      </c>
    </row>
    <row r="116">
      <c r="A116" s="11" t="n">
        <v>45770</v>
      </c>
      <c r="B116" s="10" t="inlineStr">
        <is>
          <t>ANTHROPOLOGIE 4505 1-4 BATH</t>
        </is>
      </c>
      <c r="C116" s="12" t="n">
        <v>1862.78</v>
      </c>
      <c r="D116" s="10" t="inlineStr">
        <is>
          <t>Uncategorised</t>
        </is>
      </c>
      <c r="E116" s="10" t="inlineStr">
        <is>
          <t>Review</t>
        </is>
      </c>
      <c r="F116" s="10" t="inlineStr">
        <is>
          <t>Amex Apr-2025</t>
        </is>
      </c>
      <c r="G116" s="10">
        <f>IF(OR(D116="Uncategorised",E116="",E116="Review"),"Needs category/owner","Resolved")</f>
        <v/>
      </c>
    </row>
    <row r="117">
      <c r="A117" s="11" t="n">
        <v>45770</v>
      </c>
      <c r="B117" s="10" t="inlineStr">
        <is>
          <t>SP SOUS CHEF LONDON</t>
        </is>
      </c>
      <c r="C117" s="12" t="n">
        <v>1065.25</v>
      </c>
      <c r="D117" s="10" t="inlineStr">
        <is>
          <t>Uncategorised</t>
        </is>
      </c>
      <c r="E117" s="10" t="inlineStr">
        <is>
          <t>Review</t>
        </is>
      </c>
      <c r="F117" s="10" t="inlineStr">
        <is>
          <t>Amex Apr-2025</t>
        </is>
      </c>
      <c r="G117" s="10">
        <f>IF(OR(D117="Uncategorised",E117="",E117="Review"),"Needs category/owner","Resolved")</f>
        <v/>
      </c>
    </row>
    <row r="118">
      <c r="A118" s="11" t="n">
        <v>45771</v>
      </c>
      <c r="B118" s="10" t="inlineStr">
        <is>
          <t>Anemone Bath</t>
        </is>
      </c>
      <c r="C118" s="12" t="n">
        <v>559.6900000000001</v>
      </c>
      <c r="D118" s="10" t="inlineStr">
        <is>
          <t>Uncategorised</t>
        </is>
      </c>
      <c r="E118" s="10" t="inlineStr">
        <is>
          <t>Review</t>
        </is>
      </c>
      <c r="F118" s="10" t="inlineStr">
        <is>
          <t>Amex Apr-2025</t>
        </is>
      </c>
      <c r="G118" s="10">
        <f>IF(OR(D118="Uncategorised",E118="",E118="Review"),"Needs category/owner","Resolved")</f>
        <v/>
      </c>
    </row>
    <row r="119">
      <c r="A119" s="11" t="n">
        <v>45771</v>
      </c>
      <c r="B119" s="10" t="inlineStr">
        <is>
          <t>Colonna and Smalls Ltd Bath</t>
        </is>
      </c>
      <c r="C119" s="12" t="n">
        <v>432.99</v>
      </c>
      <c r="D119" s="10" t="inlineStr">
        <is>
          <t>Uncategorised</t>
        </is>
      </c>
      <c r="E119" s="10" t="inlineStr">
        <is>
          <t>Review</t>
        </is>
      </c>
      <c r="F119" s="10" t="inlineStr">
        <is>
          <t>Amex Apr-2025</t>
        </is>
      </c>
      <c r="G119" s="10">
        <f>IF(OR(D119="Uncategorised",E119="",E119="Review"),"Needs category/owner","Resolved")</f>
        <v/>
      </c>
    </row>
    <row r="120">
      <c r="A120" s="11" t="n">
        <v>45771</v>
      </c>
      <c r="B120" s="10" t="inlineStr">
        <is>
          <t>PROCOOK GLOUCESTER</t>
        </is>
      </c>
      <c r="C120" s="12" t="n">
        <v>591.35</v>
      </c>
      <c r="D120" s="10" t="inlineStr">
        <is>
          <t>Uncategorised</t>
        </is>
      </c>
      <c r="E120" s="10" t="inlineStr">
        <is>
          <t>Review</t>
        </is>
      </c>
      <c r="F120" s="10" t="inlineStr">
        <is>
          <t>Amex Apr-2025</t>
        </is>
      </c>
      <c r="G120" s="10">
        <f>IF(OR(D120="Uncategorised",E120="",E120="Review"),"Needs category/owner","Resolved")</f>
        <v/>
      </c>
    </row>
    <row r="121">
      <c r="A121" s="11" t="n">
        <v>45771</v>
      </c>
      <c r="B121" s="10" t="inlineStr">
        <is>
          <t>ROSSITERS OF BATH ROSSI BATH</t>
        </is>
      </c>
      <c r="C121" s="12" t="n">
        <v>533.26</v>
      </c>
      <c r="D121" s="10" t="inlineStr">
        <is>
          <t>Uncategorised</t>
        </is>
      </c>
      <c r="E121" s="10" t="inlineStr">
        <is>
          <t>Review</t>
        </is>
      </c>
      <c r="F121" s="10" t="inlineStr">
        <is>
          <t>Amex Apr-2025</t>
        </is>
      </c>
      <c r="G121" s="10">
        <f>IF(OR(D121="Uncategorised",E121="",E121="Review"),"Needs category/owner","Resolved")</f>
        <v/>
      </c>
    </row>
    <row r="122">
      <c r="A122" s="11" t="n">
        <v>45773</v>
      </c>
      <c r="B122" s="10" t="inlineStr">
        <is>
          <t>PAYPAL *CHOCOLATETR 08700508244</t>
        </is>
      </c>
      <c r="C122" s="12" t="n">
        <v>846.09</v>
      </c>
      <c r="D122" s="10" t="inlineStr">
        <is>
          <t>Uncategorised</t>
        </is>
      </c>
      <c r="E122" s="10" t="inlineStr">
        <is>
          <t>Review</t>
        </is>
      </c>
      <c r="F122" s="10" t="inlineStr">
        <is>
          <t>Amex May-2025</t>
        </is>
      </c>
      <c r="G122" s="10">
        <f>IF(OR(D122="Uncategorised",E122="",E122="Review"),"Needs category/owner","Resolved")</f>
        <v/>
      </c>
    </row>
    <row r="123">
      <c r="A123" s="11" t="n">
        <v>45774</v>
      </c>
      <c r="B123" s="10" t="inlineStr">
        <is>
          <t>PAYPAL *CHAPELIER 4029357733</t>
        </is>
      </c>
      <c r="C123" s="12" t="n">
        <v>8923.200000000001</v>
      </c>
      <c r="D123" s="10" t="inlineStr">
        <is>
          <t>Uncategorised</t>
        </is>
      </c>
      <c r="E123" s="10" t="inlineStr">
        <is>
          <t>Review</t>
        </is>
      </c>
      <c r="F123" s="10" t="inlineStr">
        <is>
          <t>Amex May-2025</t>
        </is>
      </c>
      <c r="G123" s="10">
        <f>IF(OR(D123="Uncategorised",E123="",E123="Review"),"Needs category/owner","Resolved")</f>
        <v/>
      </c>
    </row>
    <row r="124">
      <c r="A124" s="11" t="n">
        <v>45777</v>
      </c>
      <c r="B124" s="10" t="inlineStr">
        <is>
          <t>3CPAYMENT*PARK HZ OPCO BERN</t>
        </is>
      </c>
      <c r="C124" s="12" t="n">
        <v>15429.61</v>
      </c>
      <c r="D124" s="10" t="inlineStr">
        <is>
          <t>Uncategorised</t>
        </is>
      </c>
      <c r="E124" s="10" t="inlineStr">
        <is>
          <t>Review</t>
        </is>
      </c>
      <c r="F124" s="10" t="inlineStr">
        <is>
          <t>Amex May-2025</t>
        </is>
      </c>
      <c r="G124" s="10">
        <f>IF(OR(D124="Uncategorised",E124="",E124="Review"),"Needs category/owner","Resolved")</f>
        <v/>
      </c>
    </row>
    <row r="125">
      <c r="A125" s="11" t="n">
        <v>45778</v>
      </c>
      <c r="B125" s="10" t="inlineStr">
        <is>
          <t>TEMPURA JIRO CENTRAL</t>
        </is>
      </c>
      <c r="C125" s="12" t="n">
        <v>2970</v>
      </c>
      <c r="D125" s="10" t="inlineStr">
        <is>
          <t>Uncategorised</t>
        </is>
      </c>
      <c r="E125" s="10" t="inlineStr">
        <is>
          <t>Review</t>
        </is>
      </c>
      <c r="F125" s="10" t="inlineStr">
        <is>
          <t>Amex May-2025</t>
        </is>
      </c>
      <c r="G125" s="10">
        <f>IF(OR(D125="Uncategorised",E125="",E125="Review"),"Needs category/owner","Resolved")</f>
        <v/>
      </c>
    </row>
    <row r="126">
      <c r="A126" s="11" t="n">
        <v>45781</v>
      </c>
      <c r="B126" s="10" t="inlineStr">
        <is>
          <t>SP MOMOFUKU PEACHY KNEW YORK</t>
        </is>
      </c>
      <c r="C126" s="12" t="n">
        <v>1060.08</v>
      </c>
      <c r="D126" s="10" t="inlineStr">
        <is>
          <t>Uncategorised</t>
        </is>
      </c>
      <c r="E126" s="10" t="inlineStr">
        <is>
          <t>Review</t>
        </is>
      </c>
      <c r="F126" s="10" t="inlineStr">
        <is>
          <t>Amex May-2025</t>
        </is>
      </c>
      <c r="G126" s="10">
        <f>IF(OR(D126="Uncategorised",E126="",E126="Review"),"Needs category/owner","Resolved")</f>
        <v/>
      </c>
    </row>
    <row r="127">
      <c r="A127" s="11" t="n">
        <v>45785</v>
      </c>
      <c r="B127" s="10" t="inlineStr">
        <is>
          <t>BBMSL*ASOCIETY GROUP LHK</t>
        </is>
      </c>
      <c r="C127" s="12" t="n">
        <v>1280</v>
      </c>
      <c r="D127" s="10" t="inlineStr">
        <is>
          <t>Uncategorised</t>
        </is>
      </c>
      <c r="E127" s="10" t="inlineStr">
        <is>
          <t>Review</t>
        </is>
      </c>
      <c r="F127" s="10" t="inlineStr">
        <is>
          <t>Amex May-2025</t>
        </is>
      </c>
      <c r="G127" s="10">
        <f>IF(OR(D127="Uncategorised",E127="",E127="Review"),"Needs category/owner","Resolved")</f>
        <v/>
      </c>
    </row>
    <row r="128">
      <c r="A128" s="11" t="n">
        <v>45785</v>
      </c>
      <c r="B128" s="10" t="inlineStr">
        <is>
          <t>PUYI OPTICAL LIMITED CENTRAL</t>
        </is>
      </c>
      <c r="C128" s="12" t="n">
        <v>11305</v>
      </c>
      <c r="D128" s="10" t="inlineStr">
        <is>
          <t>Uncategorised</t>
        </is>
      </c>
      <c r="E128" s="10" t="inlineStr">
        <is>
          <t>Review</t>
        </is>
      </c>
      <c r="F128" s="10" t="inlineStr">
        <is>
          <t>Amex May-2025</t>
        </is>
      </c>
      <c r="G128" s="10">
        <f>IF(OR(D128="Uncategorised",E128="",E128="Review"),"Needs category/owner","Resolved")</f>
        <v/>
      </c>
    </row>
    <row r="129">
      <c r="A129" s="11" t="n">
        <v>45789</v>
      </c>
      <c r="B129" s="10" t="inlineStr">
        <is>
          <t>PAYPAL *CHAPELIER 4029357733</t>
        </is>
      </c>
      <c r="C129" s="12" t="n">
        <v>-49.08</v>
      </c>
      <c r="D129" s="10" t="inlineStr">
        <is>
          <t>Uncategorised</t>
        </is>
      </c>
      <c r="E129" s="10" t="inlineStr">
        <is>
          <t>Review</t>
        </is>
      </c>
      <c r="F129" s="10" t="inlineStr">
        <is>
          <t>Amex May-2025</t>
        </is>
      </c>
      <c r="G129" s="10">
        <f>IF(OR(D129="Uncategorised",E129="",E129="Review"),"Needs category/owner","Resolved")</f>
        <v/>
      </c>
    </row>
    <row r="130">
      <c r="A130" s="11" t="n">
        <v>45791</v>
      </c>
      <c r="B130" s="10" t="inlineStr">
        <is>
          <t>LIMITLESS SNOWSPORTS ABUTAGUN</t>
        </is>
      </c>
      <c r="C130" s="12" t="n">
        <v>25476.97</v>
      </c>
      <c r="D130" s="10" t="inlineStr">
        <is>
          <t>Uncategorised</t>
        </is>
      </c>
      <c r="E130" s="10" t="inlineStr">
        <is>
          <t>Review</t>
        </is>
      </c>
      <c r="F130" s="10" t="inlineStr">
        <is>
          <t>Amex May-2025</t>
        </is>
      </c>
      <c r="G130" s="10">
        <f>IF(OR(D130="Uncategorised",E130="",E130="Review"),"Needs category/owner","Resolved")</f>
        <v/>
      </c>
    </row>
    <row r="131">
      <c r="A131" s="11" t="n">
        <v>45793</v>
      </c>
      <c r="B131" s="10" t="inlineStr">
        <is>
          <t>NESPRESSO HONG KONG YUEN LONG</t>
        </is>
      </c>
      <c r="C131" s="12" t="n">
        <v>1588</v>
      </c>
      <c r="D131" s="10" t="inlineStr">
        <is>
          <t>Uncategorised</t>
        </is>
      </c>
      <c r="E131" s="10" t="inlineStr">
        <is>
          <t>Review</t>
        </is>
      </c>
      <c r="F131" s="10" t="inlineStr">
        <is>
          <t>Amex May-2025</t>
        </is>
      </c>
      <c r="G131" s="10">
        <f>IF(OR(D131="Uncategorised",E131="",E131="Review"),"Needs category/owner","Resolved")</f>
        <v/>
      </c>
    </row>
    <row r="132">
      <c r="A132" s="11" t="n">
        <v>45793</v>
      </c>
      <c r="B132" s="10" t="inlineStr">
        <is>
          <t>ON HONG KONG LTD. WAN CHAI</t>
        </is>
      </c>
      <c r="C132" s="12" t="n">
        <v>1490</v>
      </c>
      <c r="D132" s="10" t="inlineStr">
        <is>
          <t>Uncategorised</t>
        </is>
      </c>
      <c r="E132" s="10" t="inlineStr">
        <is>
          <t>Review</t>
        </is>
      </c>
      <c r="F132" s="10" t="inlineStr">
        <is>
          <t>Amex May-2025</t>
        </is>
      </c>
      <c r="G132" s="10">
        <f>IF(OR(D132="Uncategorised",E132="",E132="Review"),"Needs category/owner","Resolved")</f>
        <v/>
      </c>
    </row>
    <row r="133">
      <c r="A133" s="11" t="n">
        <v>45793</v>
      </c>
      <c r="B133" s="10" t="inlineStr">
        <is>
          <t>SOGO HONG KONG CO LTD CAUSEWAY BAY</t>
        </is>
      </c>
      <c r="C133" s="12" t="n">
        <v>2462.5</v>
      </c>
      <c r="D133" s="10" t="inlineStr">
        <is>
          <t>Uncategorised</t>
        </is>
      </c>
      <c r="E133" s="10" t="inlineStr">
        <is>
          <t>Review</t>
        </is>
      </c>
      <c r="F133" s="10" t="inlineStr">
        <is>
          <t>Amex May-2025</t>
        </is>
      </c>
      <c r="G133" s="10">
        <f>IF(OR(D133="Uncategorised",E133="",E133="Review"),"Needs category/owner","Resolved")</f>
        <v/>
      </c>
    </row>
    <row r="134">
      <c r="A134" s="11" t="n">
        <v>45793</v>
      </c>
      <c r="B134" s="10" t="inlineStr">
        <is>
          <t>SOGO HONG KONG CO LTD CAUSEWAY BAY</t>
        </is>
      </c>
      <c r="C134" s="12" t="n">
        <v>616</v>
      </c>
      <c r="D134" s="10" t="inlineStr">
        <is>
          <t>Uncategorised</t>
        </is>
      </c>
      <c r="E134" s="10" t="inlineStr">
        <is>
          <t>Review</t>
        </is>
      </c>
      <c r="F134" s="10" t="inlineStr">
        <is>
          <t>Amex May-2025</t>
        </is>
      </c>
      <c r="G134" s="10">
        <f>IF(OR(D134="Uncategorised",E134="",E134="Review"),"Needs category/owner","Resolved")</f>
        <v/>
      </c>
    </row>
    <row r="135">
      <c r="A135" s="11" t="n">
        <v>45794</v>
      </c>
      <c r="B135" s="10" t="inlineStr">
        <is>
          <t>MANDARIN ORIENTAL-BOOK CENTRAL</t>
        </is>
      </c>
      <c r="C135" s="12" t="n">
        <v>45</v>
      </c>
      <c r="D135" s="10" t="inlineStr">
        <is>
          <t>Uncategorised</t>
        </is>
      </c>
      <c r="E135" s="10" t="inlineStr">
        <is>
          <t>Review</t>
        </is>
      </c>
      <c r="F135" s="10" t="inlineStr">
        <is>
          <t>Amex May-2025</t>
        </is>
      </c>
      <c r="G135" s="10">
        <f>IF(OR(D135="Uncategorised",E135="",E135="Review"),"Needs category/owner","Resolved")</f>
        <v/>
      </c>
    </row>
    <row r="136">
      <c r="A136" s="11" t="n">
        <v>45796</v>
      </c>
      <c r="B136" s="10" t="inlineStr">
        <is>
          <t>CHEVRON 0090206/CHEVRON MILLBRAE</t>
        </is>
      </c>
      <c r="C136" s="12" t="n">
        <v>29.35</v>
      </c>
      <c r="D136" s="10" t="inlineStr">
        <is>
          <t>Uncategorised</t>
        </is>
      </c>
      <c r="E136" s="10" t="inlineStr">
        <is>
          <t>Review</t>
        </is>
      </c>
      <c r="F136" s="10" t="inlineStr">
        <is>
          <t>Amex May-2025</t>
        </is>
      </c>
      <c r="G136" s="10">
        <f>IF(OR(D136="Uncategorised",E136="",E136="Review"),"Needs category/owner","Resolved")</f>
        <v/>
      </c>
    </row>
    <row r="137">
      <c r="A137" s="11" t="n">
        <v>45796</v>
      </c>
      <c r="B137" s="10" t="inlineStr">
        <is>
          <t>JAL INTL INFLIGHT SALES TOKYO JAPAN</t>
        </is>
      </c>
      <c r="C137" s="12" t="n">
        <v>190.51</v>
      </c>
      <c r="D137" s="10" t="inlineStr">
        <is>
          <t>Uncategorised</t>
        </is>
      </c>
      <c r="E137" s="10" t="inlineStr">
        <is>
          <t>Review</t>
        </is>
      </c>
      <c r="F137" s="10" t="inlineStr">
        <is>
          <t>Amex Jun-2025</t>
        </is>
      </c>
      <c r="G137" s="10">
        <f>IF(OR(D137="Uncategorised",E137="",E137="Review"),"Needs category/owner","Resolved")</f>
        <v/>
      </c>
    </row>
    <row r="138">
      <c r="A138" s="11" t="n">
        <v>45796</v>
      </c>
      <c r="B138" s="10" t="inlineStr">
        <is>
          <t>SHELL SERVICE STATION 1 SAN MATEO</t>
        </is>
      </c>
      <c r="C138" s="12" t="n">
        <v>85.98999999999999</v>
      </c>
      <c r="D138" s="10" t="inlineStr">
        <is>
          <t>Uncategorised</t>
        </is>
      </c>
      <c r="E138" s="10" t="inlineStr">
        <is>
          <t>Review</t>
        </is>
      </c>
      <c r="F138" s="10" t="inlineStr">
        <is>
          <t>Amex May-2025</t>
        </is>
      </c>
      <c r="G138" s="10">
        <f>IF(OR(D138="Uncategorised",E138="",E138="Review"),"Needs category/owner","Resolved")</f>
        <v/>
      </c>
    </row>
    <row r="139">
      <c r="A139" s="11" t="n">
        <v>45797</v>
      </c>
      <c r="B139" s="10" t="inlineStr">
        <is>
          <t>BOOKAZINE CENTRAL</t>
        </is>
      </c>
      <c r="C139" s="12" t="n">
        <v>192</v>
      </c>
      <c r="D139" s="10" t="inlineStr">
        <is>
          <t>Uncategorised</t>
        </is>
      </c>
      <c r="E139" s="10" t="inlineStr">
        <is>
          <t>Review</t>
        </is>
      </c>
      <c r="F139" s="10" t="inlineStr">
        <is>
          <t>Amex May-2025</t>
        </is>
      </c>
      <c r="G139" s="10">
        <f>IF(OR(D139="Uncategorised",E139="",E139="Review"),"Needs category/owner","Resolved")</f>
        <v/>
      </c>
    </row>
    <row r="140">
      <c r="A140" s="11" t="n">
        <v>45797</v>
      </c>
      <c r="B140" s="10" t="inlineStr">
        <is>
          <t>CVS/PHARMACY #09652 000 WEST HOLLYWOO</t>
        </is>
      </c>
      <c r="C140" s="12" t="n">
        <v>642.11</v>
      </c>
      <c r="D140" s="10" t="inlineStr">
        <is>
          <t>Uncategorised</t>
        </is>
      </c>
      <c r="E140" s="10" t="inlineStr">
        <is>
          <t>Review</t>
        </is>
      </c>
      <c r="F140" s="10" t="inlineStr">
        <is>
          <t>Amex May-2025</t>
        </is>
      </c>
      <c r="G140" s="10">
        <f>IF(OR(D140="Uncategorised",E140="",E140="Review"),"Needs category/owner","Resolved")</f>
        <v/>
      </c>
    </row>
    <row r="141">
      <c r="A141" s="11" t="n">
        <v>45798</v>
      </c>
      <c r="B141" s="10" t="inlineStr">
        <is>
          <t>EREWHON SANTA MONICA 00 Santa Monica</t>
        </is>
      </c>
      <c r="C141" s="12" t="n">
        <v>3525.78</v>
      </c>
      <c r="D141" s="10" t="inlineStr">
        <is>
          <t>Uncategorised</t>
        </is>
      </c>
      <c r="E141" s="10" t="inlineStr">
        <is>
          <t>Review</t>
        </is>
      </c>
      <c r="F141" s="10" t="inlineStr">
        <is>
          <t>Amex May-2025</t>
        </is>
      </c>
      <c r="G141" s="10">
        <f>IF(OR(D141="Uncategorised",E141="",E141="Review"),"Needs category/owner","Resolved")</f>
        <v/>
      </c>
    </row>
    <row r="142">
      <c r="A142" s="11" t="n">
        <v>45798</v>
      </c>
      <c r="B142" s="10" t="inlineStr">
        <is>
          <t>SIMPLY TOYS ADMIRALTY</t>
        </is>
      </c>
      <c r="C142" s="12" t="n">
        <v>983</v>
      </c>
      <c r="D142" s="10" t="inlineStr">
        <is>
          <t>Uncategorised</t>
        </is>
      </c>
      <c r="E142" s="10" t="inlineStr">
        <is>
          <t>Review</t>
        </is>
      </c>
      <c r="F142" s="10" t="inlineStr">
        <is>
          <t>Amex May-2025</t>
        </is>
      </c>
      <c r="G142" s="10">
        <f>IF(OR(D142="Uncategorised",E142="",E142="Review"),"Needs category/owner","Resolved")</f>
        <v/>
      </c>
    </row>
    <row r="143">
      <c r="A143" s="11" t="n">
        <v>45798</v>
      </c>
      <c r="B143" s="10" t="inlineStr">
        <is>
          <t>ZARA - PACIFIC PLACE ADMIRALTY</t>
        </is>
      </c>
      <c r="C143" s="12" t="n">
        <v>399</v>
      </c>
      <c r="D143" s="10" t="inlineStr">
        <is>
          <t>Uncategorised</t>
        </is>
      </c>
      <c r="E143" s="10" t="inlineStr">
        <is>
          <t>Review</t>
        </is>
      </c>
      <c r="F143" s="10" t="inlineStr">
        <is>
          <t>Amex May-2025</t>
        </is>
      </c>
      <c r="G143" s="10">
        <f>IF(OR(D143="Uncategorised",E143="",E143="Review"),"Needs category/owner","Resolved")</f>
        <v/>
      </c>
    </row>
    <row r="144">
      <c r="A144" s="11" t="n">
        <v>45801</v>
      </c>
      <c r="B144" s="10" t="inlineStr">
        <is>
          <t>COHIBA CIGAR DIVAN HONG KONG</t>
        </is>
      </c>
      <c r="C144" s="12" t="n">
        <v>20400</v>
      </c>
      <c r="D144" s="10" t="inlineStr">
        <is>
          <t>Uncategorised</t>
        </is>
      </c>
      <c r="E144" s="10" t="inlineStr">
        <is>
          <t>Review</t>
        </is>
      </c>
      <c r="F144" s="10" t="inlineStr">
        <is>
          <t>Amex May-2025</t>
        </is>
      </c>
      <c r="G144" s="10">
        <f>IF(OR(D144="Uncategorised",E144="",E144="Review"),"Needs category/owner","Resolved")</f>
        <v/>
      </c>
    </row>
    <row r="145">
      <c r="A145" s="11" t="n">
        <v>45801</v>
      </c>
      <c r="B145" s="10" t="inlineStr">
        <is>
          <t>ISABEL MARANT - LANDMAR CENTRAL</t>
        </is>
      </c>
      <c r="C145" s="12" t="n">
        <v>6631</v>
      </c>
      <c r="D145" s="10" t="inlineStr">
        <is>
          <t>Uncategorised</t>
        </is>
      </c>
      <c r="E145" s="10" t="inlineStr">
        <is>
          <t>Review</t>
        </is>
      </c>
      <c r="F145" s="10" t="inlineStr">
        <is>
          <t>Amex May-2025</t>
        </is>
      </c>
      <c r="G145" s="10">
        <f>IF(OR(D145="Uncategorised",E145="",E145="Review"),"Needs category/owner","Resolved")</f>
        <v/>
      </c>
    </row>
    <row r="146">
      <c r="A146" s="11" t="n">
        <v>45801</v>
      </c>
      <c r="B146" s="10" t="inlineStr">
        <is>
          <t>KANESAKA HONG KONG CENTRAL</t>
        </is>
      </c>
      <c r="C146" s="12" t="n">
        <v>6171</v>
      </c>
      <c r="D146" s="10" t="inlineStr">
        <is>
          <t>Uncategorised</t>
        </is>
      </c>
      <c r="E146" s="10" t="inlineStr">
        <is>
          <t>Review</t>
        </is>
      </c>
      <c r="F146" s="10" t="inlineStr">
        <is>
          <t>Amex May-2025</t>
        </is>
      </c>
      <c r="G146" s="10">
        <f>IF(OR(D146="Uncategorised",E146="",E146="Review"),"Needs category/owner","Resolved")</f>
        <v/>
      </c>
    </row>
    <row r="147">
      <c r="A147" s="11" t="n">
        <v>45804</v>
      </c>
      <c r="B147" s="10" t="inlineStr">
        <is>
          <t>NATIONAL CAR RENTAL SAN JOSE DEL CA</t>
        </is>
      </c>
      <c r="C147" s="12" t="n">
        <v>45214.7</v>
      </c>
      <c r="D147" s="10" t="inlineStr">
        <is>
          <t>Uncategorised</t>
        </is>
      </c>
      <c r="E147" s="10" t="inlineStr">
        <is>
          <t>Review</t>
        </is>
      </c>
      <c r="F147" s="10" t="inlineStr">
        <is>
          <t>Amex Jun-2025</t>
        </is>
      </c>
      <c r="G147" s="10">
        <f>IF(OR(D147="Uncategorised",E147="",E147="Review"),"Needs category/owner","Resolved")</f>
        <v/>
      </c>
    </row>
    <row r="148">
      <c r="A148" s="11" t="n">
        <v>45806</v>
      </c>
      <c r="B148" s="10" t="inlineStr">
        <is>
          <t>SP AMONG EQUALS CLOVELLY</t>
        </is>
      </c>
      <c r="C148" s="12" t="n">
        <v>5163.71</v>
      </c>
      <c r="D148" s="10" t="inlineStr">
        <is>
          <t>Uncategorised</t>
        </is>
      </c>
      <c r="E148" s="10" t="inlineStr">
        <is>
          <t>Review</t>
        </is>
      </c>
      <c r="F148" s="10" t="inlineStr">
        <is>
          <t>Amex Jun-2025</t>
        </is>
      </c>
      <c r="G148" s="10">
        <f>IF(OR(D148="Uncategorised",E148="",E148="Review"),"Needs category/owner","Resolved")</f>
        <v/>
      </c>
    </row>
    <row r="149">
      <c r="A149" s="11" t="n">
        <v>45806</v>
      </c>
      <c r="B149" s="10" t="inlineStr">
        <is>
          <t>SP SUMMERILLBISHOP LONDON</t>
        </is>
      </c>
      <c r="C149" s="12" t="n">
        <v>7612</v>
      </c>
      <c r="D149" s="10" t="inlineStr">
        <is>
          <t>Uncategorised</t>
        </is>
      </c>
      <c r="E149" s="10" t="inlineStr">
        <is>
          <t>Review</t>
        </is>
      </c>
      <c r="F149" s="10" t="inlineStr">
        <is>
          <t>Amex Jun-2025</t>
        </is>
      </c>
      <c r="G149" s="10">
        <f>IF(OR(D149="Uncategorised",E149="",E149="Review"),"Needs category/owner","Resolved")</f>
        <v/>
      </c>
    </row>
    <row r="150">
      <c r="A150" s="11" t="n">
        <v>45807</v>
      </c>
      <c r="B150" s="10" t="inlineStr">
        <is>
          <t>EAST CAPE CO PESOS LOS CABOS</t>
        </is>
      </c>
      <c r="C150" s="12" t="n">
        <v>2444.5</v>
      </c>
      <c r="D150" s="10" t="inlineStr">
        <is>
          <t>Uncategorised</t>
        </is>
      </c>
      <c r="E150" s="10" t="inlineStr">
        <is>
          <t>Review</t>
        </is>
      </c>
      <c r="F150" s="10" t="inlineStr">
        <is>
          <t>Amex Jun-2025</t>
        </is>
      </c>
      <c r="G150" s="10">
        <f>IF(OR(D150="Uncategorised",E150="",E150="Review"),"Needs category/owner","Resolved")</f>
        <v/>
      </c>
    </row>
    <row r="151">
      <c r="A151" s="11" t="n">
        <v>45808</v>
      </c>
      <c r="B151" s="10" t="inlineStr">
        <is>
          <t>RIMOWA - ECOMMERCE 832 DALLAS</t>
        </is>
      </c>
      <c r="C151" s="12" t="n">
        <v>13014.12</v>
      </c>
      <c r="D151" s="10" t="inlineStr">
        <is>
          <t>Uncategorised</t>
        </is>
      </c>
      <c r="E151" s="10" t="inlineStr">
        <is>
          <t>Review</t>
        </is>
      </c>
      <c r="F151" s="10" t="inlineStr">
        <is>
          <t>Amex Jun-2025</t>
        </is>
      </c>
      <c r="G151" s="10">
        <f>IF(OR(D151="Uncategorised",E151="",E151="Review"),"Needs category/owner","Resolved")</f>
        <v/>
      </c>
    </row>
    <row r="152">
      <c r="A152" s="11" t="n">
        <v>45808</v>
      </c>
      <c r="B152" s="10" t="inlineStr">
        <is>
          <t>SP INSTANT SWIM GUILDFORD</t>
        </is>
      </c>
      <c r="C152" s="12" t="n">
        <v>1015.31</v>
      </c>
      <c r="D152" s="10" t="inlineStr">
        <is>
          <t>Uncategorised</t>
        </is>
      </c>
      <c r="E152" s="10" t="inlineStr">
        <is>
          <t>Review</t>
        </is>
      </c>
      <c r="F152" s="10" t="inlineStr">
        <is>
          <t>Amex Jun-2025</t>
        </is>
      </c>
      <c r="G152" s="10">
        <f>IF(OR(D152="Uncategorised",E152="",E152="Review"),"Needs category/owner","Resolved")</f>
        <v/>
      </c>
    </row>
    <row r="153">
      <c r="A153" s="11" t="n">
        <v>45811</v>
      </c>
      <c r="B153" s="10" t="inlineStr">
        <is>
          <t>CAMPOS POLANCO MIGUEL HIDALG</t>
        </is>
      </c>
      <c r="C153" s="12" t="n">
        <v>18769.87</v>
      </c>
      <c r="D153" s="10" t="inlineStr">
        <is>
          <t>Uncategorised</t>
        </is>
      </c>
      <c r="E153" s="10" t="inlineStr">
        <is>
          <t>Review</t>
        </is>
      </c>
      <c r="F153" s="10" t="inlineStr">
        <is>
          <t>Amex Jun-2025</t>
        </is>
      </c>
      <c r="G153" s="10">
        <f>IF(OR(D153="Uncategorised",E153="",E153="Review"),"Needs category/owner","Resolved")</f>
        <v/>
      </c>
    </row>
    <row r="154">
      <c r="A154" s="11" t="n">
        <v>45812</v>
      </c>
      <c r="B154" s="10" t="inlineStr">
        <is>
          <t>EAST CAPE CO PESOS LOS CABOS</t>
        </is>
      </c>
      <c r="C154" s="12" t="n">
        <v>4813.45</v>
      </c>
      <c r="D154" s="10" t="inlineStr">
        <is>
          <t>Uncategorised</t>
        </is>
      </c>
      <c r="E154" s="10" t="inlineStr">
        <is>
          <t>Review</t>
        </is>
      </c>
      <c r="F154" s="10" t="inlineStr">
        <is>
          <t>Amex Jun-2025</t>
        </is>
      </c>
      <c r="G154" s="10">
        <f>IF(OR(D154="Uncategorised",E154="",E154="Review"),"Needs category/owner","Resolved")</f>
        <v/>
      </c>
    </row>
    <row r="155">
      <c r="A155" s="11" t="n">
        <v>45813</v>
      </c>
      <c r="B155" s="10" t="inlineStr">
        <is>
          <t>SP VUORI CLOTHING ENCINITAS</t>
        </is>
      </c>
      <c r="C155" s="12" t="n">
        <v>2389.64</v>
      </c>
      <c r="D155" s="10" t="inlineStr">
        <is>
          <t>Uncategorised</t>
        </is>
      </c>
      <c r="E155" s="10" t="inlineStr">
        <is>
          <t>Review</t>
        </is>
      </c>
      <c r="F155" s="10" t="inlineStr">
        <is>
          <t>Amex Jun-2025</t>
        </is>
      </c>
      <c r="G155" s="10">
        <f>IF(OR(D155="Uncategorised",E155="",E155="Review"),"Needs category/owner","Resolved")</f>
        <v/>
      </c>
    </row>
    <row r="156">
      <c r="A156" s="11" t="n">
        <v>45815</v>
      </c>
      <c r="B156" s="10" t="inlineStr">
        <is>
          <t>LS UPSTAIRS AT LANDRAC BATH</t>
        </is>
      </c>
      <c r="C156" s="12" t="n">
        <v>2771.87</v>
      </c>
      <c r="D156" s="10" t="inlineStr">
        <is>
          <t>Uncategorised</t>
        </is>
      </c>
      <c r="E156" s="10" t="inlineStr">
        <is>
          <t>Review</t>
        </is>
      </c>
      <c r="F156" s="10" t="inlineStr">
        <is>
          <t>Amex Jun-2025</t>
        </is>
      </c>
      <c r="G156" s="10">
        <f>IF(OR(D156="Uncategorised",E156="",E156="Review"),"Needs category/owner","Resolved")</f>
        <v/>
      </c>
    </row>
    <row r="157">
      <c r="A157" s="11" t="n">
        <v>45816</v>
      </c>
      <c r="B157" s="10" t="inlineStr">
        <is>
          <t>CHEQUERS BATH</t>
        </is>
      </c>
      <c r="C157" s="12" t="n">
        <v>217.15</v>
      </c>
      <c r="D157" s="10" t="inlineStr">
        <is>
          <t>Uncategorised</t>
        </is>
      </c>
      <c r="E157" s="10" t="inlineStr">
        <is>
          <t>Review</t>
        </is>
      </c>
      <c r="F157" s="10" t="inlineStr">
        <is>
          <t>Amex Jun-2025</t>
        </is>
      </c>
      <c r="G157" s="10">
        <f>IF(OR(D157="Uncategorised",E157="",E157="Review"),"Needs category/owner","Resolved")</f>
        <v/>
      </c>
    </row>
    <row r="158">
      <c r="A158" s="11" t="n">
        <v>45818</v>
      </c>
      <c r="B158" s="10" t="inlineStr">
        <is>
          <t>OTTOLENGHI.CO.UK LONDON</t>
        </is>
      </c>
      <c r="C158" s="12" t="n">
        <v>598.02</v>
      </c>
      <c r="D158" s="10" t="inlineStr">
        <is>
          <t>Uncategorised</t>
        </is>
      </c>
      <c r="E158" s="10" t="inlineStr">
        <is>
          <t>Review</t>
        </is>
      </c>
      <c r="F158" s="10" t="inlineStr">
        <is>
          <t>Amex Jun-2025</t>
        </is>
      </c>
      <c r="G158" s="10">
        <f>IF(OR(D158="Uncategorised",E158="",E158="Review"),"Needs category/owner","Resolved")</f>
        <v/>
      </c>
    </row>
    <row r="159">
      <c r="A159" s="11" t="n">
        <v>45818</v>
      </c>
      <c r="B159" s="10" t="inlineStr">
        <is>
          <t>PRIORITY PASS (A.P.) LI HONG KONG</t>
        </is>
      </c>
      <c r="C159" s="12" t="n">
        <v>280.2</v>
      </c>
      <c r="D159" s="10" t="inlineStr">
        <is>
          <t>Uncategorised</t>
        </is>
      </c>
      <c r="E159" s="10" t="inlineStr">
        <is>
          <t>Review</t>
        </is>
      </c>
      <c r="F159" s="10" t="inlineStr">
        <is>
          <t>Amex Jun-2025</t>
        </is>
      </c>
      <c r="G159" s="10">
        <f>IF(OR(D159="Uncategorised",E159="",E159="Review"),"Needs category/owner","Resolved")</f>
        <v/>
      </c>
    </row>
    <row r="160">
      <c r="A160" s="11" t="n">
        <v>45819</v>
      </c>
      <c r="B160" s="10" t="inlineStr">
        <is>
          <t>3CPAYMENT*ISABEL MARANT LONDON</t>
        </is>
      </c>
      <c r="C160" s="12" t="n">
        <v>8518.290000000001</v>
      </c>
      <c r="D160" s="10" t="inlineStr">
        <is>
          <t>Uncategorised</t>
        </is>
      </c>
      <c r="E160" s="10" t="inlineStr">
        <is>
          <t>Review</t>
        </is>
      </c>
      <c r="F160" s="10" t="inlineStr">
        <is>
          <t>Amex Jun-2025</t>
        </is>
      </c>
      <c r="G160" s="10">
        <f>IF(OR(D160="Uncategorised",E160="",E160="Review"),"Needs category/owner","Resolved")</f>
        <v/>
      </c>
    </row>
    <row r="161">
      <c r="A161" s="11" t="n">
        <v>45819</v>
      </c>
      <c r="B161" s="10" t="inlineStr">
        <is>
          <t>BP LONDON * BPLONDONTA BRENTWOOD</t>
        </is>
      </c>
      <c r="C161" s="12" t="n">
        <v>236.08</v>
      </c>
      <c r="D161" s="10" t="inlineStr">
        <is>
          <t>Uncategorised</t>
        </is>
      </c>
      <c r="E161" s="10" t="inlineStr">
        <is>
          <t>Review</t>
        </is>
      </c>
      <c r="F161" s="10" t="inlineStr">
        <is>
          <t>Amex Jun-2025</t>
        </is>
      </c>
      <c r="G161" s="10">
        <f>IF(OR(D161="Uncategorised",E161="",E161="Review"),"Needs category/owner","Resolved")</f>
        <v/>
      </c>
    </row>
    <row r="162">
      <c r="A162" s="11" t="n">
        <v>45819</v>
      </c>
      <c r="B162" s="10" t="inlineStr">
        <is>
          <t>ERES FASHION UK LTD LONDON</t>
        </is>
      </c>
      <c r="C162" s="12" t="n">
        <v>12790.66</v>
      </c>
      <c r="D162" s="10" t="inlineStr">
        <is>
          <t>Uncategorised</t>
        </is>
      </c>
      <c r="E162" s="10" t="inlineStr">
        <is>
          <t>Review</t>
        </is>
      </c>
      <c r="F162" s="10" t="inlineStr">
        <is>
          <t>Amex Jun-2025</t>
        </is>
      </c>
      <c r="G162" s="10">
        <f>IF(OR(D162="Uncategorised",E162="",E162="Review"),"Needs category/owner","Resolved")</f>
        <v/>
      </c>
    </row>
    <row r="163">
      <c r="A163" s="11" t="n">
        <v>45819</v>
      </c>
      <c r="B163" s="10" t="inlineStr">
        <is>
          <t>NOBU LONDON LONDON</t>
        </is>
      </c>
      <c r="C163" s="12" t="n">
        <v>5905.39</v>
      </c>
      <c r="D163" s="10" t="inlineStr">
        <is>
          <t>Uncategorised</t>
        </is>
      </c>
      <c r="E163" s="10" t="inlineStr">
        <is>
          <t>Review</t>
        </is>
      </c>
      <c r="F163" s="10" t="inlineStr">
        <is>
          <t>Amex Jun-2025</t>
        </is>
      </c>
      <c r="G163" s="10">
        <f>IF(OR(D163="Uncategorised",E163="",E163="Review"),"Needs category/owner","Resolved")</f>
        <v/>
      </c>
    </row>
    <row r="164">
      <c r="A164" s="11" t="n">
        <v>45819</v>
      </c>
      <c r="B164" s="10" t="inlineStr">
        <is>
          <t>ZVUK LIMITED LONDON</t>
        </is>
      </c>
      <c r="C164" s="12" t="n">
        <v>3089.27</v>
      </c>
      <c r="D164" s="10" t="inlineStr">
        <is>
          <t>Uncategorised</t>
        </is>
      </c>
      <c r="E164" s="10" t="inlineStr">
        <is>
          <t>Review</t>
        </is>
      </c>
      <c r="F164" s="10" t="inlineStr">
        <is>
          <t>Amex Jun-2025</t>
        </is>
      </c>
      <c r="G164" s="10">
        <f>IF(OR(D164="Uncategorised",E164="",E164="Review"),"Needs category/owner","Resolved")</f>
        <v/>
      </c>
    </row>
    <row r="165">
      <c r="A165" s="11" t="n">
        <v>45820</v>
      </c>
      <c r="B165" s="10" t="inlineStr">
        <is>
          <t>DOJO*OTTOLENGHI NOTTING LONDON</t>
        </is>
      </c>
      <c r="C165" s="12" t="n">
        <v>208.33</v>
      </c>
      <c r="D165" s="10" t="inlineStr">
        <is>
          <t>Uncategorised</t>
        </is>
      </c>
      <c r="E165" s="10" t="inlineStr">
        <is>
          <t>Review</t>
        </is>
      </c>
      <c r="F165" s="10" t="inlineStr">
        <is>
          <t>Amex Jun-2025</t>
        </is>
      </c>
      <c r="G165" s="10">
        <f>IF(OR(D165="Uncategorised",E165="",E165="Review"),"Needs category/owner","Resolved")</f>
        <v/>
      </c>
    </row>
    <row r="166">
      <c r="A166" s="11" t="n">
        <v>45820</v>
      </c>
      <c r="B166" s="10" t="inlineStr">
        <is>
          <t>OH MY CREAM LTD LONDON</t>
        </is>
      </c>
      <c r="C166" s="12" t="n">
        <v>325.54</v>
      </c>
      <c r="D166" s="10" t="inlineStr">
        <is>
          <t>Uncategorised</t>
        </is>
      </c>
      <c r="E166" s="10" t="inlineStr">
        <is>
          <t>Review</t>
        </is>
      </c>
      <c r="F166" s="10" t="inlineStr">
        <is>
          <t>Amex Jun-2025</t>
        </is>
      </c>
      <c r="G166" s="10">
        <f>IF(OR(D166="Uncategorised",E166="",E166="Review"),"Needs category/owner","Resolved")</f>
        <v/>
      </c>
    </row>
    <row r="167">
      <c r="A167" s="11" t="n">
        <v>45820</v>
      </c>
      <c r="B167" s="10" t="inlineStr">
        <is>
          <t>SP AIME LONDON LONDON</t>
        </is>
      </c>
      <c r="C167" s="12" t="n">
        <v>44371.09</v>
      </c>
      <c r="D167" s="10" t="inlineStr">
        <is>
          <t>Uncategorised</t>
        </is>
      </c>
      <c r="E167" s="10" t="inlineStr">
        <is>
          <t>Review</t>
        </is>
      </c>
      <c r="F167" s="10" t="inlineStr">
        <is>
          <t>Amex Jun-2025</t>
        </is>
      </c>
      <c r="G167" s="10">
        <f>IF(OR(D167="Uncategorised",E167="",E167="Review"),"Needs category/owner","Resolved")</f>
        <v/>
      </c>
    </row>
    <row r="168">
      <c r="A168" s="11" t="n">
        <v>45824</v>
      </c>
      <c r="B168" s="10" t="inlineStr">
        <is>
          <t>BOOTS THE CHEMIST HOUNSLOW</t>
        </is>
      </c>
      <c r="C168" s="12" t="n">
        <v>648.55</v>
      </c>
      <c r="D168" s="10" t="inlineStr">
        <is>
          <t>Uncategorised</t>
        </is>
      </c>
      <c r="E168" s="10" t="inlineStr">
        <is>
          <t>Review</t>
        </is>
      </c>
      <c r="F168" s="10" t="inlineStr">
        <is>
          <t>Amex Jun-2025</t>
        </is>
      </c>
      <c r="G168" s="10">
        <f>IF(OR(D168="Uncategorised",E168="",E168="Review"),"Needs category/owner","Resolved")</f>
        <v/>
      </c>
    </row>
    <row r="169">
      <c r="A169" s="11" t="n">
        <v>45824</v>
      </c>
      <c r="B169" s="10" t="inlineStr">
        <is>
          <t>W HSMITH TRAVEL HEATH HOWNSLOW</t>
        </is>
      </c>
      <c r="C169" s="12" t="n">
        <v>162.86</v>
      </c>
      <c r="D169" s="10" t="inlineStr">
        <is>
          <t>Uncategorised</t>
        </is>
      </c>
      <c r="E169" s="10" t="inlineStr">
        <is>
          <t>Review</t>
        </is>
      </c>
      <c r="F169" s="10" t="inlineStr">
        <is>
          <t>Amex Jun-2025</t>
        </is>
      </c>
      <c r="G169" s="10">
        <f>IF(OR(D169="Uncategorised",E169="",E169="Review"),"Needs category/owner","Resolved")</f>
        <v/>
      </c>
    </row>
    <row r="170">
      <c r="A170" s="11" t="n">
        <v>45825</v>
      </c>
      <c r="B170" s="10" t="inlineStr">
        <is>
          <t>ROMEO ALBERGHI NAPOLI</t>
        </is>
      </c>
      <c r="C170" s="12" t="n">
        <v>22824.22</v>
      </c>
      <c r="D170" s="10" t="inlineStr">
        <is>
          <t>Uncategorised</t>
        </is>
      </c>
      <c r="E170" s="10" t="inlineStr">
        <is>
          <t>Review</t>
        </is>
      </c>
      <c r="F170" s="10" t="inlineStr">
        <is>
          <t>Amex Jun-2025</t>
        </is>
      </c>
      <c r="G170" s="10">
        <f>IF(OR(D170="Uncategorised",E170="",E170="Review"),"Needs category/owner","Resolved")</f>
        <v/>
      </c>
    </row>
    <row r="171">
      <c r="A171" s="11" t="n">
        <v>45827</v>
      </c>
      <c r="B171" s="10" t="inlineStr">
        <is>
          <t>RISTORANTE PAOLINO CAPRI</t>
        </is>
      </c>
      <c r="C171" s="12" t="n">
        <v>30271.68</v>
      </c>
      <c r="D171" s="10" t="inlineStr">
        <is>
          <t>Uncategorised</t>
        </is>
      </c>
      <c r="E171" s="10" t="inlineStr">
        <is>
          <t>Review</t>
        </is>
      </c>
      <c r="F171" s="10" t="inlineStr">
        <is>
          <t>Amex Jun-2025</t>
        </is>
      </c>
      <c r="G171" s="10">
        <f>IF(OR(D171="Uncategorised",E171="",E171="Review"),"Needs category/owner","Resolved")</f>
        <v/>
      </c>
    </row>
    <row r="172">
      <c r="A172" s="11" t="n">
        <v>45829</v>
      </c>
      <c r="B172" s="10" t="inlineStr">
        <is>
          <t>BARRALONXCICCIO BONIFACIO</t>
        </is>
      </c>
      <c r="C172" s="12" t="n">
        <v>369.44</v>
      </c>
      <c r="D172" s="10" t="inlineStr">
        <is>
          <t>Uncategorised</t>
        </is>
      </c>
      <c r="E172" s="10" t="inlineStr">
        <is>
          <t>Review</t>
        </is>
      </c>
      <c r="F172" s="10" t="inlineStr">
        <is>
          <t>Amex Jun-2025</t>
        </is>
      </c>
      <c r="G172" s="10">
        <f>IF(OR(D172="Uncategorised",E172="",E172="Review"),"Needs category/owner","Resolved")</f>
        <v/>
      </c>
    </row>
    <row r="173">
      <c r="A173" s="11" t="n">
        <v>45829</v>
      </c>
      <c r="B173" s="10" t="inlineStr">
        <is>
          <t>CHEZ LUCETTE ET FILS BONIFACIO</t>
        </is>
      </c>
      <c r="C173" s="12" t="n">
        <v>4927.5</v>
      </c>
      <c r="D173" s="10" t="inlineStr">
        <is>
          <t>Uncategorised</t>
        </is>
      </c>
      <c r="E173" s="10" t="inlineStr">
        <is>
          <t>Review</t>
        </is>
      </c>
      <c r="F173" s="10" t="inlineStr">
        <is>
          <t>Amex Jun-2025</t>
        </is>
      </c>
      <c r="G173" s="10">
        <f>IF(OR(D173="Uncategorised",E173="",E173="Review"),"Needs category/owner","Resolved")</f>
        <v/>
      </c>
    </row>
    <row r="174">
      <c r="A174" s="11" t="n">
        <v>45829</v>
      </c>
      <c r="B174" s="10" t="inlineStr">
        <is>
          <t>ET TA SOEUR BONIFACIO</t>
        </is>
      </c>
      <c r="C174" s="12" t="n">
        <v>508.04</v>
      </c>
      <c r="D174" s="10" t="inlineStr">
        <is>
          <t>Uncategorised</t>
        </is>
      </c>
      <c r="E174" s="10" t="inlineStr">
        <is>
          <t>Review</t>
        </is>
      </c>
      <c r="F174" s="10" t="inlineStr">
        <is>
          <t>Amex Jun-2025</t>
        </is>
      </c>
      <c r="G174" s="10">
        <f>IF(OR(D174="Uncategorised",E174="",E174="Review"),"Needs category/owner","Resolved")</f>
        <v/>
      </c>
    </row>
    <row r="175">
      <c r="A175" s="11" t="n">
        <v>45829</v>
      </c>
      <c r="B175" s="10" t="inlineStr">
        <is>
          <t>MER ET DECOUVERTES BONIFACIO</t>
        </is>
      </c>
      <c r="C175" s="12" t="n">
        <v>29557.99</v>
      </c>
      <c r="D175" s="10" t="inlineStr">
        <is>
          <t>Uncategorised</t>
        </is>
      </c>
      <c r="E175" s="10" t="inlineStr">
        <is>
          <t>Review</t>
        </is>
      </c>
      <c r="F175" s="10" t="inlineStr">
        <is>
          <t>Amex Jun-2025</t>
        </is>
      </c>
      <c r="G175" s="10">
        <f>IF(OR(D175="Uncategorised",E175="",E175="Review"),"Needs category/owner","Resolved")</f>
        <v/>
      </c>
    </row>
    <row r="176">
      <c r="A176" s="11" t="n">
        <v>45831</v>
      </c>
      <c r="B176" s="10" t="inlineStr">
        <is>
          <t>EL RAIS 335128740 MAO</t>
        </is>
      </c>
      <c r="C176" s="12" t="n">
        <v>7421.84</v>
      </c>
      <c r="D176" s="10" t="inlineStr">
        <is>
          <t>Uncategorised</t>
        </is>
      </c>
      <c r="E176" s="10" t="inlineStr">
        <is>
          <t>Review</t>
        </is>
      </c>
      <c r="F176" s="10" t="inlineStr">
        <is>
          <t>Amex Jun-2025</t>
        </is>
      </c>
      <c r="G176" s="10">
        <f>IF(OR(D176="Uncategorised",E176="",E176="Review"),"Needs category/owner","Resolved")</f>
        <v/>
      </c>
    </row>
    <row r="177">
      <c r="A177" s="11" t="n">
        <v>45832</v>
      </c>
      <c r="B177" s="10" t="inlineStr">
        <is>
          <t>SP OSTRICHPILLOW MADRID</t>
        </is>
      </c>
      <c r="C177" s="12" t="n">
        <v>1212.09</v>
      </c>
      <c r="D177" s="10" t="inlineStr">
        <is>
          <t>Uncategorised</t>
        </is>
      </c>
      <c r="E177" s="10" t="inlineStr">
        <is>
          <t>Review</t>
        </is>
      </c>
      <c r="F177" s="10" t="inlineStr">
        <is>
          <t>Amex Jun-2025</t>
        </is>
      </c>
      <c r="G177" s="10">
        <f>IF(OR(D177="Uncategorised",E177="",E177="Review"),"Needs category/owner","Resolved")</f>
        <v/>
      </c>
    </row>
    <row r="178">
      <c r="A178" s="11" t="n">
        <v>45838</v>
      </c>
      <c r="B178" s="10" t="inlineStr">
        <is>
          <t>COLONNA &amp; SMALL'SLIMIT Bath</t>
        </is>
      </c>
      <c r="C178" s="12" t="n">
        <v>1024.32</v>
      </c>
      <c r="D178" s="10" t="inlineStr">
        <is>
          <t>Uncategorised</t>
        </is>
      </c>
      <c r="E178" s="10" t="inlineStr">
        <is>
          <t>Review</t>
        </is>
      </c>
      <c r="F178" s="10" t="inlineStr">
        <is>
          <t>Amex Jul-2025</t>
        </is>
      </c>
      <c r="G178" s="10">
        <f>IF(OR(D178="Uncategorised",E178="",E178="Review"),"Needs category/owner","Resolved")</f>
        <v/>
      </c>
    </row>
    <row r="179">
      <c r="A179" s="11" t="n">
        <v>45866</v>
      </c>
      <c r="B179" s="10" t="inlineStr">
        <is>
          <t>GLOBAL-ENL BV AMSTERDAM</t>
        </is>
      </c>
      <c r="C179" s="12" t="n">
        <v>3933</v>
      </c>
      <c r="D179" s="10" t="inlineStr">
        <is>
          <t>Uncategorised</t>
        </is>
      </c>
      <c r="E179" s="10" t="inlineStr">
        <is>
          <t>Review</t>
        </is>
      </c>
      <c r="F179" s="10" t="inlineStr">
        <is>
          <t>Amex Aug-2025</t>
        </is>
      </c>
      <c r="G179" s="10">
        <f>IF(OR(D179="Uncategorised",E179="",E179="Review"),"Needs category/owner","Resolved")</f>
        <v/>
      </c>
    </row>
    <row r="180">
      <c r="A180" s="11" t="n">
        <v>45866</v>
      </c>
      <c r="B180" s="10" t="inlineStr">
        <is>
          <t>JIANHUA LI &amp; DAN CHEN DOUBLE BAY</t>
        </is>
      </c>
      <c r="C180" s="12" t="n">
        <v>1665.75</v>
      </c>
      <c r="D180" s="10" t="inlineStr">
        <is>
          <t>Uncategorised</t>
        </is>
      </c>
      <c r="E180" s="10" t="inlineStr">
        <is>
          <t>Review</t>
        </is>
      </c>
      <c r="F180" s="10" t="inlineStr">
        <is>
          <t>Amex Aug-2025</t>
        </is>
      </c>
      <c r="G180" s="10">
        <f>IF(OR(D180="Uncategorised",E180="",E180="Review"),"Needs category/owner","Resolved")</f>
        <v/>
      </c>
    </row>
    <row r="181">
      <c r="A181" s="11" t="n">
        <v>45866</v>
      </c>
      <c r="B181" s="10" t="inlineStr">
        <is>
          <t>LS SAINT PETER PADDINGTON</t>
        </is>
      </c>
      <c r="C181" s="12" t="n">
        <v>4956.41</v>
      </c>
      <c r="D181" s="10" t="inlineStr">
        <is>
          <t>Uncategorised</t>
        </is>
      </c>
      <c r="E181" s="10" t="inlineStr">
        <is>
          <t>Review</t>
        </is>
      </c>
      <c r="F181" s="10" t="inlineStr">
        <is>
          <t>Amex Aug-2025</t>
        </is>
      </c>
      <c r="G181" s="10">
        <f>IF(OR(D181="Uncategorised",E181="",E181="Review"),"Needs category/owner","Resolved")</f>
        <v/>
      </c>
    </row>
    <row r="182">
      <c r="A182" s="11" t="n">
        <v>45867</v>
      </c>
      <c r="B182" s="10" t="inlineStr">
        <is>
          <t>SP AKUBRA KEMPSEY</t>
        </is>
      </c>
      <c r="C182" s="12" t="n">
        <v>1023.42</v>
      </c>
      <c r="D182" s="10" t="inlineStr">
        <is>
          <t>Uncategorised</t>
        </is>
      </c>
      <c r="E182" s="10" t="inlineStr">
        <is>
          <t>Review</t>
        </is>
      </c>
      <c r="F182" s="10" t="inlineStr">
        <is>
          <t>Amex Aug-2025</t>
        </is>
      </c>
      <c r="G182" s="10">
        <f>IF(OR(D182="Uncategorised",E182="",E182="Review"),"Needs category/owner","Resolved")</f>
        <v/>
      </c>
    </row>
    <row r="183">
      <c r="A183" s="11" t="n">
        <v>45867</v>
      </c>
      <c r="B183" s="10" t="inlineStr">
        <is>
          <t>SP DINOSAUR DESIGNS STRAWBERRY HILL</t>
        </is>
      </c>
      <c r="C183" s="12" t="n">
        <v>2388.02</v>
      </c>
      <c r="D183" s="10" t="inlineStr">
        <is>
          <t>Uncategorised</t>
        </is>
      </c>
      <c r="E183" s="10" t="inlineStr">
        <is>
          <t>Review</t>
        </is>
      </c>
      <c r="F183" s="10" t="inlineStr">
        <is>
          <t>Amex Aug-2025</t>
        </is>
      </c>
      <c r="G183" s="10">
        <f>IF(OR(D183="Uncategorised",E183="",E183="Review"),"Needs category/owner","Resolved")</f>
        <v/>
      </c>
    </row>
    <row r="184">
      <c r="A184" s="11" t="n">
        <v>45874</v>
      </c>
      <c r="B184" s="10" t="inlineStr">
        <is>
          <t>ISLAND SHANGRI-LA- LOBS ADMIRALTY</t>
        </is>
      </c>
      <c r="C184" s="12" t="n">
        <v>2450</v>
      </c>
      <c r="D184" s="10" t="inlineStr">
        <is>
          <t>Uncategorised</t>
        </is>
      </c>
      <c r="E184" s="10" t="inlineStr">
        <is>
          <t>Review</t>
        </is>
      </c>
      <c r="F184" s="10" t="inlineStr">
        <is>
          <t>Amex Aug-2025</t>
        </is>
      </c>
      <c r="G184" s="10">
        <f>IF(OR(D184="Uncategorised",E184="",E184="Review"),"Needs category/owner","Resolved")</f>
        <v/>
      </c>
    </row>
    <row r="185">
      <c r="A185" s="11" t="n">
        <v>45875</v>
      </c>
      <c r="B185" s="10" t="inlineStr">
        <is>
          <t>SIMPLY TOYS ADMIRALTY</t>
        </is>
      </c>
      <c r="C185" s="12" t="n">
        <v>76</v>
      </c>
      <c r="D185" s="10" t="inlineStr">
        <is>
          <t>Uncategorised</t>
        </is>
      </c>
      <c r="E185" s="10" t="inlineStr">
        <is>
          <t>Review</t>
        </is>
      </c>
      <c r="F185" s="10" t="inlineStr">
        <is>
          <t>Amex Aug-2025</t>
        </is>
      </c>
      <c r="G185" s="10">
        <f>IF(OR(D185="Uncategorised",E185="",E185="Review"),"Needs category/owner","Resolved")</f>
        <v/>
      </c>
    </row>
    <row r="186">
      <c r="A186" s="11" t="n">
        <v>45879</v>
      </c>
      <c r="B186" s="10" t="inlineStr">
        <is>
          <t>MONOCLE HKGR22 00000000 HONG KONG</t>
        </is>
      </c>
      <c r="C186" s="12" t="n">
        <v>56</v>
      </c>
      <c r="D186" s="10" t="inlineStr">
        <is>
          <t>Uncategorised</t>
        </is>
      </c>
      <c r="E186" s="10" t="inlineStr">
        <is>
          <t>Review</t>
        </is>
      </c>
      <c r="F186" s="10" t="inlineStr">
        <is>
          <t>Amex Aug-2025</t>
        </is>
      </c>
      <c r="G186" s="10">
        <f>IF(OR(D186="Uncategorised",E186="",E186="Review"),"Needs category/owner","Resolved")</f>
        <v/>
      </c>
    </row>
    <row r="187">
      <c r="A187" s="11" t="n">
        <v>45880</v>
      </c>
      <c r="B187" s="10" t="inlineStr">
        <is>
          <t>28862 SYDNEY</t>
        </is>
      </c>
      <c r="C187" s="12" t="n">
        <v>84.87</v>
      </c>
      <c r="D187" s="10" t="inlineStr">
        <is>
          <t>Uncategorised</t>
        </is>
      </c>
      <c r="E187" s="10" t="inlineStr">
        <is>
          <t>Review</t>
        </is>
      </c>
      <c r="F187" s="10" t="inlineStr">
        <is>
          <t>Amex Aug-2025</t>
        </is>
      </c>
      <c r="G187" s="10">
        <f>IF(OR(D187="Uncategorised",E187="",E187="Review"),"Needs category/owner","Resolved")</f>
        <v/>
      </c>
    </row>
    <row r="188">
      <c r="A188" s="11" t="n">
        <v>45880</v>
      </c>
      <c r="B188" s="10" t="inlineStr">
        <is>
          <t>MERIVALE ME&amp;U* ME&amp;USYDNEY</t>
        </is>
      </c>
      <c r="C188" s="12" t="n">
        <v>359.83</v>
      </c>
      <c r="D188" s="10" t="inlineStr">
        <is>
          <t>Uncategorised</t>
        </is>
      </c>
      <c r="E188" s="10" t="inlineStr">
        <is>
          <t>Review</t>
        </is>
      </c>
      <c r="F188" s="10" t="inlineStr">
        <is>
          <t>Amex Aug-2025</t>
        </is>
      </c>
      <c r="G188" s="10">
        <f>IF(OR(D188="Uncategorised",E188="",E188="Review"),"Needs category/owner","Resolved")</f>
        <v/>
      </c>
    </row>
    <row r="189">
      <c r="A189" s="11" t="n">
        <v>45880</v>
      </c>
      <c r="B189" s="10" t="inlineStr">
        <is>
          <t>PALAZZO SALATO Sydney</t>
        </is>
      </c>
      <c r="C189" s="12" t="n">
        <v>1645.94</v>
      </c>
      <c r="D189" s="10" t="inlineStr">
        <is>
          <t>Uncategorised</t>
        </is>
      </c>
      <c r="E189" s="10" t="inlineStr">
        <is>
          <t>Review</t>
        </is>
      </c>
      <c r="F189" s="10" t="inlineStr">
        <is>
          <t>Amex Aug-2025</t>
        </is>
      </c>
      <c r="G189" s="10">
        <f>IF(OR(D189="Uncategorised",E189="",E189="Review"),"Needs category/owner","Resolved")</f>
        <v/>
      </c>
    </row>
    <row r="190">
      <c r="A190" s="11" t="n">
        <v>45881</v>
      </c>
      <c r="B190" s="10" t="inlineStr">
        <is>
          <t>COLES SURRY HILLS 7671 REDFERN</t>
        </is>
      </c>
      <c r="C190" s="12" t="n">
        <v>74.7</v>
      </c>
      <c r="D190" s="10" t="inlineStr">
        <is>
          <t>Uncategorised</t>
        </is>
      </c>
      <c r="E190" s="10" t="inlineStr">
        <is>
          <t>Review</t>
        </is>
      </c>
      <c r="F190" s="10" t="inlineStr">
        <is>
          <t>Amex Aug-2025</t>
        </is>
      </c>
      <c r="G190" s="10">
        <f>IF(OR(D190="Uncategorised",E190="",E190="Review"),"Needs category/owner","Resolved")</f>
        <v/>
      </c>
    </row>
    <row r="191">
      <c r="A191" s="11" t="n">
        <v>45881</v>
      </c>
      <c r="B191" s="10" t="inlineStr">
        <is>
          <t>FIREDOOR Surry Hills</t>
        </is>
      </c>
      <c r="C191" s="12" t="n">
        <v>3524.17</v>
      </c>
      <c r="D191" s="10" t="inlineStr">
        <is>
          <t>Uncategorised</t>
        </is>
      </c>
      <c r="E191" s="10" t="inlineStr">
        <is>
          <t>Review</t>
        </is>
      </c>
      <c r="F191" s="10" t="inlineStr">
        <is>
          <t>Amex Aug-2025</t>
        </is>
      </c>
      <c r="G191" s="10">
        <f>IF(OR(D191="Uncategorised",E191="",E191="Review"),"Needs category/owner","Resolved")</f>
        <v/>
      </c>
    </row>
    <row r="192">
      <c r="A192" s="11" t="n">
        <v>45881</v>
      </c>
      <c r="B192" s="10" t="inlineStr">
        <is>
          <t>WW METRO 1669 CENTRAL SSURRY HILLS</t>
        </is>
      </c>
      <c r="C192" s="12" t="n">
        <v>36.51</v>
      </c>
      <c r="D192" s="10" t="inlineStr">
        <is>
          <t>Uncategorised</t>
        </is>
      </c>
      <c r="E192" s="10" t="inlineStr">
        <is>
          <t>Review</t>
        </is>
      </c>
      <c r="F192" s="10" t="inlineStr">
        <is>
          <t>Amex Aug-2025</t>
        </is>
      </c>
      <c r="G192" s="10">
        <f>IF(OR(D192="Uncategorised",E192="",E192="Review"),"Needs category/owner","Resolved")</f>
        <v/>
      </c>
    </row>
    <row r="193">
      <c r="A193" s="11" t="n">
        <v>45883</v>
      </c>
      <c r="B193" s="10" t="inlineStr">
        <is>
          <t>LE LABO 000000024289 HONG KONG</t>
        </is>
      </c>
      <c r="C193" s="12" t="n">
        <v>2130</v>
      </c>
      <c r="D193" s="10" t="inlineStr">
        <is>
          <t>Uncategorised</t>
        </is>
      </c>
      <c r="E193" s="10" t="inlineStr">
        <is>
          <t>Review</t>
        </is>
      </c>
      <c r="F193" s="10" t="inlineStr">
        <is>
          <t>Amex Aug-2025</t>
        </is>
      </c>
      <c r="G193" s="10">
        <f>IF(OR(D193="Uncategorised",E193="",E193="Review"),"Needs category/owner","Resolved")</f>
        <v/>
      </c>
    </row>
    <row r="194">
      <c r="A194" s="11" t="n">
        <v>45883</v>
      </c>
      <c r="B194" s="10" t="inlineStr">
        <is>
          <t>ZARA-IFC CENTRAL</t>
        </is>
      </c>
      <c r="C194" s="12" t="n">
        <v>399</v>
      </c>
      <c r="D194" s="10" t="inlineStr">
        <is>
          <t>Uncategorised</t>
        </is>
      </c>
      <c r="E194" s="10" t="inlineStr">
        <is>
          <t>Review</t>
        </is>
      </c>
      <c r="F194" s="10" t="inlineStr">
        <is>
          <t>Amex Aug-2025</t>
        </is>
      </c>
      <c r="G194" s="10">
        <f>IF(OR(D194="Uncategorised",E194="",E194="Review"),"Needs category/owner","Resolved")</f>
        <v/>
      </c>
    </row>
    <row r="195">
      <c r="A195" s="11" t="n">
        <v>45888</v>
      </c>
      <c r="B195" s="10" t="inlineStr">
        <is>
          <t>SEVENTH SON RESTAURANT WAN CHAI</t>
        </is>
      </c>
      <c r="C195" s="12" t="n">
        <v>1618</v>
      </c>
      <c r="D195" s="10" t="inlineStr">
        <is>
          <t>Uncategorised</t>
        </is>
      </c>
      <c r="E195" s="10" t="inlineStr">
        <is>
          <t>Review</t>
        </is>
      </c>
      <c r="F195" s="10" t="inlineStr">
        <is>
          <t>Amex Aug-2025</t>
        </is>
      </c>
      <c r="G195" s="10">
        <f>IF(OR(D195="Uncategorised",E195="",E195="Review"),"Needs category/owner","Resolved")</f>
        <v/>
      </c>
    </row>
    <row r="196">
      <c r="A196" s="11" t="n">
        <v>45889</v>
      </c>
      <c r="B196" s="10" t="inlineStr">
        <is>
          <t>HAY FEVER FLORAL &amp; GIFT MONGKOK</t>
        </is>
      </c>
      <c r="C196" s="12" t="n">
        <v>760</v>
      </c>
      <c r="D196" s="10" t="inlineStr">
        <is>
          <t>Uncategorised</t>
        </is>
      </c>
      <c r="E196" s="10" t="inlineStr">
        <is>
          <t>Review</t>
        </is>
      </c>
      <c r="F196" s="10" t="inlineStr">
        <is>
          <t>Amex Aug-2025</t>
        </is>
      </c>
      <c r="G196" s="10">
        <f>IF(OR(D196="Uncategorised",E196="",E196="Review"),"Needs category/owner","Resolved")</f>
        <v/>
      </c>
    </row>
    <row r="197">
      <c r="A197" s="11" t="n">
        <v>45894</v>
      </c>
      <c r="B197" s="10" t="inlineStr">
        <is>
          <t>CLE DE PEAU BEAUTE CENTRAL</t>
        </is>
      </c>
      <c r="C197" s="12" t="n">
        <v>190</v>
      </c>
      <c r="D197" s="10" t="inlineStr">
        <is>
          <t>Uncategorised</t>
        </is>
      </c>
      <c r="E197" s="10" t="inlineStr">
        <is>
          <t>Review</t>
        </is>
      </c>
      <c r="F197" s="10" t="inlineStr">
        <is>
          <t>Amex Aug-2025</t>
        </is>
      </c>
      <c r="G197" s="10">
        <f>IF(OR(D197="Uncategorised",E197="",E197="Review"),"Needs category/owner","Resolved")</f>
        <v/>
      </c>
    </row>
    <row r="198">
      <c r="A198" s="11" t="n">
        <v>45897</v>
      </c>
      <c r="B198" s="10" t="inlineStr">
        <is>
          <t>KPAY * TROIS 000000000000 HONG KONG</t>
        </is>
      </c>
      <c r="C198" s="12" t="n">
        <v>45</v>
      </c>
      <c r="D198" s="10" t="inlineStr">
        <is>
          <t>Uncategorised</t>
        </is>
      </c>
      <c r="E198" s="10" t="inlineStr">
        <is>
          <t>Review</t>
        </is>
      </c>
      <c r="F198" s="10" t="inlineStr">
        <is>
          <t>Amex Sep-2025</t>
        </is>
      </c>
      <c r="G198" s="10">
        <f>IF(OR(D198="Uncategorised",E198="",E198="Review"),"Needs category/owner","Resolved")</f>
        <v/>
      </c>
    </row>
    <row r="199">
      <c r="A199" s="11" t="n">
        <v>45897</v>
      </c>
      <c r="B199" s="10" t="inlineStr">
        <is>
          <t>THE LANDMARK MO HOTEL - CENTRAL</t>
        </is>
      </c>
      <c r="C199" s="12" t="n">
        <v>164</v>
      </c>
      <c r="D199" s="10" t="inlineStr">
        <is>
          <t>Uncategorised</t>
        </is>
      </c>
      <c r="E199" s="10" t="inlineStr">
        <is>
          <t>Review</t>
        </is>
      </c>
      <c r="F199" s="10" t="inlineStr">
        <is>
          <t>Amex Sep-2025</t>
        </is>
      </c>
      <c r="G199" s="10">
        <f>IF(OR(D199="Uncategorised",E199="",E199="Review"),"Needs category/owner","Resolved")</f>
        <v/>
      </c>
    </row>
    <row r="200">
      <c r="A200" s="11" t="n">
        <v>45898</v>
      </c>
      <c r="B200" s="10" t="inlineStr">
        <is>
          <t>SINGAPOREAIR HONGKONG HONGKONG</t>
        </is>
      </c>
      <c r="C200" s="12" t="n">
        <v>19161</v>
      </c>
      <c r="D200" s="10" t="inlineStr">
        <is>
          <t>Uncategorised</t>
        </is>
      </c>
      <c r="E200" s="10" t="inlineStr">
        <is>
          <t>Review</t>
        </is>
      </c>
      <c r="F200" s="10" t="inlineStr">
        <is>
          <t>Amex Sep-2025</t>
        </is>
      </c>
      <c r="G200" s="10">
        <f>IF(OR(D200="Uncategorised",E200="",E200="Review"),"Needs category/owner","Resolved")</f>
        <v/>
      </c>
    </row>
    <row r="201">
      <c r="A201" s="11" t="n">
        <v>45900</v>
      </c>
      <c r="B201" s="10" t="inlineStr">
        <is>
          <t>GOGYO ( B R 8021) CENTRAL</t>
        </is>
      </c>
      <c r="C201" s="12" t="n">
        <v>1471.8</v>
      </c>
      <c r="D201" s="10" t="inlineStr">
        <is>
          <t>Uncategorised</t>
        </is>
      </c>
      <c r="E201" s="10" t="inlineStr">
        <is>
          <t>Review</t>
        </is>
      </c>
      <c r="F201" s="10" t="inlineStr">
        <is>
          <t>Amex Sep-2025</t>
        </is>
      </c>
      <c r="G201" s="10">
        <f>IF(OR(D201="Uncategorised",E201="",E201="Review"),"Needs category/owner","Resolved")</f>
        <v/>
      </c>
    </row>
    <row r="202">
      <c r="A202" s="11" t="n">
        <v>45902</v>
      </c>
      <c r="B202" s="10" t="inlineStr">
        <is>
          <t>KPAY * MEDIMART 000000000 HONG KONG</t>
        </is>
      </c>
      <c r="C202" s="12" t="n">
        <v>745</v>
      </c>
      <c r="D202" s="10" t="inlineStr">
        <is>
          <t>Uncategorised</t>
        </is>
      </c>
      <c r="E202" s="10" t="inlineStr">
        <is>
          <t>Review</t>
        </is>
      </c>
      <c r="F202" s="10" t="inlineStr">
        <is>
          <t>Amex Sep-2025</t>
        </is>
      </c>
      <c r="G202" s="10">
        <f>IF(OR(D202="Uncategorised",E202="",E202="Review"),"Needs category/owner","Resolved")</f>
        <v/>
      </c>
    </row>
    <row r="203">
      <c r="A203" s="11" t="n">
        <v>45902</v>
      </c>
      <c r="B203" s="10" t="inlineStr">
        <is>
          <t>OCL * OCTOPUS AD 8188520 KO WLOON BAY</t>
        </is>
      </c>
      <c r="C203" s="12" t="n">
        <v>1800</v>
      </c>
      <c r="D203" s="10" t="inlineStr">
        <is>
          <t>Uncategorised</t>
        </is>
      </c>
      <c r="E203" s="10" t="inlineStr">
        <is>
          <t>Review</t>
        </is>
      </c>
      <c r="F203" s="10" t="inlineStr">
        <is>
          <t>Amex Sep-2025</t>
        </is>
      </c>
      <c r="G203" s="10">
        <f>IF(OR(D203="Uncategorised",E203="",E203="Review"),"Needs category/owner","Resolved")</f>
        <v/>
      </c>
    </row>
    <row r="204">
      <c r="A204" s="11" t="n">
        <v>45903</v>
      </c>
      <c r="B204" s="10" t="inlineStr">
        <is>
          <t>BB MSL * 1111 ONES HK</t>
        </is>
      </c>
      <c r="C204" s="12" t="n">
        <v>3614</v>
      </c>
      <c r="D204" s="10" t="inlineStr">
        <is>
          <t>Uncategorised</t>
        </is>
      </c>
      <c r="E204" s="10" t="inlineStr">
        <is>
          <t>Review</t>
        </is>
      </c>
      <c r="F204" s="10" t="inlineStr">
        <is>
          <t>Amex Sep-2025</t>
        </is>
      </c>
      <c r="G204" s="10">
        <f>IF(OR(D204="Uncategorised",E204="",E204="Review"),"Needs category/owner","Resolved")</f>
        <v/>
      </c>
    </row>
    <row r="205">
      <c r="A205" s="11" t="n">
        <v>45903</v>
      </c>
      <c r="B205" s="10" t="inlineStr">
        <is>
          <t>BB MSL * I sl e t Co ff ee La b HK</t>
        </is>
      </c>
      <c r="C205" s="12" t="n">
        <v>80</v>
      </c>
      <c r="D205" s="10" t="inlineStr">
        <is>
          <t>Uncategorised</t>
        </is>
      </c>
      <c r="E205" s="10" t="inlineStr">
        <is>
          <t>Review</t>
        </is>
      </c>
      <c r="F205" s="10" t="inlineStr">
        <is>
          <t>Amex Sep-2025</t>
        </is>
      </c>
      <c r="G205" s="10">
        <f>IF(OR(D205="Uncategorised",E205="",E205="Review"),"Needs category/owner","Resolved")</f>
        <v/>
      </c>
    </row>
    <row r="206">
      <c r="A206" s="11" t="n">
        <v>45903</v>
      </c>
      <c r="B206" s="10" t="inlineStr">
        <is>
          <t>DRIES VAN NOTEN CENTRAL</t>
        </is>
      </c>
      <c r="C206" s="12" t="n">
        <v>3591</v>
      </c>
      <c r="D206" s="10" t="inlineStr">
        <is>
          <t>Uncategorised</t>
        </is>
      </c>
      <c r="E206" s="10" t="inlineStr">
        <is>
          <t>Review</t>
        </is>
      </c>
      <c r="F206" s="10" t="inlineStr">
        <is>
          <t>Amex Sep-2025</t>
        </is>
      </c>
      <c r="G206" s="10">
        <f>IF(OR(D206="Uncategorised",E206="",E206="Review"),"Needs category/owner","Resolved")</f>
        <v/>
      </c>
    </row>
    <row r="207">
      <c r="A207" s="11" t="n">
        <v>45903</v>
      </c>
      <c r="B207" s="10" t="inlineStr">
        <is>
          <t>HKSH HEALTHCARE ( TANNER HONG KONG</t>
        </is>
      </c>
      <c r="C207" s="12" t="n">
        <v>508</v>
      </c>
      <c r="D207" s="10" t="inlineStr">
        <is>
          <t>Uncategorised</t>
        </is>
      </c>
      <c r="E207" s="10" t="inlineStr">
        <is>
          <t>Review</t>
        </is>
      </c>
      <c r="F207" s="10" t="inlineStr">
        <is>
          <t>Amex Sep-2025</t>
        </is>
      </c>
      <c r="G207" s="10">
        <f>IF(OR(D207="Uncategorised",E207="",E207="Review"),"Needs category/owner","Resolved")</f>
        <v/>
      </c>
    </row>
    <row r="208">
      <c r="A208" s="11" t="n">
        <v>45903</v>
      </c>
      <c r="B208" s="10" t="inlineStr">
        <is>
          <t>ISA BEL MARANT - LANDMAR CENTRAL</t>
        </is>
      </c>
      <c r="C208" s="12" t="n">
        <v>7380</v>
      </c>
      <c r="D208" s="10" t="inlineStr">
        <is>
          <t>Uncategorised</t>
        </is>
      </c>
      <c r="E208" s="10" t="inlineStr">
        <is>
          <t>Review</t>
        </is>
      </c>
      <c r="F208" s="10" t="inlineStr">
        <is>
          <t>Amex Sep-2025</t>
        </is>
      </c>
      <c r="G208" s="10">
        <f>IF(OR(D208="Uncategorised",E208="",E208="Review"),"Needs category/owner","Resolved")</f>
        <v/>
      </c>
    </row>
    <row r="209">
      <c r="A209" s="11" t="n">
        <v>45904</v>
      </c>
      <c r="B209" s="10" t="inlineStr">
        <is>
          <t>45 RCENTRAL</t>
        </is>
      </c>
      <c r="C209" s="12" t="n">
        <v>7645</v>
      </c>
      <c r="D209" s="10" t="inlineStr">
        <is>
          <t>Uncategorised</t>
        </is>
      </c>
      <c r="E209" s="10" t="inlineStr">
        <is>
          <t>Review</t>
        </is>
      </c>
      <c r="F209" s="10" t="inlineStr">
        <is>
          <t>Amex Sep-2025</t>
        </is>
      </c>
      <c r="G209" s="10">
        <f>IF(OR(D209="Uncategorised",E209="",E209="Review"),"Needs category/owner","Resolved")</f>
        <v/>
      </c>
    </row>
    <row r="210">
      <c r="A210" s="11" t="n">
        <v>45904</v>
      </c>
      <c r="B210" s="10" t="inlineStr">
        <is>
          <t>L ' OREAL HONG KONG LIMIT WAN CHAI</t>
        </is>
      </c>
      <c r="C210" s="12" t="n">
        <v>1520</v>
      </c>
      <c r="D210" s="10" t="inlineStr">
        <is>
          <t>Uncategorised</t>
        </is>
      </c>
      <c r="E210" s="10" t="inlineStr">
        <is>
          <t>Review</t>
        </is>
      </c>
      <c r="F210" s="10" t="inlineStr">
        <is>
          <t>Amex Sep-2025</t>
        </is>
      </c>
      <c r="G210" s="10">
        <f>IF(OR(D210="Uncategorised",E210="",E210="Review"),"Needs category/owner","Resolved")</f>
        <v/>
      </c>
    </row>
    <row r="211">
      <c r="A211" s="11" t="n">
        <v>45906</v>
      </c>
      <c r="B211" s="10" t="inlineStr">
        <is>
          <t>AMA ZON.CO.UK 353 - 12477661</t>
        </is>
      </c>
      <c r="C211" s="12" t="n">
        <v>102.37</v>
      </c>
      <c r="D211" s="10" t="inlineStr">
        <is>
          <t>Uncategorised</t>
        </is>
      </c>
      <c r="E211" s="10" t="inlineStr">
        <is>
          <t>Review</t>
        </is>
      </c>
      <c r="F211" s="10" t="inlineStr">
        <is>
          <t>Amex Sep-2025</t>
        </is>
      </c>
      <c r="G211" s="10">
        <f>IF(OR(D211="Uncategorised",E211="",E211="Review"),"Needs category/owner","Resolved")</f>
        <v/>
      </c>
    </row>
    <row r="212">
      <c r="A212" s="11" t="n">
        <v>45909</v>
      </c>
      <c r="B212" s="10" t="inlineStr">
        <is>
          <t>G 7 QADMIRALTY</t>
        </is>
      </c>
      <c r="C212" s="12" t="n">
        <v>1228</v>
      </c>
      <c r="D212" s="10" t="inlineStr">
        <is>
          <t>Uncategorised</t>
        </is>
      </c>
      <c r="E212" s="10" t="inlineStr">
        <is>
          <t>Review</t>
        </is>
      </c>
      <c r="F212" s="10" t="inlineStr">
        <is>
          <t>Amex Sep-2025</t>
        </is>
      </c>
      <c r="G212" s="10">
        <f>IF(OR(D212="Uncategorised",E212="",E212="Review"),"Needs category/owner","Resolved")</f>
        <v/>
      </c>
    </row>
    <row r="213">
      <c r="A213" s="11" t="n">
        <v>45909</v>
      </c>
      <c r="B213" s="10" t="inlineStr">
        <is>
          <t>LITTLE COVE ESPRESSO 00 HONG KONG</t>
        </is>
      </c>
      <c r="C213" s="12" t="n">
        <v>81</v>
      </c>
      <c r="D213" s="10" t="inlineStr">
        <is>
          <t>Uncategorised</t>
        </is>
      </c>
      <c r="E213" s="10" t="inlineStr">
        <is>
          <t>Review</t>
        </is>
      </c>
      <c r="F213" s="10" t="inlineStr">
        <is>
          <t>Amex Sep-2025</t>
        </is>
      </c>
      <c r="G213" s="10">
        <f>IF(OR(D213="Uncategorised",E213="",E213="Review"),"Needs category/owner","Resolved")</f>
        <v/>
      </c>
    </row>
    <row r="214">
      <c r="A214" s="11" t="n">
        <v>45914</v>
      </c>
      <c r="B214" s="10" t="inlineStr">
        <is>
          <t>EMPEROR CINEMA HONG KONG</t>
        </is>
      </c>
      <c r="C214" s="12" t="n">
        <v>450</v>
      </c>
      <c r="D214" s="10" t="inlineStr">
        <is>
          <t>Uncategorised</t>
        </is>
      </c>
      <c r="E214" s="10" t="inlineStr">
        <is>
          <t>Review</t>
        </is>
      </c>
      <c r="F214" s="10" t="inlineStr">
        <is>
          <t>Amex Sep-2025</t>
        </is>
      </c>
      <c r="G214" s="10">
        <f>IF(OR(D214="Uncategorised",E214="",E214="Review"),"Needs category/owner","Resolved")</f>
        <v/>
      </c>
    </row>
    <row r="215">
      <c r="A215" s="11" t="n">
        <v>45919</v>
      </c>
      <c r="B215" s="10" t="inlineStr">
        <is>
          <t>ISLAND SHANGRI-LA - MIN ADMIRALTY</t>
        </is>
      </c>
      <c r="C215" s="12" t="n">
        <v>2035.6</v>
      </c>
      <c r="D215" s="10" t="inlineStr">
        <is>
          <t>Uncategorised</t>
        </is>
      </c>
      <c r="E215" s="10" t="inlineStr">
        <is>
          <t>Review</t>
        </is>
      </c>
      <c r="F215" s="10" t="inlineStr">
        <is>
          <t>Amex Sep-2025</t>
        </is>
      </c>
      <c r="G215" s="10">
        <f>IF(OR(D215="Uncategorised",E215="",E215="Review"),"Needs category/owner","Resolved")</f>
        <v/>
      </c>
    </row>
    <row r="216">
      <c r="A216" s="11" t="n">
        <v>45925</v>
      </c>
      <c r="B216" s="10" t="inlineStr">
        <is>
          <t>B A &amp; SH CENTRAL</t>
        </is>
      </c>
      <c r="C216" s="12" t="n">
        <v>3627</v>
      </c>
      <c r="D216" s="10" t="inlineStr">
        <is>
          <t>Uncategorised</t>
        </is>
      </c>
      <c r="E216" s="10" t="inlineStr">
        <is>
          <t>Review</t>
        </is>
      </c>
      <c r="F216" s="10" t="inlineStr">
        <is>
          <t>Amex Sep-2025</t>
        </is>
      </c>
      <c r="G216" s="10">
        <f>IF(OR(D216="Uncategorised",E216="",E216="Review"),"Needs category/owner","Resolved")</f>
        <v/>
      </c>
    </row>
    <row r="217">
      <c r="A217" s="11" t="n">
        <v>45925</v>
      </c>
      <c r="B217" s="10" t="inlineStr">
        <is>
          <t>GLO BALE * / B A&amp;SH LONDON</t>
        </is>
      </c>
      <c r="C217" s="12" t="n">
        <v>1890</v>
      </c>
      <c r="D217" s="10" t="inlineStr">
        <is>
          <t>Uncategorised</t>
        </is>
      </c>
      <c r="E217" s="10" t="inlineStr">
        <is>
          <t>Review</t>
        </is>
      </c>
      <c r="F217" s="10" t="inlineStr">
        <is>
          <t>Amex Oct-2025</t>
        </is>
      </c>
      <c r="G217" s="10">
        <f>IF(OR(D217="Uncategorised",E217="",E217="Review"),"Needs category/owner","Resolved")</f>
        <v/>
      </c>
    </row>
    <row r="218">
      <c r="A218" s="11" t="n">
        <v>45925</v>
      </c>
      <c r="B218" s="10" t="inlineStr">
        <is>
          <t>LANE CRA WF ORD ( I F C ) CENTRAL</t>
        </is>
      </c>
      <c r="C218" s="12" t="n">
        <v>6930</v>
      </c>
      <c r="D218" s="10" t="inlineStr">
        <is>
          <t>Uncategorised</t>
        </is>
      </c>
      <c r="E218" s="10" t="inlineStr">
        <is>
          <t>Review</t>
        </is>
      </c>
      <c r="F218" s="10" t="inlineStr">
        <is>
          <t>Amex Sep-2025</t>
        </is>
      </c>
      <c r="G218" s="10">
        <f>IF(OR(D218="Uncategorised",E218="",E218="Review"),"Needs category/owner","Resolved")</f>
        <v/>
      </c>
    </row>
    <row r="219">
      <c r="A219" s="11" t="n">
        <v>45930</v>
      </c>
      <c r="B219" s="10" t="inlineStr">
        <is>
          <t>SP SO FTER VOLUMES ZETLAND</t>
        </is>
      </c>
      <c r="C219" s="12" t="n">
        <v>153</v>
      </c>
      <c r="D219" s="10" t="inlineStr">
        <is>
          <t>Uncategorised</t>
        </is>
      </c>
      <c r="E219" s="10" t="inlineStr">
        <is>
          <t>Review</t>
        </is>
      </c>
      <c r="F219" s="10" t="inlineStr">
        <is>
          <t>Amex Oct-2025</t>
        </is>
      </c>
      <c r="G219" s="10">
        <f>IF(OR(D219="Uncategorised",E219="",E219="Review"),"Needs category/owner","Resolved")</f>
        <v/>
      </c>
    </row>
    <row r="220">
      <c r="A220" s="11" t="n">
        <v>45931</v>
      </c>
      <c r="B220" s="10" t="inlineStr">
        <is>
          <t>AELLISEU SEOUL</t>
        </is>
      </c>
      <c r="C220" s="12" t="n">
        <v>627.89</v>
      </c>
      <c r="D220" s="10" t="inlineStr">
        <is>
          <t>Uncategorised</t>
        </is>
      </c>
      <c r="E220" s="10" t="inlineStr">
        <is>
          <t>Review</t>
        </is>
      </c>
      <c r="F220" s="10" t="inlineStr">
        <is>
          <t>Amex Oct-2025</t>
        </is>
      </c>
      <c r="G220" s="10">
        <f>IF(OR(D220="Uncategorised",E220="",E220="Review"),"Needs category/owner","Resolved")</f>
        <v/>
      </c>
    </row>
    <row r="221">
      <c r="A221" s="11" t="n">
        <v>45932</v>
      </c>
      <c r="B221" s="10" t="inlineStr">
        <is>
          <t>HOUSE BYLIM INC SEOUL</t>
        </is>
      </c>
      <c r="C221" s="12" t="n">
        <v>150.23</v>
      </c>
      <c r="D221" s="10" t="inlineStr">
        <is>
          <t>Uncategorised</t>
        </is>
      </c>
      <c r="E221" s="10" t="inlineStr">
        <is>
          <t>Review</t>
        </is>
      </c>
      <c r="F221" s="10" t="inlineStr">
        <is>
          <t>Amex Oct-2025</t>
        </is>
      </c>
      <c r="G221" s="10">
        <f>IF(OR(D221="Uncategorised",E221="",E221="Review"),"Needs category/owner","Resolved")</f>
        <v/>
      </c>
    </row>
    <row r="222">
      <c r="A222" s="11" t="n">
        <v>45932</v>
      </c>
      <c r="B222" s="10" t="inlineStr">
        <is>
          <t>SSI JEOIIOLLI BEUYEONG ( J OSEOUL</t>
        </is>
      </c>
      <c r="C222" s="12" t="n">
        <v>1687.85</v>
      </c>
      <c r="D222" s="10" t="inlineStr">
        <is>
          <t>Uncategorised</t>
        </is>
      </c>
      <c r="E222" s="10" t="inlineStr">
        <is>
          <t>Review</t>
        </is>
      </c>
      <c r="F222" s="10" t="inlineStr">
        <is>
          <t>Amex Oct-2025</t>
        </is>
      </c>
      <c r="G222" s="10">
        <f>IF(OR(D222="Uncategorised",E222="",E222="Review"),"Needs category/owner","Resolved")</f>
        <v/>
      </c>
    </row>
    <row r="223">
      <c r="A223" s="11" t="n">
        <v>45933</v>
      </c>
      <c r="B223" s="10" t="inlineStr">
        <is>
          <t>BEON/ BEONINHAL SEOUL</t>
        </is>
      </c>
      <c r="C223" s="12" t="n">
        <v>1082.93</v>
      </c>
      <c r="D223" s="10" t="inlineStr">
        <is>
          <t>Uncategorised</t>
        </is>
      </c>
      <c r="E223" s="10" t="inlineStr">
        <is>
          <t>Review</t>
        </is>
      </c>
      <c r="F223" s="10" t="inlineStr">
        <is>
          <t>Amex Oct-2025</t>
        </is>
      </c>
      <c r="G223" s="10">
        <f>IF(OR(D223="Uncategorised",E223="",E223="Review"),"Needs category/owner","Resolved")</f>
        <v/>
      </c>
    </row>
    <row r="224">
      <c r="A224" s="11" t="n">
        <v>45933</v>
      </c>
      <c r="B224" s="10" t="inlineStr">
        <is>
          <t>O li v e Yo u n g SEOUL</t>
        </is>
      </c>
      <c r="C224" s="12" t="n">
        <v>740.49</v>
      </c>
      <c r="D224" s="10" t="inlineStr">
        <is>
          <t>Uncategorised</t>
        </is>
      </c>
      <c r="E224" s="10" t="inlineStr">
        <is>
          <t>Review</t>
        </is>
      </c>
      <c r="F224" s="10" t="inlineStr">
        <is>
          <t>Amex Oct-2025</t>
        </is>
      </c>
      <c r="G224" s="10">
        <f>IF(OR(D224="Uncategorised",E224="",E224="Review"),"Needs category/owner","Resolved")</f>
        <v/>
      </c>
    </row>
    <row r="225">
      <c r="A225" s="11" t="n">
        <v>45933</v>
      </c>
      <c r="B225" s="10" t="inlineStr">
        <is>
          <t>SSI JEOIIOLLI BEUYEONGJ OSEOUL</t>
        </is>
      </c>
      <c r="C225" s="12" t="n">
        <v>321.47</v>
      </c>
      <c r="D225" s="10" t="inlineStr">
        <is>
          <t>Uncategorised</t>
        </is>
      </c>
      <c r="E225" s="10" t="inlineStr">
        <is>
          <t>Review</t>
        </is>
      </c>
      <c r="F225" s="10" t="inlineStr">
        <is>
          <t>Amex Oct-2025</t>
        </is>
      </c>
      <c r="G225" s="10">
        <f>IF(OR(D225="Uncategorised",E225="",E225="Review"),"Needs category/owner","Resolved")</f>
        <v/>
      </c>
    </row>
    <row r="226">
      <c r="A226" s="11" t="n">
        <v>45934</v>
      </c>
      <c r="B226" s="10" t="inlineStr">
        <is>
          <t>JIESEU 25 INCHEONGONGHANG INCHEON</t>
        </is>
      </c>
      <c r="C226" s="12" t="n">
        <v>19.28</v>
      </c>
      <c r="D226" s="10" t="inlineStr">
        <is>
          <t>Uncategorised</t>
        </is>
      </c>
      <c r="E226" s="10" t="inlineStr">
        <is>
          <t>Review</t>
        </is>
      </c>
      <c r="F226" s="10" t="inlineStr">
        <is>
          <t>Amex Oct-2025</t>
        </is>
      </c>
      <c r="G226" s="10">
        <f>IF(OR(D226="Uncategorised",E226="",E226="Review"),"Needs category/owner","Resolved")</f>
        <v/>
      </c>
    </row>
    <row r="227">
      <c r="A227" s="11" t="n">
        <v>45936</v>
      </c>
      <c r="B227" s="10" t="inlineStr">
        <is>
          <t>GREAT FOOD HALL ( GPP- 25 ADMIRALTY</t>
        </is>
      </c>
      <c r="C227" s="12" t="n">
        <v>2701.2</v>
      </c>
      <c r="D227" s="10" t="inlineStr">
        <is>
          <t>Uncategorised</t>
        </is>
      </c>
      <c r="E227" s="10" t="inlineStr">
        <is>
          <t>Review</t>
        </is>
      </c>
      <c r="F227" s="10" t="inlineStr">
        <is>
          <t>Amex Oct-2025</t>
        </is>
      </c>
      <c r="G227" s="10">
        <f>IF(OR(D227="Uncategorised",E227="",E227="Review"),"Needs category/owner","Resolved")</f>
        <v/>
      </c>
    </row>
    <row r="228">
      <c r="A228" s="11" t="n">
        <v>45939</v>
      </c>
      <c r="B228" s="10" t="inlineStr">
        <is>
          <t>BB MSL * FLE XSTUDIO HK</t>
        </is>
      </c>
      <c r="C228" s="12" t="n">
        <v>12090</v>
      </c>
      <c r="D228" s="10" t="inlineStr">
        <is>
          <t>Uncategorised</t>
        </is>
      </c>
      <c r="E228" s="10" t="inlineStr">
        <is>
          <t>Review</t>
        </is>
      </c>
      <c r="F228" s="10" t="inlineStr">
        <is>
          <t>Amex Oct-2025</t>
        </is>
      </c>
      <c r="G228" s="10">
        <f>IF(OR(D228="Uncategorised",E228="",E228="Review"),"Needs category/owner","Resolved")</f>
        <v/>
      </c>
    </row>
    <row r="229">
      <c r="A229" s="11" t="n">
        <v>45940</v>
      </c>
      <c r="B229" s="10" t="inlineStr">
        <is>
          <t>KPAY * SC ROASTERY 000000 HONG KONG</t>
        </is>
      </c>
      <c r="C229" s="12" t="n">
        <v>456</v>
      </c>
      <c r="D229" s="10" t="inlineStr">
        <is>
          <t>Uncategorised</t>
        </is>
      </c>
      <c r="E229" s="10" t="inlineStr">
        <is>
          <t>Review</t>
        </is>
      </c>
      <c r="F229" s="10" t="inlineStr">
        <is>
          <t>Amex Oct-2025</t>
        </is>
      </c>
      <c r="G229" s="10">
        <f>IF(OR(D229="Uncategorised",E229="",E229="Review"),"Needs category/owner","Resolved")</f>
        <v/>
      </c>
    </row>
    <row r="230">
      <c r="A230" s="11" t="n">
        <v>45944</v>
      </c>
      <c r="B230" s="10" t="inlineStr">
        <is>
          <t>SP LOOKOPTIC LOS ANGELES</t>
        </is>
      </c>
      <c r="C230" s="12" t="n">
        <v>1539.38</v>
      </c>
      <c r="D230" s="10" t="inlineStr">
        <is>
          <t>Uncategorised</t>
        </is>
      </c>
      <c r="E230" s="10" t="inlineStr">
        <is>
          <t>Review</t>
        </is>
      </c>
      <c r="F230" s="10" t="inlineStr">
        <is>
          <t>Amex Oct-2025</t>
        </is>
      </c>
      <c r="G230" s="10">
        <f>IF(OR(D230="Uncategorised",E230="",E230="Review"),"Needs category/owner","Resolved")</f>
        <v/>
      </c>
    </row>
    <row r="231">
      <c r="A231" s="11" t="n">
        <v>45946</v>
      </c>
      <c r="B231" s="10" t="inlineStr">
        <is>
          <t>COS BAR BEVERLY HILLS</t>
        </is>
      </c>
      <c r="C231" s="12" t="n">
        <v>4829.61</v>
      </c>
      <c r="D231" s="10" t="inlineStr">
        <is>
          <t>Uncategorised</t>
        </is>
      </c>
      <c r="E231" s="10" t="inlineStr">
        <is>
          <t>Review</t>
        </is>
      </c>
      <c r="F231" s="10" t="inlineStr">
        <is>
          <t>Amex Oct-2025</t>
        </is>
      </c>
      <c r="G231" s="10">
        <f>IF(OR(D231="Uncategorised",E231="",E231="Review"),"Needs category/owner","Resolved")</f>
        <v/>
      </c>
    </row>
    <row r="232">
      <c r="A232" s="11" t="n">
        <v>45946</v>
      </c>
      <c r="B232" s="10" t="inlineStr">
        <is>
          <t>SP FRANKIES BKINIS-LEAP CHICAGO</t>
        </is>
      </c>
      <c r="C232" s="12" t="n">
        <v>1306.15</v>
      </c>
      <c r="D232" s="10" t="inlineStr">
        <is>
          <t>Uncategorised</t>
        </is>
      </c>
      <c r="E232" s="10" t="inlineStr">
        <is>
          <t>Review</t>
        </is>
      </c>
      <c r="F232" s="10" t="inlineStr">
        <is>
          <t>Amex Oct-2025</t>
        </is>
      </c>
      <c r="G232" s="10">
        <f>IF(OR(D232="Uncategorised",E232="",E232="Review"),"Needs category/owner","Resolved")</f>
        <v/>
      </c>
    </row>
    <row r="233">
      <c r="A233" s="11" t="n">
        <v>45946</v>
      </c>
      <c r="B233" s="10" t="inlineStr">
        <is>
          <t>SP HEIST LOS ANGELES</t>
        </is>
      </c>
      <c r="C233" s="12" t="n">
        <v>3395.93</v>
      </c>
      <c r="D233" s="10" t="inlineStr">
        <is>
          <t>Uncategorised</t>
        </is>
      </c>
      <c r="E233" s="10" t="inlineStr">
        <is>
          <t>Review</t>
        </is>
      </c>
      <c r="F233" s="10" t="inlineStr">
        <is>
          <t>Amex Oct-2025</t>
        </is>
      </c>
      <c r="G233" s="10">
        <f>IF(OR(D233="Uncategorised",E233="",E233="Review"),"Needs category/owner","Resolved")</f>
        <v/>
      </c>
    </row>
    <row r="234">
      <c r="A234" s="11" t="n">
        <v>45946</v>
      </c>
      <c r="B234" s="10" t="inlineStr">
        <is>
          <t>VINCE LLC NE WYORK</t>
        </is>
      </c>
      <c r="C234" s="12" t="n">
        <v>16237.93</v>
      </c>
      <c r="D234" s="10" t="inlineStr">
        <is>
          <t>Uncategorised</t>
        </is>
      </c>
      <c r="E234" s="10" t="inlineStr">
        <is>
          <t>Review</t>
        </is>
      </c>
      <c r="F234" s="10" t="inlineStr">
        <is>
          <t>Amex Oct-2025</t>
        </is>
      </c>
      <c r="G234" s="10">
        <f>IF(OR(D234="Uncategorised",E234="",E234="Review"),"Needs category/owner","Resolved")</f>
        <v/>
      </c>
    </row>
    <row r="235">
      <c r="A235" s="11" t="n">
        <v>45948</v>
      </c>
      <c r="B235" s="10" t="inlineStr">
        <is>
          <t>GELSON ' SMARKET # 34 000 LOS ANGELES</t>
        </is>
      </c>
      <c r="C235" s="12" t="n">
        <v>890.42</v>
      </c>
      <c r="D235" s="10" t="inlineStr">
        <is>
          <t>Uncategorised</t>
        </is>
      </c>
      <c r="E235" s="10" t="inlineStr">
        <is>
          <t>Review</t>
        </is>
      </c>
      <c r="F235" s="10" t="inlineStr">
        <is>
          <t>Amex Oct-2025</t>
        </is>
      </c>
      <c r="G235" s="10">
        <f>IF(OR(D235="Uncategorised",E235="",E235="Review"),"Needs category/owner","Resolved")</f>
        <v/>
      </c>
    </row>
    <row r="236">
      <c r="A236" s="11" t="n">
        <v>45948</v>
      </c>
      <c r="B236" s="10" t="inlineStr">
        <is>
          <t>HUDSONNEW SST 1247 1247 CARSON</t>
        </is>
      </c>
      <c r="C236" s="12" t="n">
        <v>363.38</v>
      </c>
      <c r="D236" s="10" t="inlineStr">
        <is>
          <t>Uncategorised</t>
        </is>
      </c>
      <c r="E236" s="10" t="inlineStr">
        <is>
          <t>Review</t>
        </is>
      </c>
      <c r="F236" s="10" t="inlineStr">
        <is>
          <t>Amex Oct-2025</t>
        </is>
      </c>
      <c r="G236" s="10">
        <f>IF(OR(D236="Uncategorised",E236="",E236="Review"),"Needs category/owner","Resolved")</f>
        <v/>
      </c>
    </row>
    <row r="237">
      <c r="A237" s="11" t="n">
        <v>45948</v>
      </c>
      <c r="B237" s="10" t="inlineStr">
        <is>
          <t>SPA.P.C. NE WYORK</t>
        </is>
      </c>
      <c r="C237" s="12" t="n">
        <v>7219.58</v>
      </c>
      <c r="D237" s="10" t="inlineStr">
        <is>
          <t>Uncategorised</t>
        </is>
      </c>
      <c r="E237" s="10" t="inlineStr">
        <is>
          <t>Review</t>
        </is>
      </c>
      <c r="F237" s="10" t="inlineStr">
        <is>
          <t>Amex Oct-2025</t>
        </is>
      </c>
      <c r="G237" s="10">
        <f>IF(OR(D237="Uncategorised",E237="",E237="Review"),"Needs category/owner","Resolved")</f>
        <v/>
      </c>
    </row>
    <row r="238">
      <c r="A238" s="11" t="n">
        <v>45949</v>
      </c>
      <c r="B238" s="10" t="inlineStr">
        <is>
          <t>LS &amp; PARTNERS @ LA XLLC LOS ANGELES</t>
        </is>
      </c>
      <c r="C238" s="12" t="n">
        <v>62.53</v>
      </c>
      <c r="D238" s="10" t="inlineStr">
        <is>
          <t>Uncategorised</t>
        </is>
      </c>
      <c r="E238" s="10" t="inlineStr">
        <is>
          <t>Review</t>
        </is>
      </c>
      <c r="F238" s="10" t="inlineStr">
        <is>
          <t>Amex Oct-2025</t>
        </is>
      </c>
      <c r="G238" s="10">
        <f>IF(OR(D238="Uncategorised",E238="",E238="Review"),"Needs category/owner","Resolved")</f>
        <v/>
      </c>
    </row>
    <row r="239">
      <c r="A239" s="11" t="n">
        <v>45952</v>
      </c>
      <c r="B239" s="10" t="inlineStr">
        <is>
          <t>PRIMO POSTO SHEUNG WAN</t>
        </is>
      </c>
      <c r="C239" s="12" t="n">
        <v>1859</v>
      </c>
      <c r="D239" s="10" t="inlineStr">
        <is>
          <t>Uncategorised</t>
        </is>
      </c>
      <c r="E239" s="10" t="inlineStr">
        <is>
          <t>Review</t>
        </is>
      </c>
      <c r="F239" s="10" t="inlineStr">
        <is>
          <t>Amex Oct-2025</t>
        </is>
      </c>
      <c r="G239" s="10">
        <f>IF(OR(D239="Uncategorised",E239="",E239="Review"),"Needs category/owner","Resolved")</f>
        <v/>
      </c>
    </row>
    <row r="240">
      <c r="A240" s="11" t="n">
        <v>45954</v>
      </c>
      <c r="B240" s="10" t="inlineStr">
        <is>
          <t>COHIB ACIGAR DIVAN HONG KONG</t>
        </is>
      </c>
      <c r="C240" s="12" t="n">
        <v>4768</v>
      </c>
      <c r="D240" s="10" t="inlineStr">
        <is>
          <t>Uncategorised</t>
        </is>
      </c>
      <c r="E240" s="10" t="inlineStr">
        <is>
          <t>Review</t>
        </is>
      </c>
      <c r="F240" s="10" t="inlineStr">
        <is>
          <t>Amex Oct-2025</t>
        </is>
      </c>
      <c r="G240" s="10">
        <f>IF(OR(D240="Uncategorised",E240="",E240="Review"),"Needs category/owner","Resolved")</f>
        <v/>
      </c>
    </row>
    <row r="241">
      <c r="A241" s="11" t="n">
        <v>45954</v>
      </c>
      <c r="B241" s="10" t="inlineStr">
        <is>
          <t>WAI KEEJ E WELLERS LTD CENTRAL</t>
        </is>
      </c>
      <c r="C241" s="12" t="n">
        <v>900</v>
      </c>
      <c r="D241" s="10" t="inlineStr">
        <is>
          <t>Uncategorised</t>
        </is>
      </c>
      <c r="E241" s="10" t="inlineStr">
        <is>
          <t>Review</t>
        </is>
      </c>
      <c r="F241" s="10" t="inlineStr">
        <is>
          <t>Amex Oct-2025</t>
        </is>
      </c>
      <c r="G241" s="10">
        <f>IF(OR(D241="Uncategorised",E241="",E241="Review"),"Needs category/owner","Resolved")</f>
        <v/>
      </c>
    </row>
    <row r="242">
      <c r="A242" s="11" t="n">
        <v>45957</v>
      </c>
      <c r="B242" s="10" t="inlineStr">
        <is>
          <t>FOUR SEASONS RESORT LOS LOS CA BOS</t>
        </is>
      </c>
      <c r="C242" s="12" t="n">
        <v>12331.04</v>
      </c>
      <c r="D242" s="10" t="inlineStr">
        <is>
          <t>Uncategorised</t>
        </is>
      </c>
      <c r="E242" s="10" t="inlineStr">
        <is>
          <t>Review</t>
        </is>
      </c>
      <c r="F242" s="10" t="inlineStr">
        <is>
          <t>Amex Nov-2025</t>
        </is>
      </c>
      <c r="G242" s="10">
        <f>IF(OR(D242="Uncategorised",E242="",E242="Review"),"Needs category/owner","Resolved")</f>
        <v/>
      </c>
    </row>
    <row r="243">
      <c r="A243" s="11" t="n">
        <v>45958</v>
      </c>
      <c r="B243" s="10" t="inlineStr">
        <is>
          <t>CATHAY PACI FIC AIR WAYS SAN FRANCISCO</t>
        </is>
      </c>
      <c r="C243" s="12" t="n">
        <v>27733.9</v>
      </c>
      <c r="D243" s="10" t="inlineStr">
        <is>
          <t>Uncategorised</t>
        </is>
      </c>
      <c r="E243" s="10" t="inlineStr">
        <is>
          <t>Review</t>
        </is>
      </c>
      <c r="F243" s="10" t="inlineStr">
        <is>
          <t>Amex Nov-2025</t>
        </is>
      </c>
      <c r="G243" s="10">
        <f>IF(OR(D243="Uncategorised",E243="",E243="Review"),"Needs category/owner","Resolved")</f>
        <v/>
      </c>
    </row>
    <row r="244">
      <c r="A244" s="11" t="n">
        <v>45960</v>
      </c>
      <c r="B244" s="10" t="inlineStr">
        <is>
          <t>SALOMON CAUSE WAY BAY</t>
        </is>
      </c>
      <c r="C244" s="12" t="n">
        <v>10058</v>
      </c>
      <c r="D244" s="10" t="inlineStr">
        <is>
          <t>Uncategorised</t>
        </is>
      </c>
      <c r="E244" s="10" t="inlineStr">
        <is>
          <t>Review</t>
        </is>
      </c>
      <c r="F244" s="10" t="inlineStr">
        <is>
          <t>Amex Nov-2025</t>
        </is>
      </c>
      <c r="G244" s="10">
        <f>IF(OR(D244="Uncategorised",E244="",E244="Review"),"Needs category/owner","Resolved")</f>
        <v/>
      </c>
    </row>
    <row r="245">
      <c r="A245" s="11" t="n">
        <v>45961</v>
      </c>
      <c r="B245" s="10" t="inlineStr">
        <is>
          <t>GLO BALE LONDON</t>
        </is>
      </c>
      <c r="C245" s="12" t="n">
        <v>4740</v>
      </c>
      <c r="D245" s="10" t="inlineStr">
        <is>
          <t>Uncategorised</t>
        </is>
      </c>
      <c r="E245" s="10" t="inlineStr">
        <is>
          <t>Review</t>
        </is>
      </c>
      <c r="F245" s="10" t="inlineStr">
        <is>
          <t>Amex Nov-2025</t>
        </is>
      </c>
      <c r="G245" s="10">
        <f>IF(OR(D245="Uncategorised",E245="",E245="Review"),"Needs category/owner","Resolved")</f>
        <v/>
      </c>
    </row>
    <row r="246">
      <c r="A246" s="11" t="n">
        <v>45961</v>
      </c>
      <c r="B246" s="10" t="inlineStr">
        <is>
          <t>LANE CRAW FORD ( CANTON RTSIM SHA TSUI</t>
        </is>
      </c>
      <c r="C246" s="12" t="n">
        <v>3480</v>
      </c>
      <c r="D246" s="10" t="inlineStr">
        <is>
          <t>Uncategorised</t>
        </is>
      </c>
      <c r="E246" s="10" t="inlineStr">
        <is>
          <t>Review</t>
        </is>
      </c>
      <c r="F246" s="10" t="inlineStr">
        <is>
          <t>Amex Nov-2025</t>
        </is>
      </c>
      <c r="G246" s="10">
        <f>IF(OR(D246="Uncategorised",E246="",E246="Review"),"Needs category/owner","Resolved")</f>
        <v/>
      </c>
    </row>
    <row r="247">
      <c r="A247" s="11" t="n">
        <v>45962</v>
      </c>
      <c r="B247" s="10" t="inlineStr">
        <is>
          <t>LANE CRAW FORD ( I F C ) CENTRAL</t>
        </is>
      </c>
      <c r="C247" s="12" t="n">
        <v>1305</v>
      </c>
      <c r="D247" s="10" t="inlineStr">
        <is>
          <t>Uncategorised</t>
        </is>
      </c>
      <c r="E247" s="10" t="inlineStr">
        <is>
          <t>Review</t>
        </is>
      </c>
      <c r="F247" s="10" t="inlineStr">
        <is>
          <t>Amex Nov-2025</t>
        </is>
      </c>
      <c r="G247" s="10">
        <f>IF(OR(D247="Uncategorised",E247="",E247="Review"),"Needs category/owner","Resolved")</f>
        <v/>
      </c>
    </row>
    <row r="248">
      <c r="A248" s="11" t="n">
        <v>45962</v>
      </c>
      <c r="B248" s="10" t="inlineStr">
        <is>
          <t>ZARA-I F CCENTRAL</t>
        </is>
      </c>
      <c r="C248" s="12" t="n">
        <v>1047</v>
      </c>
      <c r="D248" s="10" t="inlineStr">
        <is>
          <t>Uncategorised</t>
        </is>
      </c>
      <c r="E248" s="10" t="inlineStr">
        <is>
          <t>Review</t>
        </is>
      </c>
      <c r="F248" s="10" t="inlineStr">
        <is>
          <t>Amex Nov-2025</t>
        </is>
      </c>
      <c r="G248" s="10">
        <f>IF(OR(D248="Uncategorised",E248="",E248="Review"),"Needs category/owner","Resolved")</f>
        <v/>
      </c>
    </row>
    <row r="249">
      <c r="A249" s="11" t="n">
        <v>45964</v>
      </c>
      <c r="B249" s="10" t="inlineStr">
        <is>
          <t>BAKEHOUSE CENTRAL</t>
        </is>
      </c>
      <c r="C249" s="12" t="n">
        <v>336</v>
      </c>
      <c r="D249" s="10" t="inlineStr">
        <is>
          <t>Uncategorised</t>
        </is>
      </c>
      <c r="E249" s="10" t="inlineStr">
        <is>
          <t>Review</t>
        </is>
      </c>
      <c r="F249" s="10" t="inlineStr">
        <is>
          <t>Amex Nov-2025</t>
        </is>
      </c>
      <c r="G249" s="10">
        <f>IF(OR(D249="Uncategorised",E249="",E249="Review"),"Needs category/owner","Resolved")</f>
        <v/>
      </c>
    </row>
    <row r="250">
      <c r="A250" s="11" t="n">
        <v>45964</v>
      </c>
      <c r="B250" s="10" t="inlineStr">
        <is>
          <t>KRP * Exim b ay SEOUL</t>
        </is>
      </c>
      <c r="C250" s="12" t="n">
        <v>278.22</v>
      </c>
      <c r="D250" s="10" t="inlineStr">
        <is>
          <t>Uncategorised</t>
        </is>
      </c>
      <c r="E250" s="10" t="inlineStr">
        <is>
          <t>Review</t>
        </is>
      </c>
      <c r="F250" s="10" t="inlineStr">
        <is>
          <t>Amex Nov-2025</t>
        </is>
      </c>
      <c r="G250" s="10">
        <f>IF(OR(D250="Uncategorised",E250="",E250="Review"),"Needs category/owner","Resolved")</f>
        <v/>
      </c>
    </row>
    <row r="251">
      <c r="A251" s="11" t="n">
        <v>45964</v>
      </c>
      <c r="B251" s="10" t="inlineStr">
        <is>
          <t>LULULEMON HK LIMITED WANCHAI</t>
        </is>
      </c>
      <c r="C251" s="12" t="n">
        <v>1180</v>
      </c>
      <c r="D251" s="10" t="inlineStr">
        <is>
          <t>Uncategorised</t>
        </is>
      </c>
      <c r="E251" s="10" t="inlineStr">
        <is>
          <t>Review</t>
        </is>
      </c>
      <c r="F251" s="10" t="inlineStr">
        <is>
          <t>Amex Nov-2025</t>
        </is>
      </c>
      <c r="G251" s="10">
        <f>IF(OR(D251="Uncategorised",E251="",E251="Review"),"Needs category/owner","Resolved")</f>
        <v/>
      </c>
    </row>
    <row r="252">
      <c r="A252" s="11" t="n">
        <v>45967</v>
      </c>
      <c r="B252" s="10" t="inlineStr">
        <is>
          <t>KAPEKICHEUNE SEOUL SEOUL</t>
        </is>
      </c>
      <c r="C252" s="12" t="n">
        <v>231.74</v>
      </c>
      <c r="D252" s="10" t="inlineStr">
        <is>
          <t>Uncategorised</t>
        </is>
      </c>
      <c r="E252" s="10" t="inlineStr">
        <is>
          <t>Review</t>
        </is>
      </c>
      <c r="F252" s="10" t="inlineStr">
        <is>
          <t>Amex Nov-2025</t>
        </is>
      </c>
      <c r="G252" s="10">
        <f>IF(OR(D252="Uncategorised",E252="",E252="Review"),"Needs category/owner","Resolved")</f>
        <v/>
      </c>
    </row>
    <row r="253">
      <c r="A253" s="11" t="n">
        <v>45967</v>
      </c>
      <c r="B253" s="10" t="inlineStr">
        <is>
          <t>KRP * Exim b ay SEOUL</t>
        </is>
      </c>
      <c r="C253" s="12" t="n">
        <v>820.7</v>
      </c>
      <c r="D253" s="10" t="inlineStr">
        <is>
          <t>Uncategorised</t>
        </is>
      </c>
      <c r="E253" s="10" t="inlineStr">
        <is>
          <t>Review</t>
        </is>
      </c>
      <c r="F253" s="10" t="inlineStr">
        <is>
          <t>Amex Nov-2025</t>
        </is>
      </c>
      <c r="G253" s="10">
        <f>IF(OR(D253="Uncategorised",E253="",E253="Review"),"Needs category/owner","Resolved")</f>
        <v/>
      </c>
    </row>
    <row r="254">
      <c r="A254" s="11" t="n">
        <v>45968</v>
      </c>
      <c r="B254" s="10" t="inlineStr">
        <is>
          <t>EMPEUTI SEONGSOO SEOUL</t>
        </is>
      </c>
      <c r="C254" s="12" t="n">
        <v>495.51</v>
      </c>
      <c r="D254" s="10" t="inlineStr">
        <is>
          <t>Uncategorised</t>
        </is>
      </c>
      <c r="E254" s="10" t="inlineStr">
        <is>
          <t>Review</t>
        </is>
      </c>
      <c r="F254" s="10" t="inlineStr">
        <is>
          <t>Amex Nov-2025</t>
        </is>
      </c>
      <c r="G254" s="10">
        <f>IF(OR(D254="Uncategorised",E254="",E254="Review"),"Needs category/owner","Resolved")</f>
        <v/>
      </c>
    </row>
    <row r="255">
      <c r="A255" s="11" t="n">
        <v>45968</v>
      </c>
      <c r="B255" s="10" t="inlineStr">
        <is>
          <t>EPHEMERA SEOUL</t>
        </is>
      </c>
      <c r="C255" s="12" t="n">
        <v>43.55</v>
      </c>
      <c r="D255" s="10" t="inlineStr">
        <is>
          <t>Uncategorised</t>
        </is>
      </c>
      <c r="E255" s="10" t="inlineStr">
        <is>
          <t>Review</t>
        </is>
      </c>
      <c r="F255" s="10" t="inlineStr">
        <is>
          <t>Amex Nov-2025</t>
        </is>
      </c>
      <c r="G255" s="10">
        <f>IF(OR(D255="Uncategorised",E255="",E255="Review"),"Needs category/owner","Resolved")</f>
        <v/>
      </c>
    </row>
    <row r="256">
      <c r="A256" s="11" t="n">
        <v>45968</v>
      </c>
      <c r="B256" s="10" t="inlineStr">
        <is>
          <t>JUSIKHOESA NEMO JIPHANNA SEOUL</t>
        </is>
      </c>
      <c r="C256" s="12" t="n">
        <v>4361.75</v>
      </c>
      <c r="D256" s="10" t="inlineStr">
        <is>
          <t>Uncategorised</t>
        </is>
      </c>
      <c r="E256" s="10" t="inlineStr">
        <is>
          <t>Review</t>
        </is>
      </c>
      <c r="F256" s="10" t="inlineStr">
        <is>
          <t>Amex Nov-2025</t>
        </is>
      </c>
      <c r="G256" s="10">
        <f>IF(OR(D256="Uncategorised",E256="",E256="Review"),"Needs category/owner","Resolved")</f>
        <v/>
      </c>
    </row>
    <row r="257">
      <c r="A257" s="11" t="n">
        <v>45968</v>
      </c>
      <c r="B257" s="10" t="inlineStr">
        <is>
          <t>M u sinsa Co. , Ltd. M u sin SEOUL</t>
        </is>
      </c>
      <c r="C257" s="12" t="n">
        <v>1109.23</v>
      </c>
      <c r="D257" s="10" t="inlineStr">
        <is>
          <t>Uncategorised</t>
        </is>
      </c>
      <c r="E257" s="10" t="inlineStr">
        <is>
          <t>Review</t>
        </is>
      </c>
      <c r="F257" s="10" t="inlineStr">
        <is>
          <t>Amex Nov-2025</t>
        </is>
      </c>
      <c r="G257" s="10">
        <f>IF(OR(D257="Uncategorised",E257="",E257="Review"),"Needs category/owner","Resolved")</f>
        <v/>
      </c>
    </row>
    <row r="258">
      <c r="A258" s="11" t="n">
        <v>45968</v>
      </c>
      <c r="B258" s="10" t="inlineStr">
        <is>
          <t>POL BASED HANNAM KEOPISE SEOUL</t>
        </is>
      </c>
      <c r="C258" s="12" t="n">
        <v>52.83</v>
      </c>
      <c r="D258" s="10" t="inlineStr">
        <is>
          <t>Uncategorised</t>
        </is>
      </c>
      <c r="E258" s="10" t="inlineStr">
        <is>
          <t>Review</t>
        </is>
      </c>
      <c r="F258" s="10" t="inlineStr">
        <is>
          <t>Amex Nov-2025</t>
        </is>
      </c>
      <c r="G258" s="10">
        <f>IF(OR(D258="Uncategorised",E258="",E258="Review"),"Needs category/owner","Resolved")</f>
        <v/>
      </c>
    </row>
    <row r="259">
      <c r="A259" s="11" t="n">
        <v>45971</v>
      </c>
      <c r="B259" s="10" t="inlineStr">
        <is>
          <t>BONTAE BAKMOOLGOANJ E J U-DO</t>
        </is>
      </c>
      <c r="C259" s="12" t="n">
        <v>819.46</v>
      </c>
      <c r="D259" s="10" t="inlineStr">
        <is>
          <t>Uncategorised</t>
        </is>
      </c>
      <c r="E259" s="10" t="inlineStr">
        <is>
          <t>Review</t>
        </is>
      </c>
      <c r="F259" s="10" t="inlineStr">
        <is>
          <t>Amex Nov-2025</t>
        </is>
      </c>
      <c r="G259" s="10">
        <f>IF(OR(D259="Uncategorised",E259="",E259="Review"),"Needs category/owner","Resolved")</f>
        <v/>
      </c>
    </row>
    <row r="260">
      <c r="A260" s="11" t="n">
        <v>45972</v>
      </c>
      <c r="B260" s="10" t="inlineStr">
        <is>
          <t>DAMGILJ E J U-DO</t>
        </is>
      </c>
      <c r="C260" s="12" t="n">
        <v>119.16</v>
      </c>
      <c r="D260" s="10" t="inlineStr">
        <is>
          <t>Uncategorised</t>
        </is>
      </c>
      <c r="E260" s="10" t="inlineStr">
        <is>
          <t>Review</t>
        </is>
      </c>
      <c r="F260" s="10" t="inlineStr">
        <is>
          <t>Amex Nov-2025</t>
        </is>
      </c>
      <c r="G260" s="10">
        <f>IF(OR(D260="Uncategorised",E260="",E260="Review"),"Needs category/owner","Resolved")</f>
        <v/>
      </c>
    </row>
    <row r="261">
      <c r="A261" s="11" t="n">
        <v>45974</v>
      </c>
      <c r="B261" s="10" t="inlineStr">
        <is>
          <t>FOURSTONES PARNASMALL SEOUL</t>
        </is>
      </c>
      <c r="C261" s="12" t="n">
        <v>70.22</v>
      </c>
      <c r="D261" s="10" t="inlineStr">
        <is>
          <t>Uncategorised</t>
        </is>
      </c>
      <c r="E261" s="10" t="inlineStr">
        <is>
          <t>Review</t>
        </is>
      </c>
      <c r="F261" s="10" t="inlineStr">
        <is>
          <t>Amex Nov-2025</t>
        </is>
      </c>
      <c r="G261" s="10">
        <f>IF(OR(D261="Uncategorised",E261="",E261="Review"),"Needs category/owner","Resolved")</f>
        <v/>
      </c>
    </row>
    <row r="262">
      <c r="A262" s="11" t="n">
        <v>45975</v>
      </c>
      <c r="B262" s="10" t="inlineStr">
        <is>
          <t>He ll o Pharmacy INCHEON</t>
        </is>
      </c>
      <c r="C262" s="12" t="n">
        <v>48.99</v>
      </c>
      <c r="D262" s="10" t="inlineStr">
        <is>
          <t>Uncategorised</t>
        </is>
      </c>
      <c r="E262" s="10" t="inlineStr">
        <is>
          <t>Review</t>
        </is>
      </c>
      <c r="F262" s="10" t="inlineStr">
        <is>
          <t>Amex Nov-2025</t>
        </is>
      </c>
      <c r="G262" s="10">
        <f>IF(OR(D262="Uncategorised",E262="",E262="Review"),"Needs category/owner","Resolved")</f>
        <v/>
      </c>
    </row>
    <row r="263">
      <c r="A263" s="11" t="n">
        <v>45976</v>
      </c>
      <c r="B263" s="10" t="inlineStr">
        <is>
          <t>DUDDELL ' SCENTRAL</t>
        </is>
      </c>
      <c r="C263" s="12" t="n">
        <v>66773.7</v>
      </c>
      <c r="D263" s="10" t="inlineStr">
        <is>
          <t>Uncategorised</t>
        </is>
      </c>
      <c r="E263" s="10" t="inlineStr">
        <is>
          <t>Review</t>
        </is>
      </c>
      <c r="F263" s="10" t="inlineStr">
        <is>
          <t>Amex Nov-2025</t>
        </is>
      </c>
      <c r="G263" s="10">
        <f>IF(OR(D263="Uncategorised",E263="",E263="Review"),"Needs category/owner","Resolved")</f>
        <v/>
      </c>
    </row>
    <row r="264">
      <c r="A264" s="11" t="n">
        <v>45978</v>
      </c>
      <c r="B264" s="10" t="inlineStr">
        <is>
          <t>GLO BALE * /ISA BEL MARANT LONDON</t>
        </is>
      </c>
      <c r="C264" s="12" t="n">
        <v>9420</v>
      </c>
      <c r="D264" s="10" t="inlineStr">
        <is>
          <t>Uncategorised</t>
        </is>
      </c>
      <c r="E264" s="10" t="inlineStr">
        <is>
          <t>Review</t>
        </is>
      </c>
      <c r="F264" s="10" t="inlineStr">
        <is>
          <t>Amex Nov-2025</t>
        </is>
      </c>
      <c r="G264" s="10">
        <f>IF(OR(D264="Uncategorised",E264="",E264="Review"),"Needs category/owner","Resolved")</f>
        <v/>
      </c>
    </row>
    <row r="265">
      <c r="A265" s="11" t="n">
        <v>45978</v>
      </c>
      <c r="B265" s="10" t="inlineStr">
        <is>
          <t>NE WPUNJ A BCLU BCENTRAL</t>
        </is>
      </c>
      <c r="C265" s="12" t="n">
        <v>3947</v>
      </c>
      <c r="D265" s="10" t="inlineStr">
        <is>
          <t>Uncategorised</t>
        </is>
      </c>
      <c r="E265" s="10" t="inlineStr">
        <is>
          <t>Review</t>
        </is>
      </c>
      <c r="F265" s="10" t="inlineStr">
        <is>
          <t>Amex Nov-2025</t>
        </is>
      </c>
      <c r="G265" s="10">
        <f>IF(OR(D265="Uncategorised",E265="",E265="Review"),"Needs category/owner","Resolved")</f>
        <v/>
      </c>
    </row>
    <row r="266">
      <c r="A266" s="11" t="n">
        <v>45979</v>
      </c>
      <c r="B266" s="10" t="inlineStr">
        <is>
          <t>OKAKIDOKOROTERAKOYAHOMP NAGANO</t>
        </is>
      </c>
      <c r="C266" s="12" t="n">
        <v>212.94</v>
      </c>
      <c r="D266" s="10" t="inlineStr">
        <is>
          <t>Uncategorised</t>
        </is>
      </c>
      <c r="E266" s="10" t="inlineStr">
        <is>
          <t>Review</t>
        </is>
      </c>
      <c r="F266" s="10" t="inlineStr">
        <is>
          <t>Amex Nov-2025</t>
        </is>
      </c>
      <c r="G266" s="10">
        <f>IF(OR(D266="Uncategorised",E266="",E266="Review"),"Needs category/owner","Resolved")</f>
        <v/>
      </c>
    </row>
    <row r="267">
      <c r="A267" s="11" t="n">
        <v>45980</v>
      </c>
      <c r="B267" s="10" t="inlineStr">
        <is>
          <t>FARM FRONT AIR NIGATA</t>
        </is>
      </c>
      <c r="C267" s="12" t="n">
        <v>420.33</v>
      </c>
      <c r="D267" s="10" t="inlineStr">
        <is>
          <t>Uncategorised</t>
        </is>
      </c>
      <c r="E267" s="10" t="inlineStr">
        <is>
          <t>Review</t>
        </is>
      </c>
      <c r="F267" s="10" t="inlineStr">
        <is>
          <t>Amex Nov-2025</t>
        </is>
      </c>
      <c r="G267" s="10">
        <f>IF(OR(D267="Uncategorised",E267="",E267="Review"),"Needs category/owner","Resolved")</f>
        <v/>
      </c>
    </row>
    <row r="268">
      <c r="A268" s="11" t="n">
        <v>45982</v>
      </c>
      <c r="B268" s="10" t="inlineStr">
        <is>
          <t>MIYAGEDOKOROYATAIREN SAITAMA</t>
        </is>
      </c>
      <c r="C268" s="12" t="n">
        <v>97.62</v>
      </c>
      <c r="D268" s="10" t="inlineStr">
        <is>
          <t>Uncategorised</t>
        </is>
      </c>
      <c r="E268" s="10" t="inlineStr">
        <is>
          <t>Review</t>
        </is>
      </c>
      <c r="F268" s="10" t="inlineStr">
        <is>
          <t>Amex Nov-2025</t>
        </is>
      </c>
      <c r="G268" s="10">
        <f>IF(OR(D268="Uncategorised",E268="",E268="Review"),"Needs category/owner","Resolved")</f>
        <v/>
      </c>
    </row>
    <row r="269">
      <c r="A269" s="11" t="n">
        <v>45982</v>
      </c>
      <c r="B269" s="10" t="inlineStr">
        <is>
          <t>NASU MUKUNONE TOCHIGI</t>
        </is>
      </c>
      <c r="C269" s="12" t="n">
        <v>5042.5</v>
      </c>
      <c r="D269" s="10" t="inlineStr">
        <is>
          <t>Uncategorised</t>
        </is>
      </c>
      <c r="E269" s="10" t="inlineStr">
        <is>
          <t>Review</t>
        </is>
      </c>
      <c r="F269" s="10" t="inlineStr">
        <is>
          <t>Amex Nov-2025</t>
        </is>
      </c>
      <c r="G269" s="10">
        <f>IF(OR(D269="Uncategorised",E269="",E269="Review"),"Needs category/owner","Resolved")</f>
        <v/>
      </c>
    </row>
    <row r="270">
      <c r="A270" s="11" t="n">
        <v>45982</v>
      </c>
      <c r="B270" s="10" t="inlineStr">
        <is>
          <t>PAYPAL * DROPB O XINTE 4029357733</t>
        </is>
      </c>
      <c r="C270" s="12" t="n">
        <v>952.3099999999999</v>
      </c>
      <c r="D270" s="10" t="inlineStr">
        <is>
          <t>Uncategorised</t>
        </is>
      </c>
      <c r="E270" s="10" t="inlineStr">
        <is>
          <t>Review</t>
        </is>
      </c>
      <c r="F270" s="10" t="inlineStr">
        <is>
          <t>Amex Nov-2025</t>
        </is>
      </c>
      <c r="G270" s="10">
        <f>IF(OR(D270="Uncategorised",E270="",E270="Review"),"Needs category/owner","Resolved")</f>
        <v/>
      </c>
    </row>
    <row r="271">
      <c r="A271" s="11" t="n">
        <v>45983</v>
      </c>
      <c r="B271" s="10" t="inlineStr">
        <is>
          <t>CINE MACOM C in emacom A M H</t>
        </is>
      </c>
      <c r="C271" s="12" t="n">
        <v>300</v>
      </c>
      <c r="D271" s="10" t="inlineStr">
        <is>
          <t>Uncategorised</t>
        </is>
      </c>
      <c r="E271" s="10" t="inlineStr">
        <is>
          <t>Review</t>
        </is>
      </c>
      <c r="F271" s="10" t="inlineStr">
        <is>
          <t>Amex Dec-2025</t>
        </is>
      </c>
      <c r="G271" s="10">
        <f>IF(OR(D271="Uncategorised",E271="",E271="Review"),"Needs category/owner","Resolved")</f>
        <v/>
      </c>
    </row>
    <row r="272">
      <c r="A272" s="11" t="n">
        <v>45985</v>
      </c>
      <c r="B272" s="10" t="inlineStr">
        <is>
          <t>THE MANDARIN CAKE SHOP CENTRAL</t>
        </is>
      </c>
      <c r="C272" s="12" t="n">
        <v>189.2</v>
      </c>
      <c r="D272" s="10" t="inlineStr">
        <is>
          <t>Uncategorised</t>
        </is>
      </c>
      <c r="E272" s="10" t="inlineStr">
        <is>
          <t>Review</t>
        </is>
      </c>
      <c r="F272" s="10" t="inlineStr">
        <is>
          <t>Amex Nov-2025</t>
        </is>
      </c>
      <c r="G272" s="10">
        <f>IF(OR(D272="Uncategorised",E272="",E272="Review"),"Needs category/owner","Resolved")</f>
        <v/>
      </c>
    </row>
    <row r="273">
      <c r="A273" s="11" t="n">
        <v>45986</v>
      </c>
      <c r="B273" s="10" t="inlineStr">
        <is>
          <t>SP SHI- ZEN ZUSHISHI</t>
        </is>
      </c>
      <c r="C273" s="12" t="n">
        <v>4126</v>
      </c>
      <c r="D273" s="10" t="inlineStr">
        <is>
          <t>Uncategorised</t>
        </is>
      </c>
      <c r="E273" s="10" t="inlineStr">
        <is>
          <t>Review</t>
        </is>
      </c>
      <c r="F273" s="10" t="inlineStr">
        <is>
          <t>Amex Nov-2025</t>
        </is>
      </c>
      <c r="G273" s="10">
        <f>IF(OR(D273="Uncategorised",E273="",E273="Review"),"Needs category/owner","Resolved")</f>
        <v/>
      </c>
    </row>
    <row r="274">
      <c r="A274" s="11" t="n">
        <v>45991</v>
      </c>
      <c r="B274" s="10" t="inlineStr">
        <is>
          <t>FORTRESS - 220 QUARRY BAY</t>
        </is>
      </c>
      <c r="C274" s="12" t="n">
        <v>8406</v>
      </c>
      <c r="D274" s="10" t="inlineStr">
        <is>
          <t>Uncategorised</t>
        </is>
      </c>
      <c r="E274" s="10" t="inlineStr">
        <is>
          <t>Review</t>
        </is>
      </c>
      <c r="F274" s="10" t="inlineStr">
        <is>
          <t>Amex Dec-2025</t>
        </is>
      </c>
      <c r="G274" s="10">
        <f>IF(OR(D274="Uncategorised",E274="",E274="Review"),"Needs category/owner","Resolved")</f>
        <v/>
      </c>
    </row>
    <row r="275">
      <c r="A275" s="11" t="n">
        <v>45991</v>
      </c>
      <c r="B275" s="10" t="inlineStr">
        <is>
          <t>OCL * OCTOPUS AD 2500654 KO WLOON BAY</t>
        </is>
      </c>
      <c r="C275" s="12" t="n">
        <v>1800</v>
      </c>
      <c r="D275" s="10" t="inlineStr">
        <is>
          <t>Uncategorised</t>
        </is>
      </c>
      <c r="E275" s="10" t="inlineStr">
        <is>
          <t>Review</t>
        </is>
      </c>
      <c r="F275" s="10" t="inlineStr">
        <is>
          <t>Amex Dec-2025</t>
        </is>
      </c>
      <c r="G275" s="10">
        <f>IF(OR(D275="Uncategorised",E275="",E275="Review"),"Needs category/owner","Resolved")</f>
        <v/>
      </c>
    </row>
    <row r="276">
      <c r="A276" s="11" t="n">
        <v>45993</v>
      </c>
      <c r="B276" s="10" t="inlineStr">
        <is>
          <t>PATHLAB MEDICAL LA BORAT CENTRAL</t>
        </is>
      </c>
      <c r="C276" s="12" t="n">
        <v>9850</v>
      </c>
      <c r="D276" s="10" t="inlineStr">
        <is>
          <t>Uncategorised</t>
        </is>
      </c>
      <c r="E276" s="10" t="inlineStr">
        <is>
          <t>Review</t>
        </is>
      </c>
      <c r="F276" s="10" t="inlineStr">
        <is>
          <t>Amex Dec-2025</t>
        </is>
      </c>
      <c r="G276" s="10">
        <f>IF(OR(D276="Uncategorised",E276="",E276="Review"),"Needs category/owner","Resolved")</f>
        <v/>
      </c>
    </row>
    <row r="277">
      <c r="A277" s="11" t="n">
        <v>45994</v>
      </c>
      <c r="B277" s="10" t="inlineStr">
        <is>
          <t>Ocea n payme nt * hype rs he ll HK</t>
        </is>
      </c>
      <c r="C277" s="12" t="n">
        <v>15881.61</v>
      </c>
      <c r="D277" s="10" t="inlineStr">
        <is>
          <t>Uncategorised</t>
        </is>
      </c>
      <c r="E277" s="10" t="inlineStr">
        <is>
          <t>Review</t>
        </is>
      </c>
      <c r="F277" s="10" t="inlineStr">
        <is>
          <t>Amex Dec-2025</t>
        </is>
      </c>
      <c r="G277" s="10">
        <f>IF(OR(D277="Uncategorised",E277="",E277="Review"),"Needs category/owner","Resolved")</f>
        <v/>
      </c>
    </row>
    <row r="278">
      <c r="A278" s="11" t="n">
        <v>45996</v>
      </c>
      <c r="B278" s="10" t="inlineStr">
        <is>
          <t>FORTRESS - 205 CENTRAL</t>
        </is>
      </c>
      <c r="C278" s="12" t="n">
        <v>19339</v>
      </c>
      <c r="D278" s="10" t="inlineStr">
        <is>
          <t>Uncategorised</t>
        </is>
      </c>
      <c r="E278" s="10" t="inlineStr">
        <is>
          <t>Review</t>
        </is>
      </c>
      <c r="F278" s="10" t="inlineStr">
        <is>
          <t>Amex Dec-2025</t>
        </is>
      </c>
      <c r="G278" s="10">
        <f>IF(OR(D278="Uncategorised",E278="",E278="Review"),"Needs category/owner","Resolved")</f>
        <v/>
      </c>
    </row>
    <row r="279">
      <c r="A279" s="11" t="n">
        <v>45996</v>
      </c>
      <c r="B279" s="10" t="inlineStr">
        <is>
          <t>M A X I M SCATERERS LTD CHEUNG SHA WAN</t>
        </is>
      </c>
      <c r="C279" s="12" t="n">
        <v>2000</v>
      </c>
      <c r="D279" s="10" t="inlineStr">
        <is>
          <t>Uncategorised</t>
        </is>
      </c>
      <c r="E279" s="10" t="inlineStr">
        <is>
          <t>Review</t>
        </is>
      </c>
      <c r="F279" s="10" t="inlineStr">
        <is>
          <t>Amex Dec-2025</t>
        </is>
      </c>
      <c r="G279" s="10">
        <f>IF(OR(D279="Uncategorised",E279="",E279="Review"),"Needs category/owner","Resolved")</f>
        <v/>
      </c>
    </row>
    <row r="280">
      <c r="A280" s="11" t="n">
        <v>45996</v>
      </c>
      <c r="B280" s="10" t="inlineStr">
        <is>
          <t>NEIGH BORHOOD CENTRAL</t>
        </is>
      </c>
      <c r="C280" s="12" t="n">
        <v>3218</v>
      </c>
      <c r="D280" s="10" t="inlineStr">
        <is>
          <t>Uncategorised</t>
        </is>
      </c>
      <c r="E280" s="10" t="inlineStr">
        <is>
          <t>Review</t>
        </is>
      </c>
      <c r="F280" s="10" t="inlineStr">
        <is>
          <t>Amex Dec-2025</t>
        </is>
      </c>
      <c r="G280" s="10">
        <f>IF(OR(D280="Uncategorised",E280="",E280="Review"),"Needs category/owner","Resolved")</f>
        <v/>
      </c>
    </row>
    <row r="281">
      <c r="A281" s="11" t="n">
        <v>45997</v>
      </c>
      <c r="B281" s="10" t="inlineStr">
        <is>
          <t>ASIA TICKETING LI MITED HONG KONG</t>
        </is>
      </c>
      <c r="C281" s="12" t="n">
        <v>1348</v>
      </c>
      <c r="D281" s="10" t="inlineStr">
        <is>
          <t>Uncategorised</t>
        </is>
      </c>
      <c r="E281" s="10" t="inlineStr">
        <is>
          <t>Review</t>
        </is>
      </c>
      <c r="F281" s="10" t="inlineStr">
        <is>
          <t>Amex Dec-2025</t>
        </is>
      </c>
      <c r="G281" s="10">
        <f>IF(OR(D281="Uncategorised",E281="",E281="Review"),"Needs category/owner","Resolved")</f>
        <v/>
      </c>
    </row>
    <row r="282">
      <c r="A282" s="11" t="n">
        <v>45997</v>
      </c>
      <c r="B282" s="10" t="inlineStr">
        <is>
          <t>FALCONE CENTRAL</t>
        </is>
      </c>
      <c r="C282" s="12" t="n">
        <v>1044</v>
      </c>
      <c r="D282" s="10" t="inlineStr">
        <is>
          <t>Uncategorised</t>
        </is>
      </c>
      <c r="E282" s="10" t="inlineStr">
        <is>
          <t>Review</t>
        </is>
      </c>
      <c r="F282" s="10" t="inlineStr">
        <is>
          <t>Amex Dec-2025</t>
        </is>
      </c>
      <c r="G282" s="10">
        <f>IF(OR(D282="Uncategorised",E282="",E282="Review"),"Needs category/owner","Resolved")</f>
        <v/>
      </c>
    </row>
    <row r="283">
      <c r="A283" s="11" t="n">
        <v>45997</v>
      </c>
      <c r="B283" s="10" t="inlineStr">
        <is>
          <t>LA VACHE ! CENTRAL</t>
        </is>
      </c>
      <c r="C283" s="12" t="n">
        <v>1488.4</v>
      </c>
      <c r="D283" s="10" t="inlineStr">
        <is>
          <t>Uncategorised</t>
        </is>
      </c>
      <c r="E283" s="10" t="inlineStr">
        <is>
          <t>Review</t>
        </is>
      </c>
      <c r="F283" s="10" t="inlineStr">
        <is>
          <t>Amex Dec-2025</t>
        </is>
      </c>
      <c r="G283" s="10">
        <f>IF(OR(D283="Uncategorised",E283="",E283="Review"),"Needs category/owner","Resolved")</f>
        <v/>
      </c>
    </row>
    <row r="284">
      <c r="A284" s="11" t="n">
        <v>45999</v>
      </c>
      <c r="B284" s="10" t="inlineStr">
        <is>
          <t>SP BAR TI MES STORE BUNKYOUKU</t>
        </is>
      </c>
      <c r="C284" s="12" t="n">
        <v>4728.77</v>
      </c>
      <c r="D284" s="10" t="inlineStr">
        <is>
          <t>Uncategorised</t>
        </is>
      </c>
      <c r="E284" s="10" t="inlineStr">
        <is>
          <t>Review</t>
        </is>
      </c>
      <c r="F284" s="10" t="inlineStr">
        <is>
          <t>Amex Dec-2025</t>
        </is>
      </c>
      <c r="G284" s="10">
        <f>IF(OR(D284="Uncategorised",E284="",E284="Review"),"Needs category/owner","Resolved")</f>
        <v/>
      </c>
    </row>
    <row r="285">
      <c r="A285" s="11" t="n">
        <v>46001</v>
      </c>
      <c r="B285" s="10" t="inlineStr">
        <is>
          <t>SAINT PETER PADDINGTON</t>
        </is>
      </c>
      <c r="C285" s="12" t="n">
        <v>7925.85</v>
      </c>
      <c r="D285" s="10" t="inlineStr">
        <is>
          <t>Uncategorised</t>
        </is>
      </c>
      <c r="E285" s="10" t="inlineStr">
        <is>
          <t>Review</t>
        </is>
      </c>
      <c r="F285" s="10" t="inlineStr">
        <is>
          <t>Amex Dec-2025</t>
        </is>
      </c>
      <c r="G285" s="10">
        <f>IF(OR(D285="Uncategorised",E285="",E285="Review"),"Needs category/owner","Resolved")</f>
        <v/>
      </c>
    </row>
    <row r="286">
      <c r="A286" s="11" t="n">
        <v>46002</v>
      </c>
      <c r="B286" s="10" t="inlineStr">
        <is>
          <t>REGENT HK STEAKHOUSE TSI MSHATSUI</t>
        </is>
      </c>
      <c r="C286" s="12" t="n">
        <v>14677.3</v>
      </c>
      <c r="D286" s="10" t="inlineStr">
        <is>
          <t>Uncategorised</t>
        </is>
      </c>
      <c r="E286" s="10" t="inlineStr">
        <is>
          <t>Review</t>
        </is>
      </c>
      <c r="F286" s="10" t="inlineStr">
        <is>
          <t>Amex Dec-2025</t>
        </is>
      </c>
      <c r="G286" s="10">
        <f>IF(OR(D286="Uncategorised",E286="",E286="Review"),"Needs category/owner","Resolved")</f>
        <v/>
      </c>
    </row>
    <row r="287">
      <c r="A287" s="11" t="n">
        <v>46003</v>
      </c>
      <c r="B287" s="10" t="inlineStr">
        <is>
          <t>AUSTRALIANETA NORTH SYDNEY</t>
        </is>
      </c>
      <c r="C287" s="12" t="n">
        <v>105.96</v>
      </c>
      <c r="D287" s="10" t="inlineStr">
        <is>
          <t>Uncategorised</t>
        </is>
      </c>
      <c r="E287" s="10" t="inlineStr">
        <is>
          <t>Review</t>
        </is>
      </c>
      <c r="F287" s="10" t="inlineStr">
        <is>
          <t>Amex Dec-2025</t>
        </is>
      </c>
      <c r="G287" s="10">
        <f>IF(OR(D287="Uncategorised",E287="",E287="Review"),"Needs category/owner","Resolved")</f>
        <v/>
      </c>
    </row>
    <row r="288">
      <c r="A288" s="11" t="n">
        <v>46003</v>
      </c>
      <c r="B288" s="10" t="inlineStr">
        <is>
          <t>J U MPSPEAK WIL MINGTON</t>
        </is>
      </c>
      <c r="C288" s="12" t="n">
        <v>547.83</v>
      </c>
      <c r="D288" s="10" t="inlineStr">
        <is>
          <t>Uncategorised</t>
        </is>
      </c>
      <c r="E288" s="10" t="inlineStr">
        <is>
          <t>Review</t>
        </is>
      </c>
      <c r="F288" s="10" t="inlineStr">
        <is>
          <t>Amex Dec-2025</t>
        </is>
      </c>
      <c r="G288" s="10">
        <f>IF(OR(D288="Uncategorised",E288="",E288="Review"),"Needs category/owner","Resolved")</f>
        <v/>
      </c>
    </row>
    <row r="289">
      <c r="A289" s="11" t="n">
        <v>46006</v>
      </c>
      <c r="B289" s="10" t="inlineStr">
        <is>
          <t>O.N.SKAPOK AD MIRALTY</t>
        </is>
      </c>
      <c r="C289" s="12" t="n">
        <v>5554</v>
      </c>
      <c r="D289" s="10" t="inlineStr">
        <is>
          <t>Uncategorised</t>
        </is>
      </c>
      <c r="E289" s="10" t="inlineStr">
        <is>
          <t>Review</t>
        </is>
      </c>
      <c r="F289" s="10" t="inlineStr">
        <is>
          <t>Amex Dec-2025</t>
        </is>
      </c>
      <c r="G289" s="10">
        <f>IF(OR(D289="Uncategorised",E289="",E289="Review"),"Needs category/owner","Resolved")</f>
        <v/>
      </c>
    </row>
    <row r="290">
      <c r="A290" s="11" t="n">
        <v>46008</v>
      </c>
      <c r="B290" s="10" t="inlineStr">
        <is>
          <t>AP QUAY Sy d n ey</t>
        </is>
      </c>
      <c r="C290" s="12" t="n">
        <v>299.1</v>
      </c>
      <c r="D290" s="10" t="inlineStr">
        <is>
          <t>Uncategorised</t>
        </is>
      </c>
      <c r="E290" s="10" t="inlineStr">
        <is>
          <t>Review</t>
        </is>
      </c>
      <c r="F290" s="10" t="inlineStr">
        <is>
          <t>Amex Dec-2025</t>
        </is>
      </c>
      <c r="G290" s="10">
        <f>IF(OR(D290="Uncategorised",E290="",E290="Review"),"Needs category/owner","Resolved")</f>
        <v/>
      </c>
    </row>
    <row r="291">
      <c r="A291" s="11" t="n">
        <v>46009</v>
      </c>
      <c r="B291" s="10" t="inlineStr">
        <is>
          <t>11 BARRACK PTY LTD SYDNEY</t>
        </is>
      </c>
      <c r="C291" s="12" t="n">
        <v>10420.37</v>
      </c>
      <c r="D291" s="10" t="inlineStr">
        <is>
          <t>Uncategorised</t>
        </is>
      </c>
      <c r="E291" s="10" t="inlineStr">
        <is>
          <t>Review</t>
        </is>
      </c>
      <c r="F291" s="10" t="inlineStr">
        <is>
          <t>Amex Dec-2025</t>
        </is>
      </c>
      <c r="G291" s="10">
        <f>IF(OR(D291="Uncategorised",E291="",E291="Review"),"Needs category/owner","Resolved")</f>
        <v/>
      </c>
    </row>
    <row r="292">
      <c r="A292" s="11" t="n">
        <v>46009</v>
      </c>
      <c r="B292" s="10" t="inlineStr">
        <is>
          <t>COM O METROPOLITAN SINGA SINGAPORE</t>
        </is>
      </c>
      <c r="C292" s="12" t="n">
        <v>1727.79</v>
      </c>
      <c r="D292" s="10" t="inlineStr">
        <is>
          <t>Uncategorised</t>
        </is>
      </c>
      <c r="E292" s="10" t="inlineStr">
        <is>
          <t>Review</t>
        </is>
      </c>
      <c r="F292" s="10" t="inlineStr">
        <is>
          <t>Amex Dec-2025</t>
        </is>
      </c>
      <c r="G292" s="10">
        <f>IF(OR(D292="Uncategorised",E292="",E292="Review"),"Needs category/owner","Resolved")</f>
        <v/>
      </c>
    </row>
    <row r="293">
      <c r="A293" s="11" t="n">
        <v>46009</v>
      </c>
      <c r="B293" s="10" t="inlineStr">
        <is>
          <t>HOUSE OF PHAR MACY 14456 DOU BLE BAY</t>
        </is>
      </c>
      <c r="C293" s="12" t="n">
        <v>320.74</v>
      </c>
      <c r="D293" s="10" t="inlineStr">
        <is>
          <t>Uncategorised</t>
        </is>
      </c>
      <c r="E293" s="10" t="inlineStr">
        <is>
          <t>Review</t>
        </is>
      </c>
      <c r="F293" s="10" t="inlineStr">
        <is>
          <t>Amex Dec-2025</t>
        </is>
      </c>
      <c r="G293" s="10">
        <f>IF(OR(D293="Uncategorised",E293="",E293="Review"),"Needs category/owner","Resolved")</f>
        <v/>
      </c>
    </row>
    <row r="294">
      <c r="A294" s="11" t="n">
        <v>46009</v>
      </c>
      <c r="B294" s="10" t="inlineStr">
        <is>
          <t>TAX I 1 PTY LTD BOTANY</t>
        </is>
      </c>
      <c r="C294" s="12" t="n">
        <v>79.69</v>
      </c>
      <c r="D294" s="10" t="inlineStr">
        <is>
          <t>Uncategorised</t>
        </is>
      </c>
      <c r="E294" s="10" t="inlineStr">
        <is>
          <t>Review</t>
        </is>
      </c>
      <c r="F294" s="10" t="inlineStr">
        <is>
          <t>Amex Dec-2025</t>
        </is>
      </c>
      <c r="G294" s="10">
        <f>IF(OR(D294="Uncategorised",E294="",E294="Review"),"Needs category/owner","Resolved")</f>
        <v/>
      </c>
    </row>
    <row r="295">
      <c r="A295" s="11" t="n">
        <v>46010</v>
      </c>
      <c r="B295" s="10" t="inlineStr">
        <is>
          <t>THE POTTS POINT BOOK SELIZ A BETH BAY</t>
        </is>
      </c>
      <c r="C295" s="12" t="n">
        <v>3043.09</v>
      </c>
      <c r="D295" s="10" t="inlineStr">
        <is>
          <t>Uncategorised</t>
        </is>
      </c>
      <c r="E295" s="10" t="inlineStr">
        <is>
          <t>Review</t>
        </is>
      </c>
      <c r="F295" s="10" t="inlineStr">
        <is>
          <t>Amex Dec-2025</t>
        </is>
      </c>
      <c r="G295" s="10">
        <f>IF(OR(D295="Uncategorised",E295="",E295="Review"),"Needs category/owner","Resolved")</f>
        <v/>
      </c>
    </row>
    <row r="296">
      <c r="A296" s="11" t="n">
        <v>46010</v>
      </c>
      <c r="B296" s="10" t="inlineStr">
        <is>
          <t>WATER MANS TAVERN PTY LT BARANGAROO</t>
        </is>
      </c>
      <c r="C296" s="12" t="n">
        <v>3735.1</v>
      </c>
      <c r="D296" s="10" t="inlineStr">
        <is>
          <t>Uncategorised</t>
        </is>
      </c>
      <c r="E296" s="10" t="inlineStr">
        <is>
          <t>Review</t>
        </is>
      </c>
      <c r="F296" s="10" t="inlineStr">
        <is>
          <t>Amex Dec-2025</t>
        </is>
      </c>
      <c r="G296" s="10">
        <f>IF(OR(D296="Uncategorised",E296="",E296="Review"),"Needs category/owner","Resolved")</f>
        <v/>
      </c>
    </row>
    <row r="297">
      <c r="A297" s="11" t="n">
        <v>46011</v>
      </c>
      <c r="B297" s="10" t="inlineStr">
        <is>
          <t>FINELINE GLO BAL BRANDS WOOLLAHRA</t>
        </is>
      </c>
      <c r="C297" s="12" t="n">
        <v>957.3099999999999</v>
      </c>
      <c r="D297" s="10" t="inlineStr">
        <is>
          <t>Uncategorised</t>
        </is>
      </c>
      <c r="E297" s="10" t="inlineStr">
        <is>
          <t>Review</t>
        </is>
      </c>
      <c r="F297" s="10" t="inlineStr">
        <is>
          <t>Amex Dec-2025</t>
        </is>
      </c>
      <c r="G297" s="10">
        <f>IF(OR(D297="Uncategorised",E297="",E297="Review"),"Needs category/owner","Resolved")</f>
        <v/>
      </c>
    </row>
    <row r="298">
      <c r="A298" s="11" t="n">
        <v>46011</v>
      </c>
      <c r="B298" s="10" t="inlineStr">
        <is>
          <t>ROOM 10 POTTS POINT</t>
        </is>
      </c>
      <c r="C298" s="12" t="n">
        <v>553.54</v>
      </c>
      <c r="D298" s="10" t="inlineStr">
        <is>
          <t>Uncategorised</t>
        </is>
      </c>
      <c r="E298" s="10" t="inlineStr">
        <is>
          <t>Review</t>
        </is>
      </c>
      <c r="F298" s="10" t="inlineStr">
        <is>
          <t>Amex Dec-2025</t>
        </is>
      </c>
      <c r="G298" s="10">
        <f>IF(OR(D298="Uncategorised",E298="",E298="Review"),"Needs category/owner","Resolved")</f>
        <v/>
      </c>
    </row>
    <row r="299">
      <c r="A299" s="11" t="n">
        <v>46011</v>
      </c>
      <c r="B299" s="10" t="inlineStr">
        <is>
          <t>SENSO WOOCO MM ERCES u rr y H ills</t>
        </is>
      </c>
      <c r="C299" s="12" t="n">
        <v>1204.55</v>
      </c>
      <c r="D299" s="10" t="inlineStr">
        <is>
          <t>Uncategorised</t>
        </is>
      </c>
      <c r="E299" s="10" t="inlineStr">
        <is>
          <t>Review</t>
        </is>
      </c>
      <c r="F299" s="10" t="inlineStr">
        <is>
          <t>Amex Dec-2025</t>
        </is>
      </c>
      <c r="G299" s="10">
        <f>IF(OR(D299="Uncategorised",E299="",E299="Review"),"Needs category/owner","Resolved")</f>
        <v/>
      </c>
    </row>
    <row r="300">
      <c r="A300" s="11" t="n">
        <v>46011</v>
      </c>
      <c r="B300" s="10" t="inlineStr">
        <is>
          <t>SILB I JIP SILB I JIP \ CSYDNEY</t>
        </is>
      </c>
      <c r="C300" s="12" t="n">
        <v>309.63</v>
      </c>
      <c r="D300" s="10" t="inlineStr">
        <is>
          <t>Uncategorised</t>
        </is>
      </c>
      <c r="E300" s="10" t="inlineStr">
        <is>
          <t>Review</t>
        </is>
      </c>
      <c r="F300" s="10" t="inlineStr">
        <is>
          <t>Amex Dec-2025</t>
        </is>
      </c>
      <c r="G300" s="10">
        <f>IF(OR(D300="Uncategorised",E300="",E300="Review"),"Needs category/owner","Resolved")</f>
        <v/>
      </c>
    </row>
    <row r="301">
      <c r="A301" s="11" t="n">
        <v>46011</v>
      </c>
      <c r="B301" s="10" t="inlineStr">
        <is>
          <t>SP VENROY PADDINGTON</t>
        </is>
      </c>
      <c r="C301" s="12" t="n">
        <v>841.58</v>
      </c>
      <c r="D301" s="10" t="inlineStr">
        <is>
          <t>Uncategorised</t>
        </is>
      </c>
      <c r="E301" s="10" t="inlineStr">
        <is>
          <t>Review</t>
        </is>
      </c>
      <c r="F301" s="10" t="inlineStr">
        <is>
          <t>Amex Dec-2025</t>
        </is>
      </c>
      <c r="G301" s="10">
        <f>IF(OR(D301="Uncategorised",E301="",E301="Review"),"Needs category/owner","Resolved")</f>
        <v/>
      </c>
    </row>
    <row r="302">
      <c r="A302" s="11" t="n">
        <v>46011</v>
      </c>
      <c r="B302" s="10" t="inlineStr">
        <is>
          <t>WHOLE FOODS HOUSE WOOLLAHRA</t>
        </is>
      </c>
      <c r="C302" s="12" t="n">
        <v>88.81999999999999</v>
      </c>
      <c r="D302" s="10" t="inlineStr">
        <is>
          <t>Uncategorised</t>
        </is>
      </c>
      <c r="E302" s="10" t="inlineStr">
        <is>
          <t>Review</t>
        </is>
      </c>
      <c r="F302" s="10" t="inlineStr">
        <is>
          <t>Amex Dec-2025</t>
        </is>
      </c>
      <c r="G302" s="10">
        <f>IF(OR(D302="Uncategorised",E302="",E302="Review"),"Needs category/owner","Resolved")</f>
        <v/>
      </c>
    </row>
    <row r="303">
      <c r="A303" s="11" t="n">
        <v>46012</v>
      </c>
      <c r="B303" s="10" t="inlineStr">
        <is>
          <t>DY MOCKS PTY LTD SYDNEY SYDNEY</t>
        </is>
      </c>
      <c r="C303" s="12" t="n">
        <v>473.21</v>
      </c>
      <c r="D303" s="10" t="inlineStr">
        <is>
          <t>Uncategorised</t>
        </is>
      </c>
      <c r="E303" s="10" t="inlineStr">
        <is>
          <t>Review</t>
        </is>
      </c>
      <c r="F303" s="10" t="inlineStr">
        <is>
          <t>Amex Dec-2025</t>
        </is>
      </c>
      <c r="G303" s="10">
        <f>IF(OR(D303="Uncategorised",E303="",E303="Review"),"Needs category/owner","Resolved")</f>
        <v/>
      </c>
    </row>
    <row r="304">
      <c r="A304" s="11" t="n">
        <v>46012</v>
      </c>
      <c r="B304" s="10" t="inlineStr">
        <is>
          <t>DY MOCKS PTY LTD SYDNEY SYDNEY</t>
        </is>
      </c>
      <c r="C304" s="12" t="n">
        <v>-463.94</v>
      </c>
      <c r="D304" s="10" t="inlineStr">
        <is>
          <t>Uncategorised</t>
        </is>
      </c>
      <c r="E304" s="10" t="inlineStr">
        <is>
          <t>Review</t>
        </is>
      </c>
      <c r="F304" s="10" t="inlineStr">
        <is>
          <t>Amex Dec-2025</t>
        </is>
      </c>
      <c r="G304" s="10">
        <f>IF(OR(D304="Uncategorised",E304="",E304="Review"),"Needs category/owner","Resolved")</f>
        <v/>
      </c>
    </row>
    <row r="305">
      <c r="A305" s="11" t="n">
        <v>46012</v>
      </c>
      <c r="B305" s="10" t="inlineStr">
        <is>
          <t>GAR MIN ( EUROPE ) LI MITED SOUTHA MPTON</t>
        </is>
      </c>
      <c r="C305" s="12" t="n">
        <v>89</v>
      </c>
      <c r="D305" s="10" t="inlineStr">
        <is>
          <t>Uncategorised</t>
        </is>
      </c>
      <c r="E305" s="10" t="inlineStr">
        <is>
          <t>Review</t>
        </is>
      </c>
      <c r="F305" s="10" t="inlineStr">
        <is>
          <t>Amex Dec-2025</t>
        </is>
      </c>
      <c r="G305" s="10">
        <f>IF(OR(D305="Uncategorised",E305="",E305="Review"),"Needs category/owner","Resolved")</f>
        <v/>
      </c>
    </row>
    <row r="306">
      <c r="A306" s="11" t="n">
        <v>46012</v>
      </c>
      <c r="B306" s="10" t="inlineStr">
        <is>
          <t>SP IKKARI SURRY HILLS</t>
        </is>
      </c>
      <c r="C306" s="12" t="n">
        <v>983.58</v>
      </c>
      <c r="D306" s="10" t="inlineStr">
        <is>
          <t>Uncategorised</t>
        </is>
      </c>
      <c r="E306" s="10" t="inlineStr">
        <is>
          <t>Review</t>
        </is>
      </c>
      <c r="F306" s="10" t="inlineStr">
        <is>
          <t>Amex Dec-2025</t>
        </is>
      </c>
      <c r="G306" s="10">
        <f>IF(OR(D306="Uncategorised",E306="",E306="Review"),"Needs category/owner","Resolved")</f>
        <v/>
      </c>
    </row>
    <row r="307">
      <c r="A307" s="11" t="n">
        <v>46013</v>
      </c>
      <c r="B307" s="10" t="inlineStr">
        <is>
          <t>A MONGE QUALS BRONTE</t>
        </is>
      </c>
      <c r="C307" s="12" t="n">
        <v>7469.17</v>
      </c>
      <c r="D307" s="10" t="inlineStr">
        <is>
          <t>Uncategorised</t>
        </is>
      </c>
      <c r="E307" s="10" t="inlineStr">
        <is>
          <t>Review</t>
        </is>
      </c>
      <c r="F307" s="10" t="inlineStr">
        <is>
          <t>Amex Dec-2025</t>
        </is>
      </c>
      <c r="G307" s="10">
        <f>IF(OR(D307="Uncategorised",E307="",E307="Review"),"Needs category/owner","Resolved")</f>
        <v/>
      </c>
    </row>
    <row r="308">
      <c r="A308" s="11" t="n">
        <v>46013</v>
      </c>
      <c r="B308" s="10" t="inlineStr">
        <is>
          <t>AP QUAY Sy d n ey</t>
        </is>
      </c>
      <c r="C308" s="12" t="n">
        <v>114.21</v>
      </c>
      <c r="D308" s="10" t="inlineStr">
        <is>
          <t>Uncategorised</t>
        </is>
      </c>
      <c r="E308" s="10" t="inlineStr">
        <is>
          <t>Review</t>
        </is>
      </c>
      <c r="F308" s="10" t="inlineStr">
        <is>
          <t>Amex Dec-2025</t>
        </is>
      </c>
      <c r="G308" s="10">
        <f>IF(OR(D308="Uncategorised",E308="",E308="Review"),"Needs category/owner","Resolved")</f>
        <v/>
      </c>
    </row>
    <row r="309">
      <c r="A309" s="11" t="n">
        <v>46013</v>
      </c>
      <c r="B309" s="10" t="inlineStr">
        <is>
          <t>LS SAINT PETER PADDINGTON</t>
        </is>
      </c>
      <c r="C309" s="12" t="n">
        <v>31307.14</v>
      </c>
      <c r="D309" s="10" t="inlineStr">
        <is>
          <t>Uncategorised</t>
        </is>
      </c>
      <c r="E309" s="10" t="inlineStr">
        <is>
          <t>Review</t>
        </is>
      </c>
      <c r="F309" s="10" t="inlineStr">
        <is>
          <t>Amex Dec-2025</t>
        </is>
      </c>
      <c r="G309" s="10">
        <f>IF(OR(D309="Uncategorised",E309="",E309="Review"),"Needs category/owner","Resolved")</f>
        <v/>
      </c>
    </row>
    <row r="310">
      <c r="A310" s="11" t="n">
        <v>46013</v>
      </c>
      <c r="B310" s="10" t="inlineStr">
        <is>
          <t>SP SIRTHELA BEL.CO MTA MARAM A</t>
        </is>
      </c>
      <c r="C310" s="12" t="n">
        <v>10204.42</v>
      </c>
      <c r="D310" s="10" t="inlineStr">
        <is>
          <t>Uncategorised</t>
        </is>
      </c>
      <c r="E310" s="10" t="inlineStr">
        <is>
          <t>Review</t>
        </is>
      </c>
      <c r="F310" s="10" t="inlineStr">
        <is>
          <t>Amex Dec-2025</t>
        </is>
      </c>
      <c r="G310" s="10">
        <f>IF(OR(D310="Uncategorised",E310="",E310="Review"),"Needs category/owner","Resolved")</f>
        <v/>
      </c>
    </row>
    <row r="311">
      <c r="A311" s="11" t="n">
        <v>46013</v>
      </c>
      <c r="B311" s="10" t="inlineStr">
        <is>
          <t>STUDIO AL MPTY LTD WOOLLAHRA</t>
        </is>
      </c>
      <c r="C311" s="12" t="n">
        <v>9994.01</v>
      </c>
      <c r="D311" s="10" t="inlineStr">
        <is>
          <t>Uncategorised</t>
        </is>
      </c>
      <c r="E311" s="10" t="inlineStr">
        <is>
          <t>Review</t>
        </is>
      </c>
      <c r="F311" s="10" t="inlineStr">
        <is>
          <t>Amex Dec-2025</t>
        </is>
      </c>
      <c r="G311" s="10">
        <f>IF(OR(D311="Uncategorised",E311="",E311="Review"),"Needs category/owner","Resolved")</f>
        <v/>
      </c>
    </row>
    <row r="312">
      <c r="A312" s="11" t="n">
        <v>46014</v>
      </c>
      <c r="B312" s="10" t="inlineStr">
        <is>
          <t>QUEEN STREET PHAR MACY WOOLLAHRA</t>
        </is>
      </c>
      <c r="C312" s="12" t="n">
        <v>102.75</v>
      </c>
      <c r="D312" s="10" t="inlineStr">
        <is>
          <t>Uncategorised</t>
        </is>
      </c>
      <c r="E312" s="10" t="inlineStr">
        <is>
          <t>Review</t>
        </is>
      </c>
      <c r="F312" s="10" t="inlineStr">
        <is>
          <t>Amex Dec-2025</t>
        </is>
      </c>
      <c r="G312" s="10">
        <f>IF(OR(D312="Uncategorised",E312="",E312="Review"),"Needs category/owner","Resolved")</f>
        <v/>
      </c>
    </row>
    <row r="313">
      <c r="A313" s="11" t="n">
        <v>46014</v>
      </c>
      <c r="B313" s="10" t="inlineStr">
        <is>
          <t>ZLR * PINA PINA POTTS POINT</t>
        </is>
      </c>
      <c r="C313" s="12" t="n">
        <v>275.09</v>
      </c>
      <c r="D313" s="10" t="inlineStr">
        <is>
          <t>Uncategorised</t>
        </is>
      </c>
      <c r="E313" s="10" t="inlineStr">
        <is>
          <t>Review</t>
        </is>
      </c>
      <c r="F313" s="10" t="inlineStr">
        <is>
          <t>Amex Dec-2025</t>
        </is>
      </c>
      <c r="G313" s="10">
        <f>IF(OR(D313="Uncategorised",E313="",E313="Review"),"Needs category/owner","Resolved")</f>
        <v/>
      </c>
    </row>
    <row r="314">
      <c r="A314" s="11" t="n">
        <v>46014</v>
      </c>
      <c r="B314" s="10" t="inlineStr">
        <is>
          <t>ZLR *QUAY QUARTER PHARM ASYDNEY</t>
        </is>
      </c>
      <c r="C314" s="12" t="n">
        <v>268.28</v>
      </c>
      <c r="D314" s="10" t="inlineStr">
        <is>
          <t>Uncategorised</t>
        </is>
      </c>
      <c r="E314" s="10" t="inlineStr">
        <is>
          <t>Review</t>
        </is>
      </c>
      <c r="F314" s="10" t="inlineStr">
        <is>
          <t>Amex Dec-2025</t>
        </is>
      </c>
      <c r="G314" s="10">
        <f>IF(OR(D314="Uncategorised",E314="",E314="Review"),"Needs category/owner","Resolved")</f>
        <v/>
      </c>
    </row>
    <row r="315">
      <c r="A315" s="11" t="n">
        <v>46015</v>
      </c>
      <c r="B315" s="10" t="inlineStr">
        <is>
          <t>11 BARRACK PTY LTD SYDNEY</t>
        </is>
      </c>
      <c r="C315" s="12" t="n">
        <v>29693.7</v>
      </c>
      <c r="D315" s="10" t="inlineStr">
        <is>
          <t>Uncategorised</t>
        </is>
      </c>
      <c r="E315" s="10" t="inlineStr">
        <is>
          <t>Review</t>
        </is>
      </c>
      <c r="F315" s="10" t="inlineStr">
        <is>
          <t>Amex Dec-2025</t>
        </is>
      </c>
      <c r="G315" s="10">
        <f>IF(OR(D315="Uncategorised",E315="",E315="Review"),"Needs category/owner","Resolved")</f>
        <v/>
      </c>
    </row>
    <row r="316">
      <c r="A316" s="11" t="n">
        <v>46015</v>
      </c>
      <c r="B316" s="10" t="inlineStr">
        <is>
          <t>AP QUAY Sy d n ey</t>
        </is>
      </c>
      <c r="C316" s="12" t="n">
        <v>138.78</v>
      </c>
      <c r="D316" s="10" t="inlineStr">
        <is>
          <t>Uncategorised</t>
        </is>
      </c>
      <c r="E316" s="10" t="inlineStr">
        <is>
          <t>Review</t>
        </is>
      </c>
      <c r="F316" s="10" t="inlineStr">
        <is>
          <t>Amex Dec-2025</t>
        </is>
      </c>
      <c r="G316" s="10">
        <f>IF(OR(D316="Uncategorised",E316="",E316="Review"),"Needs category/owner","Resolved")</f>
        <v/>
      </c>
    </row>
    <row r="317">
      <c r="A317" s="11" t="n">
        <v>46016</v>
      </c>
      <c r="B317" s="10" t="inlineStr">
        <is>
          <t>JIHOSYDNEY SYDNEY</t>
        </is>
      </c>
      <c r="C317" s="12" t="n">
        <v>1265.39</v>
      </c>
      <c r="D317" s="10" t="inlineStr">
        <is>
          <t>Uncategorised</t>
        </is>
      </c>
      <c r="E317" s="10" t="inlineStr">
        <is>
          <t>Review</t>
        </is>
      </c>
      <c r="F317" s="10" t="inlineStr">
        <is>
          <t>Amex Dec-2025</t>
        </is>
      </c>
      <c r="G317" s="10">
        <f>IF(OR(D317="Uncategorised",E317="",E317="Review"),"Needs category/owner","Resolved")</f>
        <v/>
      </c>
    </row>
    <row r="318">
      <c r="A318" s="11" t="n">
        <v>46017</v>
      </c>
      <c r="B318" s="10" t="inlineStr">
        <is>
          <t>JUMPSPEAK # W3 MNJ 4 FR WILMINGTON</t>
        </is>
      </c>
      <c r="C318" s="12" t="n">
        <v>1420.03</v>
      </c>
      <c r="D318" s="10" t="inlineStr">
        <is>
          <t>Uncategorised</t>
        </is>
      </c>
      <c r="E318" s="10" t="inlineStr">
        <is>
          <t>Review</t>
        </is>
      </c>
      <c r="F318" s="10" t="inlineStr">
        <is>
          <t>Amex Jan-2026</t>
        </is>
      </c>
      <c r="G318" s="10">
        <f>IF(OR(D318="Uncategorised",E318="",E318="Review"),"Needs category/owner","Resolved")</f>
        <v/>
      </c>
    </row>
    <row r="319">
      <c r="A319" s="11" t="n">
        <v>46027</v>
      </c>
      <c r="B319" s="10" t="inlineStr">
        <is>
          <t>KANGAROO VALLEY FINE WKANGAROO VALL</t>
        </is>
      </c>
      <c r="C319" s="12" t="n">
        <v>266.5</v>
      </c>
      <c r="D319" s="10" t="inlineStr">
        <is>
          <t>Uncategorised</t>
        </is>
      </c>
      <c r="E319" s="10" t="inlineStr">
        <is>
          <t>Review</t>
        </is>
      </c>
      <c r="F319" s="10" t="inlineStr">
        <is>
          <t>Amex Jan-2026</t>
        </is>
      </c>
      <c r="G319" s="10">
        <f>IF(OR(D319="Uncategorised",E319="",E319="Review"),"Needs category/owner","Resolved")</f>
        <v/>
      </c>
    </row>
    <row r="320">
      <c r="A320" s="11" t="n">
        <v>46029</v>
      </c>
      <c r="B320" s="10" t="inlineStr">
        <is>
          <t>SP SIRTHELA BEL.COM TAMARAMA</t>
        </is>
      </c>
      <c r="C320" s="12" t="n">
        <v>1713.24</v>
      </c>
      <c r="D320" s="10" t="inlineStr">
        <is>
          <t>Uncategorised</t>
        </is>
      </c>
      <c r="E320" s="10" t="inlineStr">
        <is>
          <t>Review</t>
        </is>
      </c>
      <c r="F320" s="10" t="inlineStr">
        <is>
          <t>Amex Jan-2026</t>
        </is>
      </c>
      <c r="G320" s="10">
        <f>IF(OR(D320="Uncategorised",E320="",E320="Review"),"Needs category/owner","Resolved")</f>
        <v/>
      </c>
    </row>
    <row r="321">
      <c r="A321" s="11" t="n">
        <v>46032</v>
      </c>
      <c r="B321" s="10" t="inlineStr">
        <is>
          <t>SHSSFSCYGLY XGS s ha n g ha i</t>
        </is>
      </c>
      <c r="C321" s="12" t="n">
        <v>5698.47</v>
      </c>
      <c r="D321" s="10" t="inlineStr">
        <is>
          <t>Uncategorised</t>
        </is>
      </c>
      <c r="E321" s="10" t="inlineStr">
        <is>
          <t>Review</t>
        </is>
      </c>
      <c r="F321" s="10" t="inlineStr">
        <is>
          <t>Amex Jan-2026</t>
        </is>
      </c>
      <c r="G321" s="10">
        <f>IF(OR(D321="Uncategorised",E321="",E321="Review"),"Needs category/owner","Resolved")</f>
        <v/>
      </c>
    </row>
    <row r="322">
      <c r="A322" s="11" t="n">
        <v>46032</v>
      </c>
      <c r="B322" s="10" t="inlineStr">
        <is>
          <t>SHSSFSCYGLY XGS s ha n g ha i</t>
        </is>
      </c>
      <c r="C322" s="12" t="n">
        <v>5698.47</v>
      </c>
      <c r="D322" s="10" t="inlineStr">
        <is>
          <t>Uncategorised</t>
        </is>
      </c>
      <c r="E322" s="10" t="inlineStr">
        <is>
          <t>Review</t>
        </is>
      </c>
      <c r="F322" s="10" t="inlineStr">
        <is>
          <t>Amex Jan-2026</t>
        </is>
      </c>
      <c r="G322" s="10">
        <f>IF(OR(D322="Uncategorised",E322="",E322="Review"),"Needs category/owner","Resolved")</f>
        <v/>
      </c>
    </row>
    <row r="323">
      <c r="A323" s="11" t="n">
        <v>46033</v>
      </c>
      <c r="B323" s="10" t="inlineStr">
        <is>
          <t>LIYUAN s ha n gha is h i</t>
        </is>
      </c>
      <c r="C323" s="12" t="n">
        <v>8945.469999999999</v>
      </c>
      <c r="D323" s="10" t="inlineStr">
        <is>
          <t>Uncategorised</t>
        </is>
      </c>
      <c r="E323" s="10" t="inlineStr">
        <is>
          <t>Review</t>
        </is>
      </c>
      <c r="F323" s="10" t="inlineStr">
        <is>
          <t>Amex Jan-2026</t>
        </is>
      </c>
      <c r="G323" s="10">
        <f>IF(OR(D323="Uncategorised",E323="",E323="Review"),"Needs category/owner","Resolved")</f>
        <v/>
      </c>
    </row>
    <row r="324">
      <c r="A324" s="11" t="n">
        <v>46033</v>
      </c>
      <c r="B324" s="10" t="inlineStr">
        <is>
          <t>XIAN JING FU YUAN CAN YSHANGHAI</t>
        </is>
      </c>
      <c r="C324" s="12" t="n">
        <v>12052.27</v>
      </c>
      <c r="D324" s="10" t="inlineStr">
        <is>
          <t>Uncategorised</t>
        </is>
      </c>
      <c r="E324" s="10" t="inlineStr">
        <is>
          <t>Review</t>
        </is>
      </c>
      <c r="F324" s="10" t="inlineStr">
        <is>
          <t>Amex Jan-2026</t>
        </is>
      </c>
      <c r="G324" s="10">
        <f>IF(OR(D324="Uncategorised",E324="",E324="Review"),"Needs category/owner","Resolved")</f>
        <v/>
      </c>
    </row>
    <row r="325">
      <c r="A325" s="11" t="n">
        <v>46034</v>
      </c>
      <c r="B325" s="10" t="inlineStr">
        <is>
          <t>USCUSTOMS ESTA APPL PMT INDIANAPOLIS</t>
        </is>
      </c>
      <c r="C325" s="12" t="n">
        <v>320.31</v>
      </c>
      <c r="D325" s="10" t="inlineStr">
        <is>
          <t>Uncategorised</t>
        </is>
      </c>
      <c r="E325" s="10" t="inlineStr">
        <is>
          <t>Review</t>
        </is>
      </c>
      <c r="F325" s="10" t="inlineStr">
        <is>
          <t>Amex Jan-2026</t>
        </is>
      </c>
      <c r="G325" s="10">
        <f>IF(OR(D325="Uncategorised",E325="",E325="Review"),"Needs category/owner","Resolved")</f>
        <v/>
      </c>
    </row>
    <row r="326">
      <c r="A326" s="11" t="n">
        <v>46035</v>
      </c>
      <c r="B326" s="10" t="inlineStr">
        <is>
          <t>AMV , PACIFIC PLACE ADMIRALTY</t>
        </is>
      </c>
      <c r="C326" s="12" t="n">
        <v>1875</v>
      </c>
      <c r="D326" s="10" t="inlineStr">
        <is>
          <t>Uncategorised</t>
        </is>
      </c>
      <c r="E326" s="10" t="inlineStr">
        <is>
          <t>Review</t>
        </is>
      </c>
      <c r="F326" s="10" t="inlineStr">
        <is>
          <t>Amex Jan-2026</t>
        </is>
      </c>
      <c r="G326" s="10">
        <f>IF(OR(D326="Uncategorised",E326="",E326="Review"),"Needs category/owner","Resolved")</f>
        <v/>
      </c>
    </row>
    <row r="327">
      <c r="A327" s="11" t="n">
        <v>46039</v>
      </c>
      <c r="B327" s="10" t="inlineStr">
        <is>
          <t>THE DOLDER GRANDZ Ü RICH</t>
        </is>
      </c>
      <c r="C327" s="12" t="n">
        <v>28826.84</v>
      </c>
      <c r="D327" s="10" t="inlineStr">
        <is>
          <t>Uncategorised</t>
        </is>
      </c>
      <c r="E327" s="10" t="inlineStr">
        <is>
          <t>Review</t>
        </is>
      </c>
      <c r="F327" s="10" t="inlineStr">
        <is>
          <t>Amex Jan-2026</t>
        </is>
      </c>
      <c r="G327" s="10">
        <f>IF(OR(D327="Uncategorised",E327="",E327="Review"),"Needs category/owner","Resolved")</f>
        <v/>
      </c>
    </row>
    <row r="328">
      <c r="A328" s="11" t="n">
        <v>46041</v>
      </c>
      <c r="B328" s="10" t="inlineStr">
        <is>
          <t>SP SUSANNE KAUFMANNB E ZAU</t>
        </is>
      </c>
      <c r="C328" s="12" t="n">
        <v>2028.19</v>
      </c>
      <c r="D328" s="10" t="inlineStr">
        <is>
          <t>Uncategorised</t>
        </is>
      </c>
      <c r="E328" s="10" t="inlineStr">
        <is>
          <t>Review</t>
        </is>
      </c>
      <c r="F328" s="10" t="inlineStr">
        <is>
          <t>Amex Jan-2026</t>
        </is>
      </c>
      <c r="G328" s="10">
        <f>IF(OR(D328="Uncategorised",E328="",E328="Review"),"Needs category/owner","Resolved")</f>
        <v/>
      </c>
    </row>
    <row r="329">
      <c r="A329" s="11" t="n">
        <v>46043</v>
      </c>
      <c r="B329" s="10" t="inlineStr">
        <is>
          <t>TA BERNA MEIA PORTA TAB ELIS BOA</t>
        </is>
      </c>
      <c r="C329" s="12" t="n">
        <v>1737.3</v>
      </c>
      <c r="D329" s="10" t="inlineStr">
        <is>
          <t>Uncategorised</t>
        </is>
      </c>
      <c r="E329" s="10" t="inlineStr">
        <is>
          <t>Review</t>
        </is>
      </c>
      <c r="F329" s="10" t="inlineStr">
        <is>
          <t>Amex Jan-2026</t>
        </is>
      </c>
      <c r="G329" s="10">
        <f>IF(OR(D329="Uncategorised",E329="",E329="Review"),"Needs category/owner","Resolved")</f>
        <v/>
      </c>
    </row>
    <row r="330">
      <c r="A330" s="11" t="n">
        <v>46043</v>
      </c>
      <c r="B330" s="10" t="inlineStr">
        <is>
          <t>THE VERSE LIS BOA</t>
        </is>
      </c>
      <c r="C330" s="12" t="n">
        <v>58748.41</v>
      </c>
      <c r="D330" s="10" t="inlineStr">
        <is>
          <t>Uncategorised</t>
        </is>
      </c>
      <c r="E330" s="10" t="inlineStr">
        <is>
          <t>Review</t>
        </is>
      </c>
      <c r="F330" s="10" t="inlineStr">
        <is>
          <t>Amex Jan-2026</t>
        </is>
      </c>
      <c r="G330" s="10">
        <f>IF(OR(D330="Uncategorised",E330="",E330="Review"),"Needs category/owner","Resolved")</f>
        <v/>
      </c>
    </row>
    <row r="331">
      <c r="A331" s="11" t="n">
        <v>46044</v>
      </c>
      <c r="B331" s="10" t="inlineStr">
        <is>
          <t>FDR.C.SANCHES II LIS BOA</t>
        </is>
      </c>
      <c r="C331" s="12" t="n">
        <v>4717.47</v>
      </c>
      <c r="D331" s="10" t="inlineStr">
        <is>
          <t>Uncategorised</t>
        </is>
      </c>
      <c r="E331" s="10" t="inlineStr">
        <is>
          <t>Review</t>
        </is>
      </c>
      <c r="F331" s="10" t="inlineStr">
        <is>
          <t>Amex Jan-2026</t>
        </is>
      </c>
      <c r="G331" s="10">
        <f>IF(OR(D331="Uncategorised",E331="",E331="Review"),"Needs category/owner","Resolved")</f>
        <v/>
      </c>
    </row>
    <row r="332">
      <c r="A332" s="11" t="n">
        <v>46045</v>
      </c>
      <c r="B332" s="10" t="inlineStr">
        <is>
          <t>351 LIS BOA LIS BOA</t>
        </is>
      </c>
      <c r="C332" s="12" t="n">
        <v>9316.190000000001</v>
      </c>
      <c r="D332" s="10" t="inlineStr">
        <is>
          <t>Uncategorised</t>
        </is>
      </c>
      <c r="E332" s="10" t="inlineStr">
        <is>
          <t>Review</t>
        </is>
      </c>
      <c r="F332" s="10" t="inlineStr">
        <is>
          <t>Amex Jan-2026</t>
        </is>
      </c>
      <c r="G332" s="10">
        <f>IF(OR(D332="Uncategorised",E332="",E332="Review"),"Needs category/owner","Resolved")</f>
        <v/>
      </c>
    </row>
    <row r="333">
      <c r="A333" s="11" t="n">
        <v>46046</v>
      </c>
      <c r="B333" s="10" t="inlineStr">
        <is>
          <t>ACH BRITO &amp; CA SA VILA DO CONDE</t>
        </is>
      </c>
      <c r="C333" s="12" t="n">
        <v>767.25</v>
      </c>
      <c r="D333" s="10" t="inlineStr">
        <is>
          <t>Uncategorised</t>
        </is>
      </c>
      <c r="E333" s="10" t="inlineStr">
        <is>
          <t>Review</t>
        </is>
      </c>
      <c r="F333" s="10" t="inlineStr">
        <is>
          <t>Amex Jan-2026</t>
        </is>
      </c>
      <c r="G333" s="10">
        <f>IF(OR(D333="Uncategorised",E333="",E333="Review"),"Needs category/owner","Resolved")</f>
        <v/>
      </c>
    </row>
    <row r="334">
      <c r="A334" s="11" t="n">
        <v>46046</v>
      </c>
      <c r="B334" s="10" t="inlineStr">
        <is>
          <t>GARRAFEIRA NACIONAL LIS BOA</t>
        </is>
      </c>
      <c r="C334" s="12" t="n">
        <v>40560.61</v>
      </c>
      <c r="D334" s="10" t="inlineStr">
        <is>
          <t>Uncategorised</t>
        </is>
      </c>
      <c r="E334" s="10" t="inlineStr">
        <is>
          <t>Review</t>
        </is>
      </c>
      <c r="F334" s="10" t="inlineStr">
        <is>
          <t>Amex Jan-2026</t>
        </is>
      </c>
      <c r="G334" s="10">
        <f>IF(OR(D334="Uncategorised",E334="",E334="Review"),"Needs category/owner","Resolved")</f>
        <v/>
      </c>
    </row>
    <row r="335">
      <c r="A335" s="11" t="n">
        <v>46049</v>
      </c>
      <c r="B335" s="10" t="inlineStr">
        <is>
          <t>IL MATRICIANO LISBOA</t>
        </is>
      </c>
      <c r="C335" s="12" t="n">
        <v>1753.06</v>
      </c>
      <c r="D335" s="10" t="inlineStr">
        <is>
          <t>Uncategorised</t>
        </is>
      </c>
      <c r="E335" s="10" t="inlineStr">
        <is>
          <t>Review</t>
        </is>
      </c>
      <c r="F335" s="10" t="inlineStr">
        <is>
          <t>Amex Feb-2026</t>
        </is>
      </c>
      <c r="G335" s="10">
        <f>IF(OR(D335="Uncategorised",E335="",E335="Review"),"Needs category/owner","Resolved")</f>
        <v/>
      </c>
    </row>
    <row r="336">
      <c r="A336" s="11" t="n">
        <v>46049</v>
      </c>
      <c r="B336" s="10" t="inlineStr">
        <is>
          <t>JNC QUOI DELI COMPORT ALC Á CER DO SAL</t>
        </is>
      </c>
      <c r="C336" s="12" t="n">
        <v>3772.31</v>
      </c>
      <c r="D336" s="10" t="inlineStr">
        <is>
          <t>Uncategorised</t>
        </is>
      </c>
      <c r="E336" s="10" t="inlineStr">
        <is>
          <t>Review</t>
        </is>
      </c>
      <c r="F336" s="10" t="inlineStr">
        <is>
          <t>Amex Feb-2026</t>
        </is>
      </c>
      <c r="G336" s="10">
        <f>IF(OR(D336="Uncategorised",E336="",E336="Review"),"Needs category/owner","Resolved")</f>
        <v/>
      </c>
    </row>
    <row r="337">
      <c r="A337" s="11" t="n">
        <v>46050</v>
      </c>
      <c r="B337" s="10" t="inlineStr">
        <is>
          <t>CANALHA CASCAIS</t>
        </is>
      </c>
      <c r="C337" s="12" t="n">
        <v>4091.64</v>
      </c>
      <c r="D337" s="10" t="inlineStr">
        <is>
          <t>Uncategorised</t>
        </is>
      </c>
      <c r="E337" s="10" t="inlineStr">
        <is>
          <t>Review</t>
        </is>
      </c>
      <c r="F337" s="10" t="inlineStr">
        <is>
          <t>Amex Feb-2026</t>
        </is>
      </c>
      <c r="G337" s="10">
        <f>IF(OR(D337="Uncategorised",E337="",E337="Review"),"Needs category/owner","Resolved")</f>
        <v/>
      </c>
    </row>
    <row r="338">
      <c r="A338" s="11" t="n">
        <v>46052</v>
      </c>
      <c r="B338" s="10" t="inlineStr">
        <is>
          <t>WRH LK LIS STA JOANA LISBOA</t>
        </is>
      </c>
      <c r="C338" s="12" t="n">
        <v>5226.56</v>
      </c>
      <c r="D338" s="10" t="inlineStr">
        <is>
          <t>Uncategorised</t>
        </is>
      </c>
      <c r="E338" s="10" t="inlineStr">
        <is>
          <t>Review</t>
        </is>
      </c>
      <c r="F338" s="10" t="inlineStr">
        <is>
          <t>Amex Feb-2026</t>
        </is>
      </c>
      <c r="G338" s="10">
        <f>IF(OR(D338="Uncategorised",E338="",E338="Review"),"Needs category/owner","Resolved")</f>
        <v/>
      </c>
    </row>
    <row r="339">
      <c r="A339" s="11" t="n">
        <v>46058</v>
      </c>
      <c r="B339" s="10" t="inlineStr">
        <is>
          <t>LULULEMON COLUMBUS CNE WYORK</t>
        </is>
      </c>
      <c r="C339" s="12" t="n">
        <v>2395.28</v>
      </c>
      <c r="D339" s="10" t="inlineStr">
        <is>
          <t>Uncategorised</t>
        </is>
      </c>
      <c r="E339" s="10" t="inlineStr">
        <is>
          <t>Review</t>
        </is>
      </c>
      <c r="F339" s="10" t="inlineStr">
        <is>
          <t>Amex Feb-2026</t>
        </is>
      </c>
      <c r="G339" s="10">
        <f>IF(OR(D339="Uncategorised",E339="",E339="Review"),"Needs category/owner","Resolved")</f>
        <v/>
      </c>
    </row>
    <row r="340">
      <c r="A340" s="11" t="n">
        <v>46058</v>
      </c>
      <c r="B340" s="10" t="inlineStr">
        <is>
          <t>TST* CENTURION NYC 3007 NE WYORK</t>
        </is>
      </c>
      <c r="C340" s="12" t="n">
        <v>2002.67</v>
      </c>
      <c r="D340" s="10" t="inlineStr">
        <is>
          <t>Uncategorised</t>
        </is>
      </c>
      <c r="E340" s="10" t="inlineStr">
        <is>
          <t>Review</t>
        </is>
      </c>
      <c r="F340" s="10" t="inlineStr">
        <is>
          <t>Amex Feb-2026</t>
        </is>
      </c>
      <c r="G340" s="10">
        <f>IF(OR(D340="Uncategorised",E340="",E340="Review"),"Needs category/owner","Resolved")</f>
        <v/>
      </c>
    </row>
    <row r="341">
      <c r="A341" s="11" t="n">
        <v>46058</v>
      </c>
      <c r="B341" s="10" t="inlineStr">
        <is>
          <t>TST* JEAN-GEORGES ENTER NE WYORK</t>
        </is>
      </c>
      <c r="C341" s="12" t="n">
        <v>1822.68</v>
      </c>
      <c r="D341" s="10" t="inlineStr">
        <is>
          <t>Uncategorised</t>
        </is>
      </c>
      <c r="E341" s="10" t="inlineStr">
        <is>
          <t>Review</t>
        </is>
      </c>
      <c r="F341" s="10" t="inlineStr">
        <is>
          <t>Amex Feb-2026</t>
        </is>
      </c>
      <c r="G341" s="10">
        <f>IF(OR(D341="Uncategorised",E341="",E341="Review"),"Needs category/owner","Resolved")</f>
        <v/>
      </c>
    </row>
    <row r="342">
      <c r="A342" s="11" t="n">
        <v>46059</v>
      </c>
      <c r="B342" s="10" t="inlineStr">
        <is>
          <t>PI ZZ ARTE Ne w York</t>
        </is>
      </c>
      <c r="C342" s="12" t="n">
        <v>852.95</v>
      </c>
      <c r="D342" s="10" t="inlineStr">
        <is>
          <t>Uncategorised</t>
        </is>
      </c>
      <c r="E342" s="10" t="inlineStr">
        <is>
          <t>Review</t>
        </is>
      </c>
      <c r="F342" s="10" t="inlineStr">
        <is>
          <t>Amex Feb-2026</t>
        </is>
      </c>
      <c r="G342" s="10">
        <f>IF(OR(D342="Uncategorised",E342="",E342="Review"),"Needs category/owner","Resolved")</f>
        <v/>
      </c>
    </row>
    <row r="343">
      <c r="A343" s="11" t="n">
        <v>46059</v>
      </c>
      <c r="B343" s="10" t="inlineStr">
        <is>
          <t>RUKUZ UOISUTA BA ABUTAGUN</t>
        </is>
      </c>
      <c r="C343" s="12" t="n">
        <v>2800.52</v>
      </c>
      <c r="D343" s="10" t="inlineStr">
        <is>
          <t>Uncategorised</t>
        </is>
      </c>
      <c r="E343" s="10" t="inlineStr">
        <is>
          <t>Review</t>
        </is>
      </c>
      <c r="F343" s="10" t="inlineStr">
        <is>
          <t>Amex Feb-2026</t>
        </is>
      </c>
      <c r="G343" s="10">
        <f>IF(OR(D343="Uncategorised",E343="",E343="Review"),"Needs category/owner","Resolved")</f>
        <v/>
      </c>
    </row>
    <row r="344">
      <c r="A344" s="11" t="n">
        <v>46059</v>
      </c>
      <c r="B344" s="10" t="inlineStr">
        <is>
          <t>SP PAIGE LLC CULVER CITY</t>
        </is>
      </c>
      <c r="C344" s="12" t="n">
        <v>4772.87</v>
      </c>
      <c r="D344" s="10" t="inlineStr">
        <is>
          <t>Uncategorised</t>
        </is>
      </c>
      <c r="E344" s="10" t="inlineStr">
        <is>
          <t>Review</t>
        </is>
      </c>
      <c r="F344" s="10" t="inlineStr">
        <is>
          <t>Amex Feb-2026</t>
        </is>
      </c>
      <c r="G344" s="10">
        <f>IF(OR(D344="Uncategorised",E344="",E344="Review"),"Needs category/owner","Resolved")</f>
        <v/>
      </c>
    </row>
    <row r="345">
      <c r="A345" s="11" t="n">
        <v>46059</v>
      </c>
      <c r="B345" s="10" t="inlineStr">
        <is>
          <t>TABLECHECK ONLINE PAY TOKYO</t>
        </is>
      </c>
      <c r="C345" s="12" t="n">
        <v>10904.99</v>
      </c>
      <c r="D345" s="10" t="inlineStr">
        <is>
          <t>Uncategorised</t>
        </is>
      </c>
      <c r="E345" s="10" t="inlineStr">
        <is>
          <t>Review</t>
        </is>
      </c>
      <c r="F345" s="10" t="inlineStr">
        <is>
          <t>Amex Feb-2026</t>
        </is>
      </c>
      <c r="G345" s="10">
        <f>IF(OR(D345="Uncategorised",E345="",E345="Review"),"Needs category/owner","Resolved")</f>
        <v/>
      </c>
    </row>
    <row r="346">
      <c r="A346" s="11" t="n">
        <v>46059</v>
      </c>
      <c r="B346" s="10" t="inlineStr">
        <is>
          <t>TST* KABAW A 000763 4 3 NE WYORK</t>
        </is>
      </c>
      <c r="C346" s="12" t="n">
        <v>6943.43</v>
      </c>
      <c r="D346" s="10" t="inlineStr">
        <is>
          <t>Uncategorised</t>
        </is>
      </c>
      <c r="E346" s="10" t="inlineStr">
        <is>
          <t>Review</t>
        </is>
      </c>
      <c r="F346" s="10" t="inlineStr">
        <is>
          <t>Amex Feb-2026</t>
        </is>
      </c>
      <c r="G346" s="10">
        <f>IF(OR(D346="Uncategorised",E346="",E346="Review"),"Needs category/owner","Resolved")</f>
        <v/>
      </c>
    </row>
    <row r="347">
      <c r="A347" s="11" t="n">
        <v>46060</v>
      </c>
      <c r="B347" s="10" t="inlineStr">
        <is>
          <t>B ' IN SELECT 00000000000 HONG KONG</t>
        </is>
      </c>
      <c r="C347" s="12" t="n">
        <v>580</v>
      </c>
      <c r="D347" s="10" t="inlineStr">
        <is>
          <t>Uncategorised</t>
        </is>
      </c>
      <c r="E347" s="10" t="inlineStr">
        <is>
          <t>Review</t>
        </is>
      </c>
      <c r="F347" s="10" t="inlineStr">
        <is>
          <t>Amex Feb-2026</t>
        </is>
      </c>
      <c r="G347" s="10">
        <f>IF(OR(D347="Uncategorised",E347="",E347="Review"),"Needs category/owner","Resolved")</f>
        <v/>
      </c>
    </row>
    <row r="348">
      <c r="A348" s="11" t="n">
        <v>46060</v>
      </c>
      <c r="B348" s="10" t="inlineStr">
        <is>
          <t>HAY FEVER FLORAL &amp; GIFT MONGKOK</t>
        </is>
      </c>
      <c r="C348" s="12" t="n">
        <v>9340</v>
      </c>
      <c r="D348" s="10" t="inlineStr">
        <is>
          <t>Uncategorised</t>
        </is>
      </c>
      <c r="E348" s="10" t="inlineStr">
        <is>
          <t>Review</t>
        </is>
      </c>
      <c r="F348" s="10" t="inlineStr">
        <is>
          <t>Amex Feb-2026</t>
        </is>
      </c>
      <c r="G348" s="10">
        <f>IF(OR(D348="Uncategorised",E348="",E348="Review"),"Needs category/owner","Resolved")</f>
        <v/>
      </c>
    </row>
    <row r="349">
      <c r="A349" s="11" t="n">
        <v>46060</v>
      </c>
      <c r="B349" s="10" t="inlineStr">
        <is>
          <t>KPAY*PO HING FLO WER CO. HONG KONG</t>
        </is>
      </c>
      <c r="C349" s="12" t="n">
        <v>1440</v>
      </c>
      <c r="D349" s="10" t="inlineStr">
        <is>
          <t>Uncategorised</t>
        </is>
      </c>
      <c r="E349" s="10" t="inlineStr">
        <is>
          <t>Review</t>
        </is>
      </c>
      <c r="F349" s="10" t="inlineStr">
        <is>
          <t>Amex Feb-2026</t>
        </is>
      </c>
      <c r="G349" s="10">
        <f>IF(OR(D349="Uncategorised",E349="",E349="Review"),"Needs category/owner","Resolved")</f>
        <v/>
      </c>
    </row>
    <row r="350">
      <c r="A350" s="11" t="n">
        <v>46060</v>
      </c>
      <c r="B350" s="10" t="inlineStr">
        <is>
          <t>KPAY*PO HING FLO WER CO. HONG KONG</t>
        </is>
      </c>
      <c r="C350" s="12" t="n">
        <v>300</v>
      </c>
      <c r="D350" s="10" t="inlineStr">
        <is>
          <t>Uncategorised</t>
        </is>
      </c>
      <c r="E350" s="10" t="inlineStr">
        <is>
          <t>Review</t>
        </is>
      </c>
      <c r="F350" s="10" t="inlineStr">
        <is>
          <t>Amex Feb-2026</t>
        </is>
      </c>
      <c r="G350" s="10">
        <f>IF(OR(D350="Uncategorised",E350="",E350="Review"),"Needs category/owner","Resolved")</f>
        <v/>
      </c>
    </row>
    <row r="351">
      <c r="A351" s="11" t="n">
        <v>46060</v>
      </c>
      <c r="B351" s="10" t="inlineStr">
        <is>
          <t>MANDARIN ORIENTAL-BOOK CENTRAL</t>
        </is>
      </c>
      <c r="C351" s="12" t="n">
        <v>45</v>
      </c>
      <c r="D351" s="10" t="inlineStr">
        <is>
          <t>Uncategorised</t>
        </is>
      </c>
      <c r="E351" s="10" t="inlineStr">
        <is>
          <t>Review</t>
        </is>
      </c>
      <c r="F351" s="10" t="inlineStr">
        <is>
          <t>Amex Feb-2026</t>
        </is>
      </c>
      <c r="G351" s="10">
        <f>IF(OR(D351="Uncategorised",E351="",E351="Review"),"Needs category/owner","Resolved")</f>
        <v/>
      </c>
    </row>
    <row r="352">
      <c r="A352" s="11" t="n">
        <v>46061</v>
      </c>
      <c r="B352" s="10" t="inlineStr">
        <is>
          <t>PENINSULA NE WYORK HOTE NE WYORK</t>
        </is>
      </c>
      <c r="C352" s="12" t="n">
        <v>25792.86</v>
      </c>
      <c r="D352" s="10" t="inlineStr">
        <is>
          <t>Uncategorised</t>
        </is>
      </c>
      <c r="E352" s="10" t="inlineStr">
        <is>
          <t>Review</t>
        </is>
      </c>
      <c r="F352" s="10" t="inlineStr">
        <is>
          <t>Amex Feb-2026</t>
        </is>
      </c>
      <c r="G352" s="10">
        <f>IF(OR(D352="Uncategorised",E352="",E352="Review"),"Needs category/owner","Resolved")</f>
        <v/>
      </c>
    </row>
    <row r="353">
      <c r="A353" s="11" t="n">
        <v>46064</v>
      </c>
      <c r="B353" s="10" t="inlineStr">
        <is>
          <t>UNIVERSITY OPTICAL SHOP CENTRAL</t>
        </is>
      </c>
      <c r="C353" s="12" t="n">
        <v>480</v>
      </c>
      <c r="D353" s="10" t="inlineStr">
        <is>
          <t>Uncategorised</t>
        </is>
      </c>
      <c r="E353" s="10" t="inlineStr">
        <is>
          <t>Review</t>
        </is>
      </c>
      <c r="F353" s="10" t="inlineStr">
        <is>
          <t>Amex Feb-2026</t>
        </is>
      </c>
      <c r="G353" s="10">
        <f>IF(OR(D353="Uncategorised",E353="",E353="Review"),"Needs category/owner","Resolved")</f>
        <v/>
      </c>
    </row>
    <row r="354">
      <c r="A354" s="11" t="n">
        <v>46065</v>
      </c>
      <c r="B354" s="10" t="inlineStr">
        <is>
          <t>FOTOMAX - F3 48 ( BH ) CENTRAL</t>
        </is>
      </c>
      <c r="C354" s="12" t="n">
        <v>370</v>
      </c>
      <c r="D354" s="10" t="inlineStr">
        <is>
          <t>Uncategorised</t>
        </is>
      </c>
      <c r="E354" s="10" t="inlineStr">
        <is>
          <t>Review</t>
        </is>
      </c>
      <c r="F354" s="10" t="inlineStr">
        <is>
          <t>Amex Feb-2026</t>
        </is>
      </c>
      <c r="G354" s="10">
        <f>IF(OR(D354="Uncategorised",E354="",E354="Review"),"Needs category/owner","Resolved")</f>
        <v/>
      </c>
    </row>
    <row r="355">
      <c r="A355" s="11" t="n">
        <v>46065</v>
      </c>
      <c r="B355" s="10" t="inlineStr">
        <is>
          <t>KPAY*UNAGI YONDAIME KIK HONG KONG</t>
        </is>
      </c>
      <c r="C355" s="12" t="n">
        <v>1333.2</v>
      </c>
      <c r="D355" s="10" t="inlineStr">
        <is>
          <t>Uncategorised</t>
        </is>
      </c>
      <c r="E355" s="10" t="inlineStr">
        <is>
          <t>Review</t>
        </is>
      </c>
      <c r="F355" s="10" t="inlineStr">
        <is>
          <t>Amex Feb-2026</t>
        </is>
      </c>
      <c r="G355" s="10">
        <f>IF(OR(D355="Uncategorised",E355="",E355="Review"),"Needs category/owner","Resolved")</f>
        <v/>
      </c>
    </row>
    <row r="356">
      <c r="A356" s="11" t="n">
        <v>46065</v>
      </c>
      <c r="B356" s="10" t="inlineStr">
        <is>
          <t>RUKUZ UOISUTA BA ABUTAGUN</t>
        </is>
      </c>
      <c r="C356" s="12" t="n">
        <v>573.33</v>
      </c>
      <c r="D356" s="10" t="inlineStr">
        <is>
          <t>Uncategorised</t>
        </is>
      </c>
      <c r="E356" s="10" t="inlineStr">
        <is>
          <t>Review</t>
        </is>
      </c>
      <c r="F356" s="10" t="inlineStr">
        <is>
          <t>Amex Feb-2026</t>
        </is>
      </c>
      <c r="G356" s="10">
        <f>IF(OR(D356="Uncategorised",E356="",E356="Review"),"Needs category/owner","Resolved")</f>
        <v/>
      </c>
    </row>
    <row r="357">
      <c r="A357" s="11" t="n">
        <v>46066</v>
      </c>
      <c r="B357" s="10" t="inlineStr">
        <is>
          <t>EVENTBK*EVENT TICKET HONG KONG</t>
        </is>
      </c>
      <c r="C357" s="12" t="n">
        <v>10000</v>
      </c>
      <c r="D357" s="10" t="inlineStr">
        <is>
          <t>Uncategorised</t>
        </is>
      </c>
      <c r="E357" s="10" t="inlineStr">
        <is>
          <t>Review</t>
        </is>
      </c>
      <c r="F357" s="10" t="inlineStr">
        <is>
          <t>Amex Feb-2026</t>
        </is>
      </c>
      <c r="G357" s="10">
        <f>IF(OR(D357="Uncategorised",E357="",E357="Review"),"Needs category/owner","Resolved")</f>
        <v/>
      </c>
    </row>
    <row r="358">
      <c r="A358" s="11" t="n">
        <v>46069</v>
      </c>
      <c r="B358" s="10" t="inlineStr">
        <is>
          <t>NOBLE HOUSE KUALA LUMPUR</t>
        </is>
      </c>
      <c r="C358" s="12" t="n">
        <v>51780.85</v>
      </c>
      <c r="D358" s="10" t="inlineStr">
        <is>
          <t>Uncategorised</t>
        </is>
      </c>
      <c r="E358" s="10" t="inlineStr">
        <is>
          <t>Review</t>
        </is>
      </c>
      <c r="F358" s="10" t="inlineStr">
        <is>
          <t>Amex Feb-2026</t>
        </is>
      </c>
      <c r="G358" s="10">
        <f>IF(OR(D358="Uncategorised",E358="",E358="Review"),"Needs category/owner","Resolved")</f>
        <v/>
      </c>
    </row>
    <row r="359">
      <c r="A359" s="11" t="n">
        <v>46071</v>
      </c>
      <c r="B359" s="10" t="inlineStr">
        <is>
          <t>COTE SINGAPORE SINGAPORE</t>
        </is>
      </c>
      <c r="C359" s="12" t="n">
        <v>9563.85</v>
      </c>
      <c r="D359" s="10" t="inlineStr">
        <is>
          <t>Uncategorised</t>
        </is>
      </c>
      <c r="E359" s="10" t="inlineStr">
        <is>
          <t>Review</t>
        </is>
      </c>
      <c r="F359" s="10" t="inlineStr">
        <is>
          <t>Amex Feb-2026</t>
        </is>
      </c>
      <c r="G359" s="10">
        <f>IF(OR(D359="Uncategorised",E359="",E359="Review"),"Needs category/owner","Resolved")</f>
        <v/>
      </c>
    </row>
    <row r="360">
      <c r="A360" s="11" t="n">
        <v>46071</v>
      </c>
      <c r="B360" s="10" t="inlineStr">
        <is>
          <t>ST REGIS KUALA LUMPUR ( FKUALA LUMPUR</t>
        </is>
      </c>
      <c r="C360" s="12" t="n">
        <v>20456.01</v>
      </c>
      <c r="D360" s="10" t="inlineStr">
        <is>
          <t>Uncategorised</t>
        </is>
      </c>
      <c r="E360" s="10" t="inlineStr">
        <is>
          <t>Review</t>
        </is>
      </c>
      <c r="F360" s="10" t="inlineStr">
        <is>
          <t>Amex Feb-2026</t>
        </is>
      </c>
      <c r="G360" s="10">
        <f>IF(OR(D360="Uncategorised",E360="",E360="Review"),"Needs category/owner","Resolved")</f>
        <v/>
      </c>
    </row>
    <row r="361">
      <c r="A361" s="11" t="n">
        <v>46074</v>
      </c>
      <c r="B361" s="10" t="inlineStr">
        <is>
          <t>RAFFLES HOTEL SINGAPORE SINGAPORE</t>
        </is>
      </c>
      <c r="C361" s="12" t="n">
        <v>158711.32</v>
      </c>
      <c r="D361" s="10" t="inlineStr">
        <is>
          <t>Uncategorised</t>
        </is>
      </c>
      <c r="E361" s="10" t="inlineStr">
        <is>
          <t>Review</t>
        </is>
      </c>
      <c r="F361" s="10" t="inlineStr">
        <is>
          <t>Amex Feb-2026</t>
        </is>
      </c>
      <c r="G361" s="10">
        <f>IF(OR(D361="Uncategorised",E361="",E361="Review"),"Needs category/owner","Resolved")</f>
        <v/>
      </c>
    </row>
    <row r="362">
      <c r="A362" s="11" t="n">
        <v>46076</v>
      </c>
      <c r="B362" s="10" t="inlineStr">
        <is>
          <t>TUMI ASIA LIMITED</t>
        </is>
      </c>
      <c r="C362" s="12" t="n">
        <v>-400</v>
      </c>
      <c r="D362" s="10" t="inlineStr">
        <is>
          <t>Uncategorised</t>
        </is>
      </c>
      <c r="E362" s="10" t="inlineStr">
        <is>
          <t>Review</t>
        </is>
      </c>
      <c r="F362" s="10" t="inlineStr">
        <is>
          <t>Amex Feb-2026</t>
        </is>
      </c>
      <c r="G362" s="10">
        <f>IF(OR(D362="Uncategorised",E362="",E362="Review"),"Needs category/owner","Resolved")</f>
        <v/>
      </c>
    </row>
    <row r="363">
      <c r="A363" s="11" t="n">
        <v>46076</v>
      </c>
      <c r="B363" s="10" t="inlineStr">
        <is>
          <t>TUMI ASIA LIMITED CENTRAL</t>
        </is>
      </c>
      <c r="C363" s="12" t="n">
        <v>9500</v>
      </c>
      <c r="D363" s="10" t="inlineStr">
        <is>
          <t>Uncategorised</t>
        </is>
      </c>
      <c r="E363" s="10" t="inlineStr">
        <is>
          <t>Review</t>
        </is>
      </c>
      <c r="F363" s="10" t="inlineStr">
        <is>
          <t>Amex Feb-2026</t>
        </is>
      </c>
      <c r="G363" s="10">
        <f>IF(OR(D363="Uncategorised",E363="",E363="Review"),"Needs category/owner","Resolved")</f>
        <v/>
      </c>
    </row>
    <row r="364">
      <c r="A364" s="11" t="n">
        <v>46077</v>
      </c>
      <c r="B364" s="10" t="inlineStr">
        <is>
          <t>SCMP* SCMP HONG KONG</t>
        </is>
      </c>
      <c r="C364" s="12" t="n">
        <v>957.15</v>
      </c>
      <c r="D364" s="10" t="inlineStr">
        <is>
          <t>Uncategorised</t>
        </is>
      </c>
      <c r="E364" s="10" t="inlineStr">
        <is>
          <t>Review</t>
        </is>
      </c>
      <c r="F364" s="10" t="inlineStr">
        <is>
          <t>Amex Feb-2026</t>
        </is>
      </c>
      <c r="G364" s="10">
        <f>IF(OR(D364="Uncategorised",E364="",E364="Review"),"Needs category/owner","Resolved")</f>
        <v/>
      </c>
    </row>
    <row r="365">
      <c r="A365" s="11" t="n">
        <v>46079</v>
      </c>
      <c r="B365" s="10" t="inlineStr">
        <is>
          <t>CROSTA JAPANK.K. me ng ti a n j unni</t>
        </is>
      </c>
      <c r="C365" s="12" t="n">
        <v>2205.01</v>
      </c>
      <c r="D365" s="10" t="inlineStr">
        <is>
          <t>Uncategorised</t>
        </is>
      </c>
      <c r="E365" s="10" t="inlineStr">
        <is>
          <t>Review</t>
        </is>
      </c>
      <c r="F365" s="10" t="inlineStr">
        <is>
          <t>Amex Feb-2026</t>
        </is>
      </c>
      <c r="G365" s="10">
        <f>IF(OR(D365="Uncategorised",E365="",E365="Review"),"Needs category/owner","Resolved")</f>
        <v/>
      </c>
    </row>
    <row r="366">
      <c r="A366" s="11" t="n">
        <v>46079</v>
      </c>
      <c r="B366" s="10" t="inlineStr">
        <is>
          <t>Niseko ANNUPURI KOKUSAI HOKKAIDO</t>
        </is>
      </c>
      <c r="C366" s="12" t="n">
        <v>1802.76</v>
      </c>
      <c r="D366" s="10" t="inlineStr">
        <is>
          <t>Uncategorised</t>
        </is>
      </c>
      <c r="E366" s="10" t="inlineStr">
        <is>
          <t>Review</t>
        </is>
      </c>
      <c r="F366" s="10" t="inlineStr">
        <is>
          <t>Amex Mar-2026</t>
        </is>
      </c>
      <c r="G366" s="10">
        <f>IF(OR(D366="Uncategorised",E366="",E366="Review"),"Needs category/owner","Resolved")</f>
        <v/>
      </c>
    </row>
    <row r="367">
      <c r="A367" s="11" t="n">
        <v>46080</v>
      </c>
      <c r="B367" s="10" t="inlineStr">
        <is>
          <t>Kumo meng t ian j u n</t>
        </is>
      </c>
      <c r="C367" s="12" t="n">
        <v>601.75</v>
      </c>
      <c r="D367" s="10" t="inlineStr">
        <is>
          <t>Uncategorised</t>
        </is>
      </c>
      <c r="E367" s="10" t="inlineStr">
        <is>
          <t>Review</t>
        </is>
      </c>
      <c r="F367" s="10" t="inlineStr">
        <is>
          <t>Amex Mar-2026</t>
        </is>
      </c>
      <c r="G367" s="10">
        <f>IF(OR(D367="Uncategorised",E367="",E367="Review"),"Needs category/owner","Resolved")</f>
        <v/>
      </c>
    </row>
    <row r="368">
      <c r="A368" s="11" t="n">
        <v>46081</v>
      </c>
      <c r="B368" s="10" t="inlineStr">
        <is>
          <t>Ni s ekoBion meng t ian j u n j</t>
        </is>
      </c>
      <c r="C368" s="12" t="n">
        <v>3323.9</v>
      </c>
      <c r="D368" s="10" t="inlineStr">
        <is>
          <t>Uncategorised</t>
        </is>
      </c>
      <c r="E368" s="10" t="inlineStr">
        <is>
          <t>Review</t>
        </is>
      </c>
      <c r="F368" s="10" t="inlineStr">
        <is>
          <t>Amex Mar-2026</t>
        </is>
      </c>
      <c r="G368" s="10">
        <f>IF(OR(D368="Uncategorised",E368="",E368="Review"),"Needs category/owner","Resolved")</f>
        <v/>
      </c>
    </row>
    <row r="369">
      <c r="A369" s="11" t="n">
        <v>46082</v>
      </c>
      <c r="B369" s="10" t="inlineStr">
        <is>
          <t>TA JIMAHALHIRAHUTEN PG HOKKAIDO</t>
        </is>
      </c>
      <c r="C369" s="12" t="n">
        <v>816.14</v>
      </c>
      <c r="D369" s="10" t="inlineStr">
        <is>
          <t>Uncategorised</t>
        </is>
      </c>
      <c r="E369" s="10" t="inlineStr">
        <is>
          <t>Review</t>
        </is>
      </c>
      <c r="F369" s="10" t="inlineStr">
        <is>
          <t>Amex Mar-2026</t>
        </is>
      </c>
      <c r="G369" s="10">
        <f>IF(OR(D369="Uncategorised",E369="",E369="Review"),"Needs category/owner","Resolved")</f>
        <v/>
      </c>
    </row>
    <row r="370">
      <c r="A370" s="11" t="n">
        <v>46083</v>
      </c>
      <c r="B370" s="10" t="inlineStr">
        <is>
          <t>TENPURAARAKI TP HOKKAIDO</t>
        </is>
      </c>
      <c r="C370" s="12" t="n">
        <v>3509.74</v>
      </c>
      <c r="D370" s="10" t="inlineStr">
        <is>
          <t>Uncategorised</t>
        </is>
      </c>
      <c r="E370" s="10" t="inlineStr">
        <is>
          <t>Review</t>
        </is>
      </c>
      <c r="F370" s="10" t="inlineStr">
        <is>
          <t>Amex Mar-2026</t>
        </is>
      </c>
      <c r="G370" s="10">
        <f>IF(OR(D370="Uncategorised",E370="",E370="Review"),"Needs category/owner","Resolved")</f>
        <v/>
      </c>
    </row>
    <row r="371">
      <c r="A371" s="11" t="n">
        <v>46084</v>
      </c>
      <c r="B371" s="10" t="inlineStr">
        <is>
          <t>MAKKARIBASE AIR HOKKAIDO</t>
        </is>
      </c>
      <c r="C371" s="12" t="n">
        <v>193.42</v>
      </c>
      <c r="D371" s="10" t="inlineStr">
        <is>
          <t>Uncategorised</t>
        </is>
      </c>
      <c r="E371" s="10" t="inlineStr">
        <is>
          <t>Review</t>
        </is>
      </c>
      <c r="F371" s="10" t="inlineStr">
        <is>
          <t>Amex Mar-2026</t>
        </is>
      </c>
      <c r="G371" s="10">
        <f>IF(OR(D371="Uncategorised",E371="",E371="Review"),"Needs category/owner","Resolved")</f>
        <v/>
      </c>
    </row>
    <row r="372">
      <c r="A372" s="11" t="n">
        <v>46084</v>
      </c>
      <c r="B372" s="10" t="inlineStr">
        <is>
          <t>sus hia z a bu meng t ian j u n j</t>
        </is>
      </c>
      <c r="C372" s="12" t="n">
        <v>6158.46</v>
      </c>
      <c r="D372" s="10" t="inlineStr">
        <is>
          <t>Uncategorised</t>
        </is>
      </c>
      <c r="E372" s="10" t="inlineStr">
        <is>
          <t>Review</t>
        </is>
      </c>
      <c r="F372" s="10" t="inlineStr">
        <is>
          <t>Amex Mar-2026</t>
        </is>
      </c>
      <c r="G372" s="10">
        <f>IF(OR(D372="Uncategorised",E372="",E372="Review"),"Needs category/owner","Resolved")</f>
        <v/>
      </c>
    </row>
    <row r="373">
      <c r="A373" s="11" t="n">
        <v>46085</v>
      </c>
      <c r="B373" s="10" t="inlineStr">
        <is>
          <t>RUSUTSU RESORT HOKKAIDO</t>
        </is>
      </c>
      <c r="C373" s="12" t="n">
        <v>116.45</v>
      </c>
      <c r="D373" s="10" t="inlineStr">
        <is>
          <t>Uncategorised</t>
        </is>
      </c>
      <c r="E373" s="10" t="inlineStr">
        <is>
          <t>Review</t>
        </is>
      </c>
      <c r="F373" s="10" t="inlineStr">
        <is>
          <t>Amex Mar-2026</t>
        </is>
      </c>
      <c r="G373" s="10">
        <f>IF(OR(D373="Uncategorised",E373="",E373="Review"),"Needs category/owner","Resolved")</f>
        <v/>
      </c>
    </row>
    <row r="374">
      <c r="A374" s="11" t="n">
        <v>46086</v>
      </c>
      <c r="B374" s="10" t="inlineStr">
        <is>
          <t>A FURISETSUNISEKO HOKKAIDO</t>
        </is>
      </c>
      <c r="C374" s="12" t="n">
        <v>507.57</v>
      </c>
      <c r="D374" s="10" t="inlineStr">
        <is>
          <t>Uncategorised</t>
        </is>
      </c>
      <c r="E374" s="10" t="inlineStr">
        <is>
          <t>Review</t>
        </is>
      </c>
      <c r="F374" s="10" t="inlineStr">
        <is>
          <t>Amex Mar-2026</t>
        </is>
      </c>
      <c r="G374" s="10">
        <f>IF(OR(D374="Uncategorised",E374="",E374="Review"),"Needs category/owner","Resolved")</f>
        <v/>
      </c>
    </row>
    <row r="375">
      <c r="A375" s="11" t="n">
        <v>46087</v>
      </c>
      <c r="B375" s="10" t="inlineStr">
        <is>
          <t>NE WCHITOSE APTT.BLDG JAPAN</t>
        </is>
      </c>
      <c r="C375" s="12" t="n">
        <v>45.64</v>
      </c>
      <c r="D375" s="10" t="inlineStr">
        <is>
          <t>Uncategorised</t>
        </is>
      </c>
      <c r="E375" s="10" t="inlineStr">
        <is>
          <t>Review</t>
        </is>
      </c>
      <c r="F375" s="10" t="inlineStr">
        <is>
          <t>Amex Mar-2026</t>
        </is>
      </c>
      <c r="G375" s="10">
        <f>IF(OR(D375="Uncategorised",E375="",E375="Review"),"Needs category/owner","Resolved")</f>
        <v/>
      </c>
    </row>
    <row r="376">
      <c r="A376" s="11" t="n">
        <v>46087</v>
      </c>
      <c r="B376" s="10" t="inlineStr">
        <is>
          <t>NE WCHITOSE APTT.BLDG JAPAN</t>
        </is>
      </c>
      <c r="C376" s="12" t="n">
        <v>118.67</v>
      </c>
      <c r="D376" s="10" t="inlineStr">
        <is>
          <t>Uncategorised</t>
        </is>
      </c>
      <c r="E376" s="10" t="inlineStr">
        <is>
          <t>Review</t>
        </is>
      </c>
      <c r="F376" s="10" t="inlineStr">
        <is>
          <t>Amex Mar-2026</t>
        </is>
      </c>
      <c r="G376" s="10">
        <f>IF(OR(D376="Uncategorised",E376="",E376="Review"),"Needs category/owner","Resolved")</f>
        <v/>
      </c>
    </row>
    <row r="377">
      <c r="A377" s="11" t="n">
        <v>46087</v>
      </c>
      <c r="B377" s="10" t="inlineStr">
        <is>
          <t>NE WCHITOSE APTT.BLDG JAPAN</t>
        </is>
      </c>
      <c r="C377" s="12" t="n">
        <v>19.23</v>
      </c>
      <c r="D377" s="10" t="inlineStr">
        <is>
          <t>Uncategorised</t>
        </is>
      </c>
      <c r="E377" s="10" t="inlineStr">
        <is>
          <t>Review</t>
        </is>
      </c>
      <c r="F377" s="10" t="inlineStr">
        <is>
          <t>Amex Mar-2026</t>
        </is>
      </c>
      <c r="G377" s="10">
        <f>IF(OR(D377="Uncategorised",E377="",E377="Review"),"Needs category/owner","Resolved")</f>
        <v/>
      </c>
    </row>
    <row r="378">
      <c r="A378" s="11" t="n">
        <v>46087</v>
      </c>
      <c r="B378" s="10" t="inlineStr">
        <is>
          <t>NE WCHITOSE APTT.BLDG JAPAN</t>
        </is>
      </c>
      <c r="C378" s="12" t="n">
        <v>65.92</v>
      </c>
      <c r="D378" s="10" t="inlineStr">
        <is>
          <t>Uncategorised</t>
        </is>
      </c>
      <c r="E378" s="10" t="inlineStr">
        <is>
          <t>Review</t>
        </is>
      </c>
      <c r="F378" s="10" t="inlineStr">
        <is>
          <t>Amex Mar-2026</t>
        </is>
      </c>
      <c r="G378" s="10">
        <f>IF(OR(D378="Uncategorised",E378="",E378="Review"),"Needs category/owner","Resolved")</f>
        <v/>
      </c>
    </row>
    <row r="379">
      <c r="A379" s="11" t="n">
        <v>46087</v>
      </c>
      <c r="B379" s="10" t="inlineStr">
        <is>
          <t>NE WCHITOSE APTT.BLDG JAPAN</t>
        </is>
      </c>
      <c r="C379" s="12" t="n">
        <v>71.5</v>
      </c>
      <c r="D379" s="10" t="inlineStr">
        <is>
          <t>Uncategorised</t>
        </is>
      </c>
      <c r="E379" s="10" t="inlineStr">
        <is>
          <t>Review</t>
        </is>
      </c>
      <c r="F379" s="10" t="inlineStr">
        <is>
          <t>Amex Mar-2026</t>
        </is>
      </c>
      <c r="G379" s="10">
        <f>IF(OR(D379="Uncategorised",E379="",E379="Review"),"Needs category/owner","Resolved")</f>
        <v/>
      </c>
    </row>
    <row r="380">
      <c r="A380" s="11" t="n">
        <v>46087</v>
      </c>
      <c r="B380" s="10" t="inlineStr">
        <is>
          <t>NE WCHITOSE APTT.BLDG JAPAN</t>
        </is>
      </c>
      <c r="C380" s="12" t="n">
        <v>316.11</v>
      </c>
      <c r="D380" s="10" t="inlineStr">
        <is>
          <t>Uncategorised</t>
        </is>
      </c>
      <c r="E380" s="10" t="inlineStr">
        <is>
          <t>Review</t>
        </is>
      </c>
      <c r="F380" s="10" t="inlineStr">
        <is>
          <t>Amex Mar-2026</t>
        </is>
      </c>
      <c r="G380" s="10">
        <f>IF(OR(D380="Uncategorised",E380="",E380="Review"),"Needs category/owner","Resolved")</f>
        <v/>
      </c>
    </row>
    <row r="381">
      <c r="A381" s="11" t="n">
        <v>46088</v>
      </c>
      <c r="B381" s="10" t="inlineStr">
        <is>
          <t>LOUISE CENTRAL</t>
        </is>
      </c>
      <c r="C381" s="12" t="n">
        <v>4899</v>
      </c>
      <c r="D381" s="10" t="inlineStr">
        <is>
          <t>Uncategorised</t>
        </is>
      </c>
      <c r="E381" s="10" t="inlineStr">
        <is>
          <t>Review</t>
        </is>
      </c>
      <c r="F381" s="10" t="inlineStr">
        <is>
          <t>Amex Mar-2026</t>
        </is>
      </c>
      <c r="G381" s="10">
        <f>IF(OR(D381="Uncategorised",E381="",E381="Review"),"Needs category/owner","Resolved")</f>
        <v/>
      </c>
    </row>
    <row r="382">
      <c r="A382" s="11" t="n">
        <v>46090</v>
      </c>
      <c r="B382" s="10" t="inlineStr">
        <is>
          <t>MOVIE MOVIE PACI FIC PLA ADMIRALTY</t>
        </is>
      </c>
      <c r="C382" s="12" t="n">
        <v>208</v>
      </c>
      <c r="D382" s="10" t="inlineStr">
        <is>
          <t>Uncategorised</t>
        </is>
      </c>
      <c r="E382" s="10" t="inlineStr">
        <is>
          <t>Review</t>
        </is>
      </c>
      <c r="F382" s="10" t="inlineStr">
        <is>
          <t>Amex Mar-2026</t>
        </is>
      </c>
      <c r="G382" s="10">
        <f>IF(OR(D382="Uncategorised",E382="",E382="Review"),"Needs category/owner","Resolved")</f>
        <v/>
      </c>
    </row>
    <row r="383">
      <c r="A383" s="11" t="n">
        <v>46093</v>
      </c>
      <c r="B383" s="10" t="inlineStr">
        <is>
          <t>RA FF LES HOTEL SINGAPORE SINGAPORE</t>
        </is>
      </c>
      <c r="C383" s="12" t="n">
        <v>1039.32</v>
      </c>
      <c r="D383" s="10" t="inlineStr">
        <is>
          <t>Uncategorised</t>
        </is>
      </c>
      <c r="E383" s="10" t="inlineStr">
        <is>
          <t>Review</t>
        </is>
      </c>
      <c r="F383" s="10" t="inlineStr">
        <is>
          <t>Amex Mar-2026</t>
        </is>
      </c>
      <c r="G383" s="10">
        <f>IF(OR(D383="Uncategorised",E383="",E383="Review"),"Needs category/owner","Resolved")</f>
        <v/>
      </c>
    </row>
    <row r="384">
      <c r="A384" s="11" t="n">
        <v>46096</v>
      </c>
      <c r="B384" s="10" t="inlineStr">
        <is>
          <t>SHAKE SHACKI F C (0201) CENTRAL</t>
        </is>
      </c>
      <c r="C384" s="12" t="n">
        <v>503</v>
      </c>
      <c r="D384" s="10" t="inlineStr">
        <is>
          <t>Uncategorised</t>
        </is>
      </c>
      <c r="E384" s="10" t="inlineStr">
        <is>
          <t>Review</t>
        </is>
      </c>
      <c r="F384" s="10" t="inlineStr">
        <is>
          <t>Amex Mar-2026</t>
        </is>
      </c>
      <c r="G384" s="10">
        <f>IF(OR(D384="Uncategorised",E384="",E384="Review"),"Needs category/owner","Resolved")</f>
        <v/>
      </c>
    </row>
    <row r="385">
      <c r="A385" s="11" t="n">
        <v>46102</v>
      </c>
      <c r="B385" s="10" t="inlineStr">
        <is>
          <t>KPAY * LALA 0000000000000 HONG KONG</t>
        </is>
      </c>
      <c r="C385" s="12" t="n">
        <v>3408.6</v>
      </c>
      <c r="D385" s="10" t="inlineStr">
        <is>
          <t>Uncategorised</t>
        </is>
      </c>
      <c r="E385" s="10" t="inlineStr">
        <is>
          <t>Review</t>
        </is>
      </c>
      <c r="F385" s="10" t="inlineStr">
        <is>
          <t>Amex Mar-2026</t>
        </is>
      </c>
      <c r="G385" s="10">
        <f>IF(OR(D385="Uncategorised",E385="",E385="Review"),"Needs category/owner","Resolved")</f>
        <v/>
      </c>
    </row>
    <row r="386">
      <c r="A386" s="11" t="n">
        <v>46104</v>
      </c>
      <c r="B386" s="10" t="inlineStr">
        <is>
          <t>KPAY * MAISON KARYA 00000 HONG KONG</t>
        </is>
      </c>
      <c r="C386" s="12" t="n">
        <v>1204.2</v>
      </c>
      <c r="D386" s="10" t="inlineStr">
        <is>
          <t>Uncategorised</t>
        </is>
      </c>
      <c r="E386" s="10" t="inlineStr">
        <is>
          <t>Review</t>
        </is>
      </c>
      <c r="F386" s="10" t="inlineStr">
        <is>
          <t>Amex Mar-2026</t>
        </is>
      </c>
      <c r="G386" s="10">
        <f>IF(OR(D386="Uncategorised",E386="",E386="Review"),"Needs category/owner","Resolved")</f>
        <v/>
      </c>
    </row>
  </sheetData>
  <autoFilter ref="A4:G386"/>
  <dataValidations count="2">
    <dataValidation sqref="D5:D886" showDropDown="0" showInputMessage="0" showErrorMessage="0" allowBlank="0" errorTitle="Invalid category" error="Choose a category from the list." type="list">
      <formula1>=Lists!$A$2:$A$36</formula1>
    </dataValidation>
    <dataValidation sqref="E5:E886" showDropDown="0" showInputMessage="0" showErrorMessage="0" allowBlank="0" errorTitle="Invalid owner" error="Choose who this spend belongs to from the list.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3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0" customWidth="1" min="3" max="3"/>
    <col width="22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</cols>
  <sheetData>
    <row r="1" ht="24" customHeight="1">
      <c r="A1" s="1" t="inlineStr">
        <is>
          <t>Amex Transactions</t>
        </is>
      </c>
    </row>
    <row r="2">
      <c r="A2" s="2" t="inlineStr">
        <is>
          <t>Full transaction ledger.</t>
        </is>
      </c>
    </row>
    <row r="4">
      <c r="A4" s="7" t="inlineStr">
        <is>
          <t>Statement</t>
        </is>
      </c>
      <c r="B4" s="7" t="inlineStr">
        <is>
          <t>Date</t>
        </is>
      </c>
      <c r="C4" s="7" t="inlineStr">
        <is>
          <t>Merchant</t>
        </is>
      </c>
      <c r="D4" s="7" t="inlineStr">
        <is>
          <t>Category</t>
        </is>
      </c>
      <c r="E4" s="7" t="inlineStr">
        <is>
          <t>Belongs To</t>
        </is>
      </c>
      <c r="F4" s="7" t="inlineStr">
        <is>
          <t>Foreign Spend</t>
        </is>
      </c>
      <c r="G4" s="7" t="inlineStr">
        <is>
          <t>Amount HKD</t>
        </is>
      </c>
      <c r="H4" s="7" t="inlineStr">
        <is>
          <t>Source Page</t>
        </is>
      </c>
      <c r="I4" s="7" t="inlineStr">
        <is>
          <t>Review</t>
        </is>
      </c>
    </row>
    <row r="5">
      <c r="A5" s="10" t="inlineStr">
        <is>
          <t>Amex Sep-2024</t>
        </is>
      </c>
      <c r="B5" s="11" t="n">
        <v>45529</v>
      </c>
      <c r="C5" s="10" t="inlineStr">
        <is>
          <t>AZABUDAIHILLS TOKYO</t>
        </is>
      </c>
      <c r="D5" s="10">
        <f>IFERROR(INDEX('Review Items'!$D:$D,MATCH(C5,'Review Items'!$B:$B,0)),IFERROR(INDEX('Rule Updates'!$B:$B,MATCH(C5,'Rule Updates'!$A:$A,0)),"Uncategorised"))</f>
        <v/>
      </c>
      <c r="E5" s="10">
        <f>IFERROR(INDEX('Review Items'!$E:$E,MATCH(C5,'Review Items'!$B:$B,0)),IFERROR(INDEX('Rule Updates'!$C:$C,MATCH(C5,'Rule Updates'!$A:$A,0)),"Review"))</f>
        <v/>
      </c>
      <c r="F5" s="12" t="n">
        <v>66340</v>
      </c>
      <c r="G5" s="12" t="n">
        <v>3640.51</v>
      </c>
      <c r="H5" s="10" t="n">
        <v>6</v>
      </c>
      <c r="I5" s="10">
        <f>IF(OR(D5="Uncategorised",E5=""),"Check","")</f>
        <v/>
      </c>
    </row>
    <row r="6">
      <c r="A6" s="10" t="inlineStr">
        <is>
          <t>Amex Sep-2024</t>
        </is>
      </c>
      <c r="B6" s="11" t="n">
        <v>45531</v>
      </c>
      <c r="C6" s="10" t="inlineStr">
        <is>
          <t>AMATHUS (Bath) Bath</t>
        </is>
      </c>
      <c r="D6" s="10">
        <f>IFERROR(INDEX('Review Items'!$D:$D,MATCH(C6,'Review Items'!$B:$B,0)),IFERROR(INDEX('Rule Updates'!$B:$B,MATCH(C6,'Rule Updates'!$A:$A,0)),"Uncategorised"))</f>
        <v/>
      </c>
      <c r="E6" s="10">
        <f>IFERROR(INDEX('Review Items'!$E:$E,MATCH(C6,'Review Items'!$B:$B,0)),IFERROR(INDEX('Rule Updates'!$C:$C,MATCH(C6,'Rule Updates'!$A:$A,0)),"Review"))</f>
        <v/>
      </c>
      <c r="F6" s="12" t="n">
        <v>64.7</v>
      </c>
      <c r="G6" s="12" t="n">
        <v>679.91</v>
      </c>
      <c r="H6" s="10" t="n">
        <v>1</v>
      </c>
      <c r="I6" s="10">
        <f>IF(OR(D6="Uncategorised",E6=""),"Check","")</f>
        <v/>
      </c>
    </row>
    <row r="7">
      <c r="A7" s="10" t="inlineStr">
        <is>
          <t>Amex Sep-2024</t>
        </is>
      </c>
      <c r="B7" s="11" t="n">
        <v>45531</v>
      </c>
      <c r="C7" s="10" t="inlineStr">
        <is>
          <t>Mr B's Emporium Bath</t>
        </is>
      </c>
      <c r="D7" s="10">
        <f>IFERROR(INDEX('Review Items'!$D:$D,MATCH(C7,'Review Items'!$B:$B,0)),IFERROR(INDEX('Rule Updates'!$B:$B,MATCH(C7,'Rule Updates'!$A:$A,0)),"Uncategorised"))</f>
        <v/>
      </c>
      <c r="E7" s="10">
        <f>IFERROR(INDEX('Review Items'!$E:$E,MATCH(C7,'Review Items'!$B:$B,0)),IFERROR(INDEX('Rule Updates'!$C:$C,MATCH(C7,'Rule Updates'!$A:$A,0)),"Review"))</f>
        <v/>
      </c>
      <c r="F7" s="12" t="n">
        <v>49.98</v>
      </c>
      <c r="G7" s="12" t="n">
        <v>525.22</v>
      </c>
      <c r="H7" s="10" t="n">
        <v>1</v>
      </c>
      <c r="I7" s="10">
        <f>IF(OR(D7="Uncategorised",E7=""),"Check","")</f>
        <v/>
      </c>
    </row>
    <row r="8">
      <c r="A8" s="10" t="inlineStr">
        <is>
          <t>Amex Sep-2024</t>
        </is>
      </c>
      <c r="B8" s="11" t="n">
        <v>45531</v>
      </c>
      <c r="C8" s="10" t="inlineStr">
        <is>
          <t>TOPPING &amp; COMPANY BOOKS Bathwick</t>
        </is>
      </c>
      <c r="D8" s="10">
        <f>IFERROR(INDEX('Review Items'!$D:$D,MATCH(C8,'Review Items'!$B:$B,0)),IFERROR(INDEX('Rule Updates'!$B:$B,MATCH(C8,'Rule Updates'!$A:$A,0)),"Uncategorised"))</f>
        <v/>
      </c>
      <c r="E8" s="10">
        <f>IFERROR(INDEX('Review Items'!$E:$E,MATCH(C8,'Review Items'!$B:$B,0)),IFERROR(INDEX('Rule Updates'!$C:$C,MATCH(C8,'Rule Updates'!$A:$A,0)),"Review"))</f>
        <v/>
      </c>
      <c r="F8" s="12" t="n">
        <v>26</v>
      </c>
      <c r="G8" s="12" t="n">
        <v>273.18</v>
      </c>
      <c r="H8" s="10" t="n">
        <v>1</v>
      </c>
      <c r="I8" s="10">
        <f>IF(OR(D8="Uncategorised",E8=""),"Check","")</f>
        <v/>
      </c>
    </row>
    <row r="9">
      <c r="A9" s="10" t="inlineStr">
        <is>
          <t>Amex Sep-2024</t>
        </is>
      </c>
      <c r="B9" s="11" t="n">
        <v>45531</v>
      </c>
      <c r="C9" s="10" t="inlineStr">
        <is>
          <t>TOPPING &amp; COMPANY BOOKS Bathwick</t>
        </is>
      </c>
      <c r="D9" s="10">
        <f>IFERROR(INDEX('Review Items'!$D:$D,MATCH(C9,'Review Items'!$B:$B,0)),IFERROR(INDEX('Rule Updates'!$B:$B,MATCH(C9,'Rule Updates'!$A:$A,0)),"Uncategorised"))</f>
        <v/>
      </c>
      <c r="E9" s="10">
        <f>IFERROR(INDEX('Review Items'!$E:$E,MATCH(C9,'Review Items'!$B:$B,0)),IFERROR(INDEX('Rule Updates'!$C:$C,MATCH(C9,'Rule Updates'!$A:$A,0)),"Review"))</f>
        <v/>
      </c>
      <c r="F9" s="12" t="n">
        <v>53.98</v>
      </c>
      <c r="G9" s="12" t="n">
        <v>567.22</v>
      </c>
      <c r="H9" s="10" t="n">
        <v>1</v>
      </c>
      <c r="I9" s="10">
        <f>IF(OR(D9="Uncategorised",E9=""),"Check","")</f>
        <v/>
      </c>
    </row>
    <row r="10">
      <c r="A10" s="10" t="inlineStr">
        <is>
          <t>Amex Sep-2024</t>
        </is>
      </c>
      <c r="B10" s="11" t="n">
        <v>45531</v>
      </c>
      <c r="C10" s="10" t="inlineStr">
        <is>
          <t>WH SMITH TRAVEL RETAIL HOUNSLOW</t>
        </is>
      </c>
      <c r="D10" s="10">
        <f>IFERROR(INDEX('Review Items'!$D:$D,MATCH(C10,'Review Items'!$B:$B,0)),IFERROR(INDEX('Rule Updates'!$B:$B,MATCH(C10,'Rule Updates'!$A:$A,0)),"Uncategorised"))</f>
        <v/>
      </c>
      <c r="E10" s="10">
        <f>IFERROR(INDEX('Review Items'!$E:$E,MATCH(C10,'Review Items'!$B:$B,0)),IFERROR(INDEX('Rule Updates'!$C:$C,MATCH(C10,'Rule Updates'!$A:$A,0)),"Review"))</f>
        <v/>
      </c>
      <c r="F10" s="12" t="n">
        <v>15.74</v>
      </c>
      <c r="G10" s="12" t="n">
        <v>165.42</v>
      </c>
      <c r="H10" s="10" t="n">
        <v>1</v>
      </c>
      <c r="I10" s="10">
        <f>IF(OR(D10="Uncategorised",E10=""),"Check","")</f>
        <v/>
      </c>
    </row>
    <row r="11">
      <c r="A11" s="10" t="inlineStr">
        <is>
          <t>Amex Sep-2024</t>
        </is>
      </c>
      <c r="B11" s="11" t="n">
        <v>45534</v>
      </c>
      <c r="C11" s="10" t="inlineStr">
        <is>
          <t>CLARINS LIMITED CENTRAL</t>
        </is>
      </c>
      <c r="D11" s="10">
        <f>IFERROR(INDEX('Review Items'!$D:$D,MATCH(C11,'Review Items'!$B:$B,0)),IFERROR(INDEX('Rule Updates'!$B:$B,MATCH(C11,'Rule Updates'!$A:$A,0)),"Uncategorised"))</f>
        <v/>
      </c>
      <c r="E11" s="10">
        <f>IFERROR(INDEX('Review Items'!$E:$E,MATCH(C11,'Review Items'!$B:$B,0)),IFERROR(INDEX('Rule Updates'!$C:$C,MATCH(C11,'Rule Updates'!$A:$A,0)),"Review"))</f>
        <v/>
      </c>
      <c r="F11" s="10" t="n"/>
      <c r="G11" s="12" t="n">
        <v>3541</v>
      </c>
      <c r="H11" s="10" t="n">
        <v>2</v>
      </c>
      <c r="I11" s="10">
        <f>IF(OR(D11="Uncategorised",E11=""),"Check","")</f>
        <v/>
      </c>
    </row>
    <row r="12">
      <c r="A12" s="10" t="inlineStr">
        <is>
          <t>Amex Sep-2024</t>
        </is>
      </c>
      <c r="B12" s="11" t="n">
        <v>45534</v>
      </c>
      <c r="C12" s="10" t="inlineStr">
        <is>
          <t>IL COLPO PACIFIC PLACE ADMIRALTY</t>
        </is>
      </c>
      <c r="D12" s="10">
        <f>IFERROR(INDEX('Review Items'!$D:$D,MATCH(C12,'Review Items'!$B:$B,0)),IFERROR(INDEX('Rule Updates'!$B:$B,MATCH(C12,'Rule Updates'!$A:$A,0)),"Uncategorised"))</f>
        <v/>
      </c>
      <c r="E12" s="10">
        <f>IFERROR(INDEX('Review Items'!$E:$E,MATCH(C12,'Review Items'!$B:$B,0)),IFERROR(INDEX('Rule Updates'!$C:$C,MATCH(C12,'Rule Updates'!$A:$A,0)),"Review"))</f>
        <v/>
      </c>
      <c r="F12" s="10" t="n"/>
      <c r="G12" s="12" t="n">
        <v>4680</v>
      </c>
      <c r="H12" s="10" t="n">
        <v>2</v>
      </c>
      <c r="I12" s="10">
        <f>IF(OR(D12="Uncategorised",E12=""),"Check","")</f>
        <v/>
      </c>
    </row>
    <row r="13">
      <c r="A13" s="10" t="inlineStr">
        <is>
          <t>Amex Sep-2024</t>
        </is>
      </c>
      <c r="B13" s="11" t="n">
        <v>45535</v>
      </c>
      <c r="C13" s="10" t="inlineStr">
        <is>
          <t>CITYSUPER STORE @ SOUTH WONG CHUK HANG</t>
        </is>
      </c>
      <c r="D13" s="10">
        <f>IFERROR(INDEX('Review Items'!$D:$D,MATCH(C13,'Review Items'!$B:$B,0)),IFERROR(INDEX('Rule Updates'!$B:$B,MATCH(C13,'Rule Updates'!$A:$A,0)),"Uncategorised"))</f>
        <v/>
      </c>
      <c r="E13" s="10">
        <f>IFERROR(INDEX('Review Items'!$E:$E,MATCH(C13,'Review Items'!$B:$B,0)),IFERROR(INDEX('Rule Updates'!$C:$C,MATCH(C13,'Rule Updates'!$A:$A,0)),"Review"))</f>
        <v/>
      </c>
      <c r="F13" s="10" t="n"/>
      <c r="G13" s="12" t="n">
        <v>1728.9</v>
      </c>
      <c r="H13" s="10" t="n">
        <v>2</v>
      </c>
      <c r="I13" s="10">
        <f>IF(OR(D13="Uncategorised",E13=""),"Check","")</f>
        <v/>
      </c>
    </row>
    <row r="14">
      <c r="A14" s="10" t="inlineStr">
        <is>
          <t>Amex Sep-2024</t>
        </is>
      </c>
      <c r="B14" s="11" t="n">
        <v>45536</v>
      </c>
      <c r="C14" s="10" t="inlineStr">
        <is>
          <t>AMAZON PRIME*RK2502SU0 AMZN.COM/BILL</t>
        </is>
      </c>
      <c r="D14" s="10">
        <f>IFERROR(INDEX('Review Items'!$D:$D,MATCH(C14,'Review Items'!$B:$B,0)),IFERROR(INDEX('Rule Updates'!$B:$B,MATCH(C14,'Rule Updates'!$A:$A,0)),"Uncategorised"))</f>
        <v/>
      </c>
      <c r="E14" s="10">
        <f>IFERROR(INDEX('Review Items'!$E:$E,MATCH(C14,'Review Items'!$B:$B,0)),IFERROR(INDEX('Rule Updates'!$C:$C,MATCH(C14,'Rule Updates'!$A:$A,0)),"Review"))</f>
        <v/>
      </c>
      <c r="F14" s="12" t="n">
        <v>14.99</v>
      </c>
      <c r="G14" s="12" t="n">
        <v>119.28</v>
      </c>
      <c r="H14" s="10" t="n">
        <v>2</v>
      </c>
      <c r="I14" s="10">
        <f>IF(OR(D14="Uncategorised",E14=""),"Check","")</f>
        <v/>
      </c>
    </row>
    <row r="15">
      <c r="A15" s="10" t="inlineStr">
        <is>
          <t>Amex Sep-2024</t>
        </is>
      </c>
      <c r="B15" s="11" t="n">
        <v>45536</v>
      </c>
      <c r="C15" s="10" t="inlineStr">
        <is>
          <t>CITYSUPER STORE @ AIRSI KOWLOON CITY</t>
        </is>
      </c>
      <c r="D15" s="10">
        <f>IFERROR(INDEX('Review Items'!$D:$D,MATCH(C15,'Review Items'!$B:$B,0)),IFERROR(INDEX('Rule Updates'!$B:$B,MATCH(C15,'Rule Updates'!$A:$A,0)),"Uncategorised"))</f>
        <v/>
      </c>
      <c r="E15" s="10">
        <f>IFERROR(INDEX('Review Items'!$E:$E,MATCH(C15,'Review Items'!$B:$B,0)),IFERROR(INDEX('Rule Updates'!$C:$C,MATCH(C15,'Rule Updates'!$A:$A,0)),"Review"))</f>
        <v/>
      </c>
      <c r="F15" s="10" t="n"/>
      <c r="G15" s="12" t="n">
        <v>413.3</v>
      </c>
      <c r="H15" s="10" t="n">
        <v>2</v>
      </c>
      <c r="I15" s="10">
        <f>IF(OR(D15="Uncategorised",E15=""),"Check","")</f>
        <v/>
      </c>
    </row>
    <row r="16">
      <c r="A16" s="10" t="inlineStr">
        <is>
          <t>Amex Sep-2024</t>
        </is>
      </c>
      <c r="B16" s="11" t="n">
        <v>45536</v>
      </c>
      <c r="C16" s="10" t="inlineStr">
        <is>
          <t>EIGHTH DAY SKINCA SANTA ANA</t>
        </is>
      </c>
      <c r="D16" s="10">
        <f>IFERROR(INDEX('Review Items'!$D:$D,MATCH(C16,'Review Items'!$B:$B,0)),IFERROR(INDEX('Rule Updates'!$B:$B,MATCH(C16,'Rule Updates'!$A:$A,0)),"Uncategorised"))</f>
        <v/>
      </c>
      <c r="E16" s="10">
        <f>IFERROR(INDEX('Review Items'!$E:$E,MATCH(C16,'Review Items'!$B:$B,0)),IFERROR(INDEX('Rule Updates'!$C:$C,MATCH(C16,'Rule Updates'!$A:$A,0)),"Review"))</f>
        <v/>
      </c>
      <c r="F16" s="12" t="n">
        <v>925.26</v>
      </c>
      <c r="G16" s="12" t="n">
        <v>7362.97</v>
      </c>
      <c r="H16" s="10" t="n">
        <v>2</v>
      </c>
      <c r="I16" s="10">
        <f>IF(OR(D16="Uncategorised",E16=""),"Check","")</f>
        <v/>
      </c>
    </row>
    <row r="17">
      <c r="A17" s="10" t="inlineStr">
        <is>
          <t>Amex Sep-2024</t>
        </is>
      </c>
      <c r="B17" s="11" t="n">
        <v>45536</v>
      </c>
      <c r="C17" s="10" t="inlineStr">
        <is>
          <t>EIGHTH DAY SKINCA SANTA ANA</t>
        </is>
      </c>
      <c r="D17" s="10">
        <f>IFERROR(INDEX('Review Items'!$D:$D,MATCH(C17,'Review Items'!$B:$B,0)),IFERROR(INDEX('Rule Updates'!$B:$B,MATCH(C17,'Rule Updates'!$A:$A,0)),"Uncategorised"))</f>
        <v/>
      </c>
      <c r="E17" s="10">
        <f>IFERROR(INDEX('Review Items'!$E:$E,MATCH(C17,'Review Items'!$B:$B,0)),IFERROR(INDEX('Rule Updates'!$C:$C,MATCH(C17,'Rule Updates'!$A:$A,0)),"Review"))</f>
        <v/>
      </c>
      <c r="F17" s="12" t="n">
        <v>728.17</v>
      </c>
      <c r="G17" s="12" t="n">
        <v>5794.57</v>
      </c>
      <c r="H17" s="10" t="n">
        <v>2</v>
      </c>
      <c r="I17" s="10">
        <f>IF(OR(D17="Uncategorised",E17=""),"Check","")</f>
        <v/>
      </c>
    </row>
    <row r="18">
      <c r="A18" s="10" t="inlineStr">
        <is>
          <t>Amex Sep-2024</t>
        </is>
      </c>
      <c r="B18" s="11" t="n">
        <v>45536</v>
      </c>
      <c r="C18" s="10" t="inlineStr">
        <is>
          <t>EIGHTH DAY SKINCA SANTA ANA</t>
        </is>
      </c>
      <c r="D18" s="10">
        <f>IFERROR(INDEX('Review Items'!$D:$D,MATCH(C18,'Review Items'!$B:$B,0)),IFERROR(INDEX('Rule Updates'!$B:$B,MATCH(C18,'Rule Updates'!$A:$A,0)),"Uncategorised"))</f>
        <v/>
      </c>
      <c r="E18" s="10">
        <f>IFERROR(INDEX('Review Items'!$E:$E,MATCH(C18,'Review Items'!$B:$B,0)),IFERROR(INDEX('Rule Updates'!$C:$C,MATCH(C18,'Rule Updates'!$A:$A,0)),"Review"))</f>
        <v/>
      </c>
      <c r="F18" s="12" t="n">
        <v>235.43</v>
      </c>
      <c r="G18" s="12" t="n">
        <v>1873.48</v>
      </c>
      <c r="H18" s="10" t="n">
        <v>2</v>
      </c>
      <c r="I18" s="10">
        <f>IF(OR(D18="Uncategorised",E18=""),"Check","")</f>
        <v/>
      </c>
    </row>
    <row r="19">
      <c r="A19" s="10" t="inlineStr">
        <is>
          <t>Amex Sep-2024</t>
        </is>
      </c>
      <c r="B19" s="11" t="n">
        <v>45536</v>
      </c>
      <c r="C19" s="10" t="inlineStr">
        <is>
          <t>LOOKOPTIC LOS ANGELES</t>
        </is>
      </c>
      <c r="D19" s="10">
        <f>IFERROR(INDEX('Review Items'!$D:$D,MATCH(C19,'Review Items'!$B:$B,0)),IFERROR(INDEX('Rule Updates'!$B:$B,MATCH(C19,'Rule Updates'!$A:$A,0)),"Uncategorised"))</f>
        <v/>
      </c>
      <c r="E19" s="10">
        <f>IFERROR(INDEX('Review Items'!$E:$E,MATCH(C19,'Review Items'!$B:$B,0)),IFERROR(INDEX('Rule Updates'!$C:$C,MATCH(C19,'Rule Updates'!$A:$A,0)),"Review"))</f>
        <v/>
      </c>
      <c r="F19" s="12" t="n">
        <v>126.48</v>
      </c>
      <c r="G19" s="12" t="n">
        <v>1006.49</v>
      </c>
      <c r="H19" s="10" t="n">
        <v>2</v>
      </c>
      <c r="I19" s="10">
        <f>IF(OR(D19="Uncategorised",E19=""),"Check","")</f>
        <v/>
      </c>
    </row>
    <row r="20">
      <c r="A20" s="10" t="inlineStr">
        <is>
          <t>Amex Sep-2024</t>
        </is>
      </c>
      <c r="B20" s="11" t="n">
        <v>45536</v>
      </c>
      <c r="C20" s="10" t="inlineStr">
        <is>
          <t>LOOKOPTIC LOS ANGELES</t>
        </is>
      </c>
      <c r="D20" s="10">
        <f>IFERROR(INDEX('Review Items'!$D:$D,MATCH(C20,'Review Items'!$B:$B,0)),IFERROR(INDEX('Rule Updates'!$B:$B,MATCH(C20,'Rule Updates'!$A:$A,0)),"Uncategorised"))</f>
        <v/>
      </c>
      <c r="E20" s="10">
        <f>IFERROR(INDEX('Review Items'!$E:$E,MATCH(C20,'Review Items'!$B:$B,0)),IFERROR(INDEX('Rule Updates'!$C:$C,MATCH(C20,'Rule Updates'!$A:$A,0)),"Review"))</f>
        <v/>
      </c>
      <c r="F20" s="12" t="n">
        <v>55.85</v>
      </c>
      <c r="G20" s="12" t="n">
        <v>444.43</v>
      </c>
      <c r="H20" s="10" t="n">
        <v>2</v>
      </c>
      <c r="I20" s="10">
        <f>IF(OR(D20="Uncategorised",E20=""),"Check","")</f>
        <v/>
      </c>
    </row>
    <row r="21">
      <c r="A21" s="10" t="inlineStr">
        <is>
          <t>Amex Sep-2024</t>
        </is>
      </c>
      <c r="B21" s="11" t="n">
        <v>45537</v>
      </c>
      <c r="C21" s="10" t="inlineStr">
        <is>
          <t>APPLE.COM/BILL CUPERTINO</t>
        </is>
      </c>
      <c r="D21" s="10">
        <f>IFERROR(INDEX('Review Items'!$D:$D,MATCH(C21,'Review Items'!$B:$B,0)),IFERROR(INDEX('Rule Updates'!$B:$B,MATCH(C21,'Rule Updates'!$A:$A,0)),"Uncategorised"))</f>
        <v/>
      </c>
      <c r="E21" s="10">
        <f>IFERROR(INDEX('Review Items'!$E:$E,MATCH(C21,'Review Items'!$B:$B,0)),IFERROR(INDEX('Rule Updates'!$C:$C,MATCH(C21,'Rule Updates'!$A:$A,0)),"Review"))</f>
        <v/>
      </c>
      <c r="F21" s="12" t="n">
        <v>11.99</v>
      </c>
      <c r="G21" s="12" t="n">
        <v>95.37</v>
      </c>
      <c r="H21" s="10" t="n">
        <v>2</v>
      </c>
      <c r="I21" s="10">
        <f>IF(OR(D21="Uncategorised",E21=""),"Check","")</f>
        <v/>
      </c>
    </row>
    <row r="22">
      <c r="A22" s="10" t="inlineStr">
        <is>
          <t>Amex Sep-2024</t>
        </is>
      </c>
      <c r="B22" s="11" t="n">
        <v>45538</v>
      </c>
      <c r="C22" s="10" t="inlineStr">
        <is>
          <t>AMAZON PRIME*7M54I5JM5 AMZN.CO.UK/PM</t>
        </is>
      </c>
      <c r="D22" s="10">
        <f>IFERROR(INDEX('Review Items'!$D:$D,MATCH(C22,'Review Items'!$B:$B,0)),IFERROR(INDEX('Rule Updates'!$B:$B,MATCH(C22,'Rule Updates'!$A:$A,0)),"Uncategorised"))</f>
        <v/>
      </c>
      <c r="E22" s="10">
        <f>IFERROR(INDEX('Review Items'!$E:$E,MATCH(C22,'Review Items'!$B:$B,0)),IFERROR(INDEX('Rule Updates'!$C:$C,MATCH(C22,'Rule Updates'!$A:$A,0)),"Review"))</f>
        <v/>
      </c>
      <c r="F22" s="12" t="n">
        <v>8.99</v>
      </c>
      <c r="G22" s="12" t="n">
        <v>94.09</v>
      </c>
      <c r="H22" s="10" t="n">
        <v>3</v>
      </c>
      <c r="I22" s="10">
        <f>IF(OR(D22="Uncategorised",E22=""),"Check","")</f>
        <v/>
      </c>
    </row>
    <row r="23">
      <c r="A23" s="10" t="inlineStr">
        <is>
          <t>Amex Sep-2024</t>
        </is>
      </c>
      <c r="B23" s="11" t="n">
        <v>45538</v>
      </c>
      <c r="C23" s="10" t="inlineStr">
        <is>
          <t>CITY'SUPER CENTRAL</t>
        </is>
      </c>
      <c r="D23" s="10">
        <f>IFERROR(INDEX('Review Items'!$D:$D,MATCH(C23,'Review Items'!$B:$B,0)),IFERROR(INDEX('Rule Updates'!$B:$B,MATCH(C23,'Rule Updates'!$A:$A,0)),"Uncategorised"))</f>
        <v/>
      </c>
      <c r="E23" s="10">
        <f>IFERROR(INDEX('Review Items'!$E:$E,MATCH(C23,'Review Items'!$B:$B,0)),IFERROR(INDEX('Rule Updates'!$C:$C,MATCH(C23,'Rule Updates'!$A:$A,0)),"Review"))</f>
        <v/>
      </c>
      <c r="F23" s="10" t="n"/>
      <c r="G23" s="12" t="n">
        <v>3308.2</v>
      </c>
      <c r="H23" s="10" t="n">
        <v>2</v>
      </c>
      <c r="I23" s="10">
        <f>IF(OR(D23="Uncategorised",E23=""),"Check","")</f>
        <v/>
      </c>
    </row>
    <row r="24">
      <c r="A24" s="10" t="inlineStr">
        <is>
          <t>Amex Sep-2024</t>
        </is>
      </c>
      <c r="B24" s="11" t="n">
        <v>45540</v>
      </c>
      <c r="C24" s="10" t="inlineStr">
        <is>
          <t>MINDNLIFE LIMITED SUITE 1202</t>
        </is>
      </c>
      <c r="D24" s="10">
        <f>IFERROR(INDEX('Review Items'!$D:$D,MATCH(C24,'Review Items'!$B:$B,0)),IFERROR(INDEX('Rule Updates'!$B:$B,MATCH(C24,'Rule Updates'!$A:$A,0)),"Uncategorised"))</f>
        <v/>
      </c>
      <c r="E24" s="10">
        <f>IFERROR(INDEX('Review Items'!$E:$E,MATCH(C24,'Review Items'!$B:$B,0)),IFERROR(INDEX('Rule Updates'!$C:$C,MATCH(C24,'Rule Updates'!$A:$A,0)),"Review"))</f>
        <v/>
      </c>
      <c r="F24" s="10" t="n"/>
      <c r="G24" s="12" t="n">
        <v>2400</v>
      </c>
      <c r="H24" s="10" t="n">
        <v>3</v>
      </c>
      <c r="I24" s="10">
        <f>IF(OR(D24="Uncategorised",E24=""),"Check","")</f>
        <v/>
      </c>
    </row>
    <row r="25">
      <c r="A25" s="10" t="inlineStr">
        <is>
          <t>Amex Sep-2024</t>
        </is>
      </c>
      <c r="B25" s="11" t="n">
        <v>45540</v>
      </c>
      <c r="C25" s="10" t="inlineStr">
        <is>
          <t>OUTDOOR VOICES AUSTIN</t>
        </is>
      </c>
      <c r="D25" s="10">
        <f>IFERROR(INDEX('Review Items'!$D:$D,MATCH(C25,'Review Items'!$B:$B,0)),IFERROR(INDEX('Rule Updates'!$B:$B,MATCH(C25,'Rule Updates'!$A:$A,0)),"Uncategorised"))</f>
        <v/>
      </c>
      <c r="E25" s="10">
        <f>IFERROR(INDEX('Review Items'!$E:$E,MATCH(C25,'Review Items'!$B:$B,0)),IFERROR(INDEX('Rule Updates'!$C:$C,MATCH(C25,'Rule Updates'!$A:$A,0)),"Review"))</f>
        <v/>
      </c>
      <c r="F25" s="12" t="n">
        <v>87.5</v>
      </c>
      <c r="G25" s="12" t="n">
        <v>695.83</v>
      </c>
      <c r="H25" s="10" t="n">
        <v>3</v>
      </c>
      <c r="I25" s="10">
        <f>IF(OR(D25="Uncategorised",E25=""),"Check","")</f>
        <v/>
      </c>
    </row>
    <row r="26">
      <c r="A26" s="10" t="inlineStr">
        <is>
          <t>Amex Sep-2024</t>
        </is>
      </c>
      <c r="B26" s="11" t="n">
        <v>45540</v>
      </c>
      <c r="C26" s="10" t="inlineStr">
        <is>
          <t>PAYMENT RECEIVED THROUGH AUTOPAY</t>
        </is>
      </c>
      <c r="D26" s="10">
        <f>IFERROR(INDEX('Review Items'!$D:$D,MATCH(C26,'Review Items'!$B:$B,0)),IFERROR(INDEX('Rule Updates'!$B:$B,MATCH(C26,'Rule Updates'!$A:$A,0)),"Uncategorised"))</f>
        <v/>
      </c>
      <c r="E26" s="10">
        <f>IFERROR(INDEX('Review Items'!$E:$E,MATCH(C26,'Review Items'!$B:$B,0)),IFERROR(INDEX('Rule Updates'!$C:$C,MATCH(C26,'Rule Updates'!$A:$A,0)),"Review"))</f>
        <v/>
      </c>
      <c r="F26" s="10" t="n"/>
      <c r="G26" s="12" t="n">
        <v>-238651.88</v>
      </c>
      <c r="H26" s="10" t="n">
        <v>1</v>
      </c>
      <c r="I26" s="10">
        <f>IF(OR(D26="Uncategorised",E26=""),"Check","")</f>
        <v/>
      </c>
    </row>
    <row r="27">
      <c r="A27" s="10" t="inlineStr">
        <is>
          <t>Amex Sep-2024</t>
        </is>
      </c>
      <c r="B27" s="11" t="n">
        <v>45541</v>
      </c>
      <c r="C27" s="10" t="inlineStr">
        <is>
          <t>ASIA MILES LIMITED HONG KONG</t>
        </is>
      </c>
      <c r="D27" s="10">
        <f>IFERROR(INDEX('Review Items'!$D:$D,MATCH(C27,'Review Items'!$B:$B,0)),IFERROR(INDEX('Rule Updates'!$B:$B,MATCH(C27,'Rule Updates'!$A:$A,0)),"Uncategorised"))</f>
        <v/>
      </c>
      <c r="E27" s="10">
        <f>IFERROR(INDEX('Review Items'!$E:$E,MATCH(C27,'Review Items'!$B:$B,0)),IFERROR(INDEX('Rule Updates'!$C:$C,MATCH(C27,'Rule Updates'!$A:$A,0)),"Review"))</f>
        <v/>
      </c>
      <c r="F27" s="10" t="n"/>
      <c r="G27" s="12" t="n">
        <v>-2733</v>
      </c>
      <c r="H27" s="10" t="n">
        <v>3</v>
      </c>
      <c r="I27" s="10">
        <f>IF(OR(D27="Uncategorised",E27=""),"Check","")</f>
        <v/>
      </c>
    </row>
    <row r="28">
      <c r="A28" s="10" t="inlineStr">
        <is>
          <t>Amex Sep-2024</t>
        </is>
      </c>
      <c r="B28" s="11" t="n">
        <v>45545</v>
      </c>
      <c r="C28" s="10" t="inlineStr">
        <is>
          <t>AMAZON PRIME*BV1JF4LD5 AMZN.CO.UK/PM</t>
        </is>
      </c>
      <c r="D28" s="10">
        <f>IFERROR(INDEX('Review Items'!$D:$D,MATCH(C28,'Review Items'!$B:$B,0)),IFERROR(INDEX('Rule Updates'!$B:$B,MATCH(C28,'Rule Updates'!$A:$A,0)),"Uncategorised"))</f>
        <v/>
      </c>
      <c r="E28" s="10">
        <f>IFERROR(INDEX('Review Items'!$E:$E,MATCH(C28,'Review Items'!$B:$B,0)),IFERROR(INDEX('Rule Updates'!$C:$C,MATCH(C28,'Rule Updates'!$A:$A,0)),"Review"))</f>
        <v/>
      </c>
      <c r="F28" s="12" t="n">
        <v>8.99</v>
      </c>
      <c r="G28" s="12" t="n">
        <v>93.75</v>
      </c>
      <c r="H28" s="10" t="n">
        <v>3</v>
      </c>
      <c r="I28" s="10">
        <f>IF(OR(D28="Uncategorised",E28=""),"Check","")</f>
        <v/>
      </c>
    </row>
    <row r="29">
      <c r="A29" s="10" t="inlineStr">
        <is>
          <t>Amex Sep-2024</t>
        </is>
      </c>
      <c r="B29" s="11" t="n">
        <v>45545</v>
      </c>
      <c r="C29" s="10" t="inlineStr">
        <is>
          <t>SILVERSEA LONDON</t>
        </is>
      </c>
      <c r="D29" s="10">
        <f>IFERROR(INDEX('Review Items'!$D:$D,MATCH(C29,'Review Items'!$B:$B,0)),IFERROR(INDEX('Rule Updates'!$B:$B,MATCH(C29,'Rule Updates'!$A:$A,0)),"Uncategorised"))</f>
        <v/>
      </c>
      <c r="E29" s="10">
        <f>IFERROR(INDEX('Review Items'!$E:$E,MATCH(C29,'Review Items'!$B:$B,0)),IFERROR(INDEX('Rule Updates'!$C:$C,MATCH(C29,'Rule Updates'!$A:$A,0)),"Review"))</f>
        <v/>
      </c>
      <c r="F29" s="12" t="n">
        <v>30250</v>
      </c>
      <c r="G29" s="12" t="n">
        <v>240598.03</v>
      </c>
      <c r="H29" s="10" t="n">
        <v>3</v>
      </c>
      <c r="I29" s="10">
        <f>IF(OR(D29="Uncategorised",E29=""),"Check","")</f>
        <v/>
      </c>
    </row>
    <row r="30">
      <c r="A30" s="10" t="inlineStr">
        <is>
          <t>Amex Sep-2024</t>
        </is>
      </c>
      <c r="B30" s="11" t="n">
        <v>45545</v>
      </c>
      <c r="C30" s="10" t="inlineStr">
        <is>
          <t>SILVERSEA LONDON</t>
        </is>
      </c>
      <c r="D30" s="10">
        <f>IFERROR(INDEX('Review Items'!$D:$D,MATCH(C30,'Review Items'!$B:$B,0)),IFERROR(INDEX('Rule Updates'!$B:$B,MATCH(C30,'Rule Updates'!$A:$A,0)),"Uncategorised"))</f>
        <v/>
      </c>
      <c r="E30" s="10">
        <f>IFERROR(INDEX('Review Items'!$E:$E,MATCH(C30,'Review Items'!$B:$B,0)),IFERROR(INDEX('Rule Updates'!$C:$C,MATCH(C30,'Rule Updates'!$A:$A,0)),"Review"))</f>
        <v/>
      </c>
      <c r="F30" s="12" t="n">
        <v>24550</v>
      </c>
      <c r="G30" s="12" t="n">
        <v>195262.21</v>
      </c>
      <c r="H30" s="10" t="n">
        <v>3</v>
      </c>
      <c r="I30" s="10">
        <f>IF(OR(D30="Uncategorised",E30=""),"Check","")</f>
        <v/>
      </c>
    </row>
    <row r="31">
      <c r="A31" s="10" t="inlineStr">
        <is>
          <t>Amex Sep-2024</t>
        </is>
      </c>
      <c r="B31" s="11" t="n">
        <v>45545</v>
      </c>
      <c r="C31" s="10" t="inlineStr">
        <is>
          <t>SILVERSEA LONDON</t>
        </is>
      </c>
      <c r="D31" s="10">
        <f>IFERROR(INDEX('Review Items'!$D:$D,MATCH(C31,'Review Items'!$B:$B,0)),IFERROR(INDEX('Rule Updates'!$B:$B,MATCH(C31,'Rule Updates'!$A:$A,0)),"Uncategorised"))</f>
        <v/>
      </c>
      <c r="E31" s="10">
        <f>IFERROR(INDEX('Review Items'!$E:$E,MATCH(C31,'Review Items'!$B:$B,0)),IFERROR(INDEX('Rule Updates'!$C:$C,MATCH(C31,'Rule Updates'!$A:$A,0)),"Review"))</f>
        <v/>
      </c>
      <c r="F31" s="12" t="n">
        <v>26050</v>
      </c>
      <c r="G31" s="12" t="n">
        <v>207192.69</v>
      </c>
      <c r="H31" s="10" t="n">
        <v>3</v>
      </c>
      <c r="I31" s="10">
        <f>IF(OR(D31="Uncategorised",E31=""),"Check","")</f>
        <v/>
      </c>
    </row>
    <row r="32">
      <c r="A32" s="10" t="inlineStr">
        <is>
          <t>Amex Sep-2024</t>
        </is>
      </c>
      <c r="B32" s="11" t="n">
        <v>45545</v>
      </c>
      <c r="C32" s="10" t="inlineStr">
        <is>
          <t>SILVERSEA LONDON</t>
        </is>
      </c>
      <c r="D32" s="10">
        <f>IFERROR(INDEX('Review Items'!$D:$D,MATCH(C32,'Review Items'!$B:$B,0)),IFERROR(INDEX('Rule Updates'!$B:$B,MATCH(C32,'Rule Updates'!$A:$A,0)),"Uncategorised"))</f>
        <v/>
      </c>
      <c r="E32" s="10">
        <f>IFERROR(INDEX('Review Items'!$E:$E,MATCH(C32,'Review Items'!$B:$B,0)),IFERROR(INDEX('Rule Updates'!$C:$C,MATCH(C32,'Rule Updates'!$A:$A,0)),"Review"))</f>
        <v/>
      </c>
      <c r="F32" s="12" t="n">
        <v>26000</v>
      </c>
      <c r="G32" s="12" t="n">
        <v>206795</v>
      </c>
      <c r="H32" s="10" t="n">
        <v>3</v>
      </c>
      <c r="I32" s="10">
        <f>IF(OR(D32="Uncategorised",E32=""),"Check","")</f>
        <v/>
      </c>
    </row>
    <row r="33">
      <c r="A33" s="10" t="inlineStr">
        <is>
          <t>Amex Sep-2024</t>
        </is>
      </c>
      <c r="B33" s="11" t="n">
        <v>45545</v>
      </c>
      <c r="C33" s="10" t="inlineStr">
        <is>
          <t>SILVERSEA LONDON</t>
        </is>
      </c>
      <c r="D33" s="10">
        <f>IFERROR(INDEX('Review Items'!$D:$D,MATCH(C33,'Review Items'!$B:$B,0)),IFERROR(INDEX('Rule Updates'!$B:$B,MATCH(C33,'Rule Updates'!$A:$A,0)),"Uncategorised"))</f>
        <v/>
      </c>
      <c r="E33" s="10">
        <f>IFERROR(INDEX('Review Items'!$E:$E,MATCH(C33,'Review Items'!$B:$B,0)),IFERROR(INDEX('Rule Updates'!$C:$C,MATCH(C33,'Rule Updates'!$A:$A,0)),"Review"))</f>
        <v/>
      </c>
      <c r="F33" s="12" t="n">
        <v>14290</v>
      </c>
      <c r="G33" s="12" t="n">
        <v>113657.71</v>
      </c>
      <c r="H33" s="10" t="n">
        <v>3</v>
      </c>
      <c r="I33" s="10">
        <f>IF(OR(D33="Uncategorised",E33=""),"Check","")</f>
        <v/>
      </c>
    </row>
    <row r="34">
      <c r="A34" s="10" t="inlineStr">
        <is>
          <t>Amex Sep-2024</t>
        </is>
      </c>
      <c r="B34" s="11" t="n">
        <v>45545</v>
      </c>
      <c r="C34" s="10" t="inlineStr">
        <is>
          <t>SILVERSEA LONDON</t>
        </is>
      </c>
      <c r="D34" s="10">
        <f>IFERROR(INDEX('Review Items'!$D:$D,MATCH(C34,'Review Items'!$B:$B,0)),IFERROR(INDEX('Rule Updates'!$B:$B,MATCH(C34,'Rule Updates'!$A:$A,0)),"Uncategorised"))</f>
        <v/>
      </c>
      <c r="E34" s="10">
        <f>IFERROR(INDEX('Review Items'!$E:$E,MATCH(C34,'Review Items'!$B:$B,0)),IFERROR(INDEX('Rule Updates'!$C:$C,MATCH(C34,'Rule Updates'!$A:$A,0)),"Review"))</f>
        <v/>
      </c>
      <c r="F34" s="12" t="n">
        <v>26050</v>
      </c>
      <c r="G34" s="12" t="n">
        <v>207192.69</v>
      </c>
      <c r="H34" s="10" t="n">
        <v>3</v>
      </c>
      <c r="I34" s="10">
        <f>IF(OR(D34="Uncategorised",E34=""),"Check","")</f>
        <v/>
      </c>
    </row>
    <row r="35">
      <c r="A35" s="10" t="inlineStr">
        <is>
          <t>Amex Sep-2024</t>
        </is>
      </c>
      <c r="B35" s="11" t="n">
        <v>45545</v>
      </c>
      <c r="C35" s="10" t="inlineStr">
        <is>
          <t>SILVERSEA LONDON</t>
        </is>
      </c>
      <c r="D35" s="10">
        <f>IFERROR(INDEX('Review Items'!$D:$D,MATCH(C35,'Review Items'!$B:$B,0)),IFERROR(INDEX('Rule Updates'!$B:$B,MATCH(C35,'Rule Updates'!$A:$A,0)),"Uncategorised"))</f>
        <v/>
      </c>
      <c r="E35" s="10">
        <f>IFERROR(INDEX('Review Items'!$E:$E,MATCH(C35,'Review Items'!$B:$B,0)),IFERROR(INDEX('Rule Updates'!$C:$C,MATCH(C35,'Rule Updates'!$A:$A,0)),"Review"))</f>
        <v/>
      </c>
      <c r="F35" s="12" t="n">
        <v>2112</v>
      </c>
      <c r="G35" s="12" t="n">
        <v>16798.11</v>
      </c>
      <c r="H35" s="10" t="n">
        <v>3</v>
      </c>
      <c r="I35" s="10">
        <f>IF(OR(D35="Uncategorised",E35=""),"Check","")</f>
        <v/>
      </c>
    </row>
    <row r="36">
      <c r="A36" s="10" t="inlineStr">
        <is>
          <t>Amex Sep-2024</t>
        </is>
      </c>
      <c r="B36" s="11" t="n">
        <v>45545</v>
      </c>
      <c r="C36" s="10" t="inlineStr">
        <is>
          <t>SILVERSEA LONDON</t>
        </is>
      </c>
      <c r="D36" s="10">
        <f>IFERROR(INDEX('Review Items'!$D:$D,MATCH(C36,'Review Items'!$B:$B,0)),IFERROR(INDEX('Rule Updates'!$B:$B,MATCH(C36,'Rule Updates'!$A:$A,0)),"Uncategorised"))</f>
        <v/>
      </c>
      <c r="E36" s="10">
        <f>IFERROR(INDEX('Review Items'!$E:$E,MATCH(C36,'Review Items'!$B:$B,0)),IFERROR(INDEX('Rule Updates'!$C:$C,MATCH(C36,'Rule Updates'!$A:$A,0)),"Review"))</f>
        <v/>
      </c>
      <c r="F36" s="12" t="n">
        <v>11968</v>
      </c>
      <c r="G36" s="12" t="n">
        <v>95189.32000000001</v>
      </c>
      <c r="H36" s="10" t="n">
        <v>3</v>
      </c>
      <c r="I36" s="10">
        <f>IF(OR(D36="Uncategorised",E36=""),"Check","")</f>
        <v/>
      </c>
    </row>
    <row r="37">
      <c r="A37" s="10" t="inlineStr">
        <is>
          <t>Amex Sep-2024</t>
        </is>
      </c>
      <c r="B37" s="11" t="n">
        <v>45546</v>
      </c>
      <c r="C37" s="10" t="inlineStr">
        <is>
          <t>BAR LEONE SHEUNG WAN</t>
        </is>
      </c>
      <c r="D37" s="10">
        <f>IFERROR(INDEX('Review Items'!$D:$D,MATCH(C37,'Review Items'!$B:$B,0)),IFERROR(INDEX('Rule Updates'!$B:$B,MATCH(C37,'Rule Updates'!$A:$A,0)),"Uncategorised"))</f>
        <v/>
      </c>
      <c r="E37" s="10">
        <f>IFERROR(INDEX('Review Items'!$E:$E,MATCH(C37,'Review Items'!$B:$B,0)),IFERROR(INDEX('Rule Updates'!$C:$C,MATCH(C37,'Rule Updates'!$A:$A,0)),"Review"))</f>
        <v/>
      </c>
      <c r="F37" s="10" t="n"/>
      <c r="G37" s="12" t="n">
        <v>2963</v>
      </c>
      <c r="H37" s="10" t="n">
        <v>3</v>
      </c>
      <c r="I37" s="10">
        <f>IF(OR(D37="Uncategorised",E37=""),"Check","")</f>
        <v/>
      </c>
    </row>
    <row r="38">
      <c r="A38" s="10" t="inlineStr">
        <is>
          <t>Amex Sep-2024</t>
        </is>
      </c>
      <c r="B38" s="11" t="n">
        <v>45546</v>
      </c>
      <c r="C38" s="10" t="inlineStr">
        <is>
          <t>GARMIN (EUROPE) LIMITED SOUTHAMPTON</t>
        </is>
      </c>
      <c r="D38" s="10">
        <f>IFERROR(INDEX('Review Items'!$D:$D,MATCH(C38,'Review Items'!$B:$B,0)),IFERROR(INDEX('Rule Updates'!$B:$B,MATCH(C38,'Rule Updates'!$A:$A,0)),"Uncategorised"))</f>
        <v/>
      </c>
      <c r="E38" s="10">
        <f>IFERROR(INDEX('Review Items'!$E:$E,MATCH(C38,'Review Items'!$B:$B,0)),IFERROR(INDEX('Rule Updates'!$C:$C,MATCH(C38,'Rule Updates'!$A:$A,0)),"Review"))</f>
        <v/>
      </c>
      <c r="F38" s="12" t="n">
        <v>9.99</v>
      </c>
      <c r="G38" s="12" t="n">
        <v>79.45</v>
      </c>
      <c r="H38" s="10" t="n">
        <v>3</v>
      </c>
      <c r="I38" s="10">
        <f>IF(OR(D38="Uncategorised",E38=""),"Check","")</f>
        <v/>
      </c>
    </row>
    <row r="39">
      <c r="A39" s="10" t="inlineStr">
        <is>
          <t>Amex Sep-2024</t>
        </is>
      </c>
      <c r="B39" s="11" t="n">
        <v>45546</v>
      </c>
      <c r="C39" s="10" t="inlineStr">
        <is>
          <t>KITH Cafe ASCOTT ORCHAR SINGAPORE</t>
        </is>
      </c>
      <c r="D39" s="10">
        <f>IFERROR(INDEX('Review Items'!$D:$D,MATCH(C39,'Review Items'!$B:$B,0)),IFERROR(INDEX('Rule Updates'!$B:$B,MATCH(C39,'Rule Updates'!$A:$A,0)),"Uncategorised"))</f>
        <v/>
      </c>
      <c r="E39" s="10">
        <f>IFERROR(INDEX('Review Items'!$E:$E,MATCH(C39,'Review Items'!$B:$B,0)),IFERROR(INDEX('Rule Updates'!$C:$C,MATCH(C39,'Rule Updates'!$A:$A,0)),"Review"))</f>
        <v/>
      </c>
      <c r="F39" s="12" t="n">
        <v>22.13</v>
      </c>
      <c r="G39" s="12" t="n">
        <v>134.96</v>
      </c>
      <c r="H39" s="10" t="n">
        <v>6</v>
      </c>
      <c r="I39" s="10">
        <f>IF(OR(D39="Uncategorised",E39=""),"Check","")</f>
        <v/>
      </c>
    </row>
    <row r="40">
      <c r="A40" s="10" t="inlineStr">
        <is>
          <t>Amex Sep-2024</t>
        </is>
      </c>
      <c r="B40" s="11" t="n">
        <v>45546</v>
      </c>
      <c r="C40" s="10" t="inlineStr">
        <is>
          <t>KITH Cafe ASCOTT ORCHAR SINGAPORE</t>
        </is>
      </c>
      <c r="D40" s="10">
        <f>IFERROR(INDEX('Review Items'!$D:$D,MATCH(C40,'Review Items'!$B:$B,0)),IFERROR(INDEX('Rule Updates'!$B:$B,MATCH(C40,'Rule Updates'!$A:$A,0)),"Uncategorised"))</f>
        <v/>
      </c>
      <c r="E40" s="10">
        <f>IFERROR(INDEX('Review Items'!$E:$E,MATCH(C40,'Review Items'!$B:$B,0)),IFERROR(INDEX('Rule Updates'!$C:$C,MATCH(C40,'Rule Updates'!$A:$A,0)),"Review"))</f>
        <v/>
      </c>
      <c r="F40" s="12" t="n">
        <v>7.14</v>
      </c>
      <c r="G40" s="12" t="n">
        <v>43.58</v>
      </c>
      <c r="H40" s="10" t="n">
        <v>6</v>
      </c>
      <c r="I40" s="10">
        <f>IF(OR(D40="Uncategorised",E40=""),"Check","")</f>
        <v/>
      </c>
    </row>
    <row r="41">
      <c r="A41" s="10" t="inlineStr">
        <is>
          <t>Amex Sep-2024</t>
        </is>
      </c>
      <c r="B41" s="11" t="n">
        <v>45546</v>
      </c>
      <c r="C41" s="10" t="inlineStr">
        <is>
          <t>KPAY*MOMOGAWANOU 000000 HONG KONG</t>
        </is>
      </c>
      <c r="D41" s="10">
        <f>IFERROR(INDEX('Review Items'!$D:$D,MATCH(C41,'Review Items'!$B:$B,0)),IFERROR(INDEX('Rule Updates'!$B:$B,MATCH(C41,'Rule Updates'!$A:$A,0)),"Uncategorised"))</f>
        <v/>
      </c>
      <c r="E41" s="10">
        <f>IFERROR(INDEX('Review Items'!$E:$E,MATCH(C41,'Review Items'!$B:$B,0)),IFERROR(INDEX('Rule Updates'!$C:$C,MATCH(C41,'Rule Updates'!$A:$A,0)),"Review"))</f>
        <v/>
      </c>
      <c r="F41" s="10" t="n"/>
      <c r="G41" s="12" t="n">
        <v>3340</v>
      </c>
      <c r="H41" s="10" t="n">
        <v>4</v>
      </c>
      <c r="I41" s="10">
        <f>IF(OR(D41="Uncategorised",E41=""),"Check","")</f>
        <v/>
      </c>
    </row>
    <row r="42">
      <c r="A42" s="10" t="inlineStr">
        <is>
          <t>Amex Sep-2024</t>
        </is>
      </c>
      <c r="B42" s="11" t="n">
        <v>45546</v>
      </c>
      <c r="C42" s="10" t="inlineStr">
        <is>
          <t>SOLACE LONDON LONDON</t>
        </is>
      </c>
      <c r="D42" s="10">
        <f>IFERROR(INDEX('Review Items'!$D:$D,MATCH(C42,'Review Items'!$B:$B,0)),IFERROR(INDEX('Rule Updates'!$B:$B,MATCH(C42,'Rule Updates'!$A:$A,0)),"Uncategorised"))</f>
        <v/>
      </c>
      <c r="E42" s="10">
        <f>IFERROR(INDEX('Review Items'!$E:$E,MATCH(C42,'Review Items'!$B:$B,0)),IFERROR(INDEX('Rule Updates'!$C:$C,MATCH(C42,'Rule Updates'!$A:$A,0)),"Review"))</f>
        <v/>
      </c>
      <c r="F42" s="12" t="n">
        <v>645</v>
      </c>
      <c r="G42" s="12" t="n">
        <v>6725.57</v>
      </c>
      <c r="H42" s="10" t="n">
        <v>3</v>
      </c>
      <c r="I42" s="10">
        <f>IF(OR(D42="Uncategorised",E42=""),"Check","")</f>
        <v/>
      </c>
    </row>
    <row r="43">
      <c r="A43" s="10" t="inlineStr">
        <is>
          <t>Amex Sep-2024</t>
        </is>
      </c>
      <c r="B43" s="11" t="n">
        <v>45546</v>
      </c>
      <c r="C43" s="10" t="inlineStr">
        <is>
          <t>UNIQLO HONG KONG LIMITE TSIM SHA TSUI</t>
        </is>
      </c>
      <c r="D43" s="10">
        <f>IFERROR(INDEX('Review Items'!$D:$D,MATCH(C43,'Review Items'!$B:$B,0)),IFERROR(INDEX('Rule Updates'!$B:$B,MATCH(C43,'Rule Updates'!$A:$A,0)),"Uncategorised"))</f>
        <v/>
      </c>
      <c r="E43" s="10">
        <f>IFERROR(INDEX('Review Items'!$E:$E,MATCH(C43,'Review Items'!$B:$B,0)),IFERROR(INDEX('Rule Updates'!$C:$C,MATCH(C43,'Rule Updates'!$A:$A,0)),"Review"))</f>
        <v/>
      </c>
      <c r="F43" s="10" t="n"/>
      <c r="G43" s="12" t="n">
        <v>229</v>
      </c>
      <c r="H43" s="10" t="n">
        <v>3</v>
      </c>
      <c r="I43" s="10">
        <f>IF(OR(D43="Uncategorised",E43=""),"Check","")</f>
        <v/>
      </c>
    </row>
    <row r="44">
      <c r="A44" s="10" t="inlineStr">
        <is>
          <t>Amex Sep-2024</t>
        </is>
      </c>
      <c r="B44" s="11" t="n">
        <v>45547</v>
      </c>
      <c r="C44" s="10" t="inlineStr">
        <is>
          <t>FARFETCH LONDON</t>
        </is>
      </c>
      <c r="D44" s="10">
        <f>IFERROR(INDEX('Review Items'!$D:$D,MATCH(C44,'Review Items'!$B:$B,0)),IFERROR(INDEX('Rule Updates'!$B:$B,MATCH(C44,'Rule Updates'!$A:$A,0)),"Uncategorised"))</f>
        <v/>
      </c>
      <c r="E44" s="10">
        <f>IFERROR(INDEX('Review Items'!$E:$E,MATCH(C44,'Review Items'!$B:$B,0)),IFERROR(INDEX('Rule Updates'!$C:$C,MATCH(C44,'Rule Updates'!$A:$A,0)),"Review"))</f>
        <v/>
      </c>
      <c r="F44" s="10" t="n"/>
      <c r="G44" s="12" t="n">
        <v>25033</v>
      </c>
      <c r="H44" s="10" t="n">
        <v>4</v>
      </c>
      <c r="I44" s="10">
        <f>IF(OR(D44="Uncategorised",E44=""),"Check","")</f>
        <v/>
      </c>
    </row>
    <row r="45">
      <c r="A45" s="10" t="inlineStr">
        <is>
          <t>Amex Sep-2024</t>
        </is>
      </c>
      <c r="B45" s="11" t="n">
        <v>45547</v>
      </c>
      <c r="C45" s="10" t="inlineStr">
        <is>
          <t>SHIMBASHI SOBA - PARAGO SINGAPORE</t>
        </is>
      </c>
      <c r="D45" s="10">
        <f>IFERROR(INDEX('Review Items'!$D:$D,MATCH(C45,'Review Items'!$B:$B,0)),IFERROR(INDEX('Rule Updates'!$B:$B,MATCH(C45,'Rule Updates'!$A:$A,0)),"Uncategorised"))</f>
        <v/>
      </c>
      <c r="E45" s="10">
        <f>IFERROR(INDEX('Review Items'!$E:$E,MATCH(C45,'Review Items'!$B:$B,0)),IFERROR(INDEX('Rule Updates'!$C:$C,MATCH(C45,'Rule Updates'!$A:$A,0)),"Review"))</f>
        <v/>
      </c>
      <c r="F45" s="12" t="n">
        <v>120.26</v>
      </c>
      <c r="G45" s="12" t="n">
        <v>735.4400000000001</v>
      </c>
      <c r="H45" s="10" t="n">
        <v>4</v>
      </c>
      <c r="I45" s="10">
        <f>IF(OR(D45="Uncategorised",E45=""),"Check","")</f>
        <v/>
      </c>
    </row>
    <row r="46">
      <c r="A46" s="10" t="inlineStr">
        <is>
          <t>Amex Sep-2024</t>
        </is>
      </c>
      <c r="B46" s="11" t="n">
        <v>45547</v>
      </c>
      <c r="C46" s="10" t="inlineStr">
        <is>
          <t>THE DAIRY FARM - MANNIN LANTAU</t>
        </is>
      </c>
      <c r="D46" s="10">
        <f>IFERROR(INDEX('Review Items'!$D:$D,MATCH(C46,'Review Items'!$B:$B,0)),IFERROR(INDEX('Rule Updates'!$B:$B,MATCH(C46,'Rule Updates'!$A:$A,0)),"Uncategorised"))</f>
        <v/>
      </c>
      <c r="E46" s="10">
        <f>IFERROR(INDEX('Review Items'!$E:$E,MATCH(C46,'Review Items'!$B:$B,0)),IFERROR(INDEX('Rule Updates'!$C:$C,MATCH(C46,'Rule Updates'!$A:$A,0)),"Review"))</f>
        <v/>
      </c>
      <c r="F46" s="10" t="n"/>
      <c r="G46" s="12" t="n">
        <v>549</v>
      </c>
      <c r="H46" s="10" t="n">
        <v>4</v>
      </c>
      <c r="I46" s="10">
        <f>IF(OR(D46="Uncategorised",E46=""),"Check","")</f>
        <v/>
      </c>
    </row>
    <row r="47">
      <c r="A47" s="10" t="inlineStr">
        <is>
          <t>Amex Sep-2024</t>
        </is>
      </c>
      <c r="B47" s="11" t="n">
        <v>45548</v>
      </c>
      <c r="C47" s="10" t="inlineStr">
        <is>
          <t>APPLE.COM/BILL CUPERTINO</t>
        </is>
      </c>
      <c r="D47" s="10">
        <f>IFERROR(INDEX('Review Items'!$D:$D,MATCH(C47,'Review Items'!$B:$B,0)),IFERROR(INDEX('Rule Updates'!$B:$B,MATCH(C47,'Rule Updates'!$A:$A,0)),"Uncategorised"))</f>
        <v/>
      </c>
      <c r="E47" s="10">
        <f>IFERROR(INDEX('Review Items'!$E:$E,MATCH(C47,'Review Items'!$B:$B,0)),IFERROR(INDEX('Rule Updates'!$C:$C,MATCH(C47,'Rule Updates'!$A:$A,0)),"Review"))</f>
        <v/>
      </c>
      <c r="F47" s="12" t="n">
        <v>11.99</v>
      </c>
      <c r="G47" s="12" t="n">
        <v>95.44</v>
      </c>
      <c r="H47" s="10" t="n">
        <v>4</v>
      </c>
      <c r="I47" s="10">
        <f>IF(OR(D47="Uncategorised",E47=""),"Check","")</f>
        <v/>
      </c>
    </row>
    <row r="48">
      <c r="A48" s="10" t="inlineStr">
        <is>
          <t>Amex Sep-2024</t>
        </is>
      </c>
      <c r="B48" s="11" t="n">
        <v>45548</v>
      </c>
      <c r="C48" s="10" t="inlineStr">
        <is>
          <t>APPLE.COM/BILL CUPERTINO</t>
        </is>
      </c>
      <c r="D48" s="10">
        <f>IFERROR(INDEX('Review Items'!$D:$D,MATCH(C48,'Review Items'!$B:$B,0)),IFERROR(INDEX('Rule Updates'!$B:$B,MATCH(C48,'Rule Updates'!$A:$A,0)),"Uncategorised"))</f>
        <v/>
      </c>
      <c r="E48" s="10">
        <f>IFERROR(INDEX('Review Items'!$E:$E,MATCH(C48,'Review Items'!$B:$B,0)),IFERROR(INDEX('Rule Updates'!$C:$C,MATCH(C48,'Rule Updates'!$A:$A,0)),"Review"))</f>
        <v/>
      </c>
      <c r="F48" s="12" t="n">
        <v>37.95</v>
      </c>
      <c r="G48" s="12" t="n">
        <v>302.07</v>
      </c>
      <c r="H48" s="10" t="n">
        <v>4</v>
      </c>
      <c r="I48" s="10">
        <f>IF(OR(D48="Uncategorised",E48=""),"Check","")</f>
        <v/>
      </c>
    </row>
    <row r="49">
      <c r="A49" s="10" t="inlineStr">
        <is>
          <t>Amex Sep-2024</t>
        </is>
      </c>
      <c r="B49" s="11" t="n">
        <v>45548</v>
      </c>
      <c r="C49" s="10" t="inlineStr">
        <is>
          <t>COLD STORAGE FRESH KIM SINGAPORE</t>
        </is>
      </c>
      <c r="D49" s="10">
        <f>IFERROR(INDEX('Review Items'!$D:$D,MATCH(C49,'Review Items'!$B:$B,0)),IFERROR(INDEX('Rule Updates'!$B:$B,MATCH(C49,'Rule Updates'!$A:$A,0)),"Uncategorised"))</f>
        <v/>
      </c>
      <c r="E49" s="10">
        <f>IFERROR(INDEX('Review Items'!$E:$E,MATCH(C49,'Review Items'!$B:$B,0)),IFERROR(INDEX('Rule Updates'!$C:$C,MATCH(C49,'Rule Updates'!$A:$A,0)),"Review"))</f>
        <v/>
      </c>
      <c r="F49" s="12" t="n">
        <v>2.45</v>
      </c>
      <c r="G49" s="12" t="n">
        <v>14.96</v>
      </c>
      <c r="H49" s="10" t="n">
        <v>4</v>
      </c>
      <c r="I49" s="10">
        <f>IF(OR(D49="Uncategorised",E49=""),"Check","")</f>
        <v/>
      </c>
    </row>
    <row r="50">
      <c r="A50" s="10" t="inlineStr">
        <is>
          <t>Amex Sep-2024</t>
        </is>
      </c>
      <c r="B50" s="11" t="n">
        <v>45548</v>
      </c>
      <c r="C50" s="10" t="inlineStr">
        <is>
          <t>GRAB*A-6T3KP6GWWFFO SINGAPORE</t>
        </is>
      </c>
      <c r="D50" s="10">
        <f>IFERROR(INDEX('Review Items'!$D:$D,MATCH(C50,'Review Items'!$B:$B,0)),IFERROR(INDEX('Rule Updates'!$B:$B,MATCH(C50,'Rule Updates'!$A:$A,0)),"Uncategorised"))</f>
        <v/>
      </c>
      <c r="E50" s="10">
        <f>IFERROR(INDEX('Review Items'!$E:$E,MATCH(C50,'Review Items'!$B:$B,0)),IFERROR(INDEX('Rule Updates'!$C:$C,MATCH(C50,'Rule Updates'!$A:$A,0)),"Review"))</f>
        <v/>
      </c>
      <c r="F50" s="12" t="n">
        <v>26.88</v>
      </c>
      <c r="G50" s="12" t="n">
        <v>164.19</v>
      </c>
      <c r="H50" s="10" t="n">
        <v>4</v>
      </c>
      <c r="I50" s="10">
        <f>IF(OR(D50="Uncategorised",E50=""),"Check","")</f>
        <v/>
      </c>
    </row>
    <row r="51">
      <c r="A51" s="10" t="inlineStr">
        <is>
          <t>Amex Sep-2024</t>
        </is>
      </c>
      <c r="B51" s="11" t="n">
        <v>45548</v>
      </c>
      <c r="C51" s="10" t="inlineStr">
        <is>
          <t>SEROJA SINGAPORE</t>
        </is>
      </c>
      <c r="D51" s="10">
        <f>IFERROR(INDEX('Review Items'!$D:$D,MATCH(C51,'Review Items'!$B:$B,0)),IFERROR(INDEX('Rule Updates'!$B:$B,MATCH(C51,'Rule Updates'!$A:$A,0)),"Uncategorised"))</f>
        <v/>
      </c>
      <c r="E51" s="10">
        <f>IFERROR(INDEX('Review Items'!$E:$E,MATCH(C51,'Review Items'!$B:$B,0)),IFERROR(INDEX('Rule Updates'!$C:$C,MATCH(C51,'Rule Updates'!$A:$A,0)),"Review"))</f>
        <v/>
      </c>
      <c r="F51" s="12" t="n">
        <v>1662.28</v>
      </c>
      <c r="G51" s="12" t="n">
        <v>10152.1</v>
      </c>
      <c r="H51" s="10" t="n">
        <v>6</v>
      </c>
      <c r="I51" s="10">
        <f>IF(OR(D51="Uncategorised",E51=""),"Check","")</f>
        <v/>
      </c>
    </row>
    <row r="52">
      <c r="A52" s="10" t="inlineStr">
        <is>
          <t>Amex Sep-2024</t>
        </is>
      </c>
      <c r="B52" s="11" t="n">
        <v>45549</v>
      </c>
      <c r="C52" s="10" t="inlineStr">
        <is>
          <t>PENINSULA HK - F&amp;BTSIMSHATSUI</t>
        </is>
      </c>
      <c r="D52" s="10">
        <f>IFERROR(INDEX('Review Items'!$D:$D,MATCH(C52,'Review Items'!$B:$B,0)),IFERROR(INDEX('Rule Updates'!$B:$B,MATCH(C52,'Rule Updates'!$A:$A,0)),"Uncategorised"))</f>
        <v/>
      </c>
      <c r="E52" s="10">
        <f>IFERROR(INDEX('Review Items'!$E:$E,MATCH(C52,'Review Items'!$B:$B,0)),IFERROR(INDEX('Rule Updates'!$C:$C,MATCH(C52,'Rule Updates'!$A:$A,0)),"Review"))</f>
        <v/>
      </c>
      <c r="F52" s="10" t="n"/>
      <c r="G52" s="12" t="n">
        <v>4968</v>
      </c>
      <c r="H52" s="10" t="n">
        <v>6</v>
      </c>
      <c r="I52" s="10">
        <f>IF(OR(D52="Uncategorised",E52=""),"Check","")</f>
        <v/>
      </c>
    </row>
    <row r="53">
      <c r="A53" s="10" t="inlineStr">
        <is>
          <t>Amex Sep-2024</t>
        </is>
      </c>
      <c r="B53" s="11" t="n">
        <v>45549</v>
      </c>
      <c r="C53" s="10" t="inlineStr">
        <is>
          <t>THE COCONUT Club - KIM SINGAPORE</t>
        </is>
      </c>
      <c r="D53" s="10">
        <f>IFERROR(INDEX('Review Items'!$D:$D,MATCH(C53,'Review Items'!$B:$B,0)),IFERROR(INDEX('Rule Updates'!$B:$B,MATCH(C53,'Rule Updates'!$A:$A,0)),"Uncategorised"))</f>
        <v/>
      </c>
      <c r="E53" s="10">
        <f>IFERROR(INDEX('Review Items'!$E:$E,MATCH(C53,'Review Items'!$B:$B,0)),IFERROR(INDEX('Rule Updates'!$C:$C,MATCH(C53,'Rule Updates'!$A:$A,0)),"Review"))</f>
        <v/>
      </c>
      <c r="F53" s="12" t="n">
        <v>71.94</v>
      </c>
      <c r="G53" s="12" t="n">
        <v>441.17</v>
      </c>
      <c r="H53" s="10" t="n">
        <v>4</v>
      </c>
      <c r="I53" s="10">
        <f>IF(OR(D53="Uncategorised",E53=""),"Check","")</f>
        <v/>
      </c>
    </row>
    <row r="54">
      <c r="A54" s="10" t="inlineStr">
        <is>
          <t>Amex Sep-2024</t>
        </is>
      </c>
      <c r="B54" s="11" t="n">
        <v>45549</v>
      </c>
      <c r="C54" s="10" t="inlineStr">
        <is>
          <t>THE COCONUT Club - KIM SINGAPORE</t>
        </is>
      </c>
      <c r="D54" s="10">
        <f>IFERROR(INDEX('Review Items'!$D:$D,MATCH(C54,'Review Items'!$B:$B,0)),IFERROR(INDEX('Rule Updates'!$B:$B,MATCH(C54,'Rule Updates'!$A:$A,0)),"Uncategorised"))</f>
        <v/>
      </c>
      <c r="E54" s="10">
        <f>IFERROR(INDEX('Review Items'!$E:$E,MATCH(C54,'Review Items'!$B:$B,0)),IFERROR(INDEX('Rule Updates'!$C:$C,MATCH(C54,'Rule Updates'!$A:$A,0)),"Review"))</f>
        <v/>
      </c>
      <c r="F54" s="12" t="n">
        <v>17.44</v>
      </c>
      <c r="G54" s="12" t="n">
        <v>106.98</v>
      </c>
      <c r="H54" s="10" t="n">
        <v>4</v>
      </c>
      <c r="I54" s="10">
        <f>IF(OR(D54="Uncategorised",E54=""),"Check","")</f>
        <v/>
      </c>
    </row>
    <row r="55">
      <c r="A55" s="10" t="inlineStr">
        <is>
          <t>Amex Sep-2024</t>
        </is>
      </c>
      <c r="B55" s="11" t="n">
        <v>45550</v>
      </c>
      <c r="C55" s="10" t="inlineStr">
        <is>
          <t>APPLE.COM/BILL CUPERTINO</t>
        </is>
      </c>
      <c r="D55" s="10">
        <f>IFERROR(INDEX('Review Items'!$D:$D,MATCH(C55,'Review Items'!$B:$B,0)),IFERROR(INDEX('Rule Updates'!$B:$B,MATCH(C55,'Rule Updates'!$A:$A,0)),"Uncategorised"))</f>
        <v/>
      </c>
      <c r="E55" s="10">
        <f>IFERROR(INDEX('Review Items'!$E:$E,MATCH(C55,'Review Items'!$B:$B,0)),IFERROR(INDEX('Rule Updates'!$C:$C,MATCH(C55,'Rule Updates'!$A:$A,0)),"Review"))</f>
        <v/>
      </c>
      <c r="F55" s="12" t="n">
        <v>3.49</v>
      </c>
      <c r="G55" s="12" t="n">
        <v>27.76</v>
      </c>
      <c r="H55" s="10" t="n">
        <v>4</v>
      </c>
      <c r="I55" s="10">
        <f>IF(OR(D55="Uncategorised",E55=""),"Check","")</f>
        <v/>
      </c>
    </row>
    <row r="56">
      <c r="A56" s="10" t="inlineStr">
        <is>
          <t>Amex Sep-2024</t>
        </is>
      </c>
      <c r="B56" s="11" t="n">
        <v>45551</v>
      </c>
      <c r="C56" s="10" t="inlineStr">
        <is>
          <t>HTL*ASCOTTORCHARDS 800-468-3578</t>
        </is>
      </c>
      <c r="D56" s="10">
        <f>IFERROR(INDEX('Review Items'!$D:$D,MATCH(C56,'Review Items'!$B:$B,0)),IFERROR(INDEX('Rule Updates'!$B:$B,MATCH(C56,'Rule Updates'!$A:$A,0)),"Uncategorised"))</f>
        <v/>
      </c>
      <c r="E56" s="10">
        <f>IFERROR(INDEX('Review Items'!$E:$E,MATCH(C56,'Review Items'!$B:$B,0)),IFERROR(INDEX('Rule Updates'!$C:$C,MATCH(C56,'Rule Updates'!$A:$A,0)),"Review"))</f>
        <v/>
      </c>
      <c r="F56" s="12" t="n">
        <v>16347.65</v>
      </c>
      <c r="G56" s="12" t="n">
        <v>130066.9</v>
      </c>
      <c r="H56" s="10" t="n">
        <v>6</v>
      </c>
      <c r="I56" s="10">
        <f>IF(OR(D56="Uncategorised",E56=""),"Check","")</f>
        <v/>
      </c>
    </row>
    <row r="57">
      <c r="A57" s="10" t="inlineStr">
        <is>
          <t>Amex Sep-2024</t>
        </is>
      </c>
      <c r="B57" s="11" t="n">
        <v>45551</v>
      </c>
      <c r="C57" s="10" t="inlineStr">
        <is>
          <t>LANE CRAWFORD (IFC) CENTRAL</t>
        </is>
      </c>
      <c r="D57" s="10">
        <f>IFERROR(INDEX('Review Items'!$D:$D,MATCH(C57,'Review Items'!$B:$B,0)),IFERROR(INDEX('Rule Updates'!$B:$B,MATCH(C57,'Rule Updates'!$A:$A,0)),"Uncategorised"))</f>
        <v/>
      </c>
      <c r="E57" s="10">
        <f>IFERROR(INDEX('Review Items'!$E:$E,MATCH(C57,'Review Items'!$B:$B,0)),IFERROR(INDEX('Rule Updates'!$C:$C,MATCH(C57,'Rule Updates'!$A:$A,0)),"Review"))</f>
        <v/>
      </c>
      <c r="F57" s="10" t="n"/>
      <c r="G57" s="12" t="n">
        <v>860</v>
      </c>
      <c r="H57" s="10" t="n">
        <v>4</v>
      </c>
      <c r="I57" s="10">
        <f>IF(OR(D57="Uncategorised",E57=""),"Check","")</f>
        <v/>
      </c>
    </row>
    <row r="58">
      <c r="A58" s="10" t="inlineStr">
        <is>
          <t>Amex Sep-2024</t>
        </is>
      </c>
      <c r="B58" s="11" t="n">
        <v>45552</v>
      </c>
      <c r="C58" s="10" t="inlineStr">
        <is>
          <t>CITY'SUPER CENTRAL</t>
        </is>
      </c>
      <c r="D58" s="10">
        <f>IFERROR(INDEX('Review Items'!$D:$D,MATCH(C58,'Review Items'!$B:$B,0)),IFERROR(INDEX('Rule Updates'!$B:$B,MATCH(C58,'Rule Updates'!$A:$A,0)),"Uncategorised"))</f>
        <v/>
      </c>
      <c r="E58" s="10">
        <f>IFERROR(INDEX('Review Items'!$E:$E,MATCH(C58,'Review Items'!$B:$B,0)),IFERROR(INDEX('Rule Updates'!$C:$C,MATCH(C58,'Rule Updates'!$A:$A,0)),"Review"))</f>
        <v/>
      </c>
      <c r="F58" s="10" t="n"/>
      <c r="G58" s="12" t="n">
        <v>447.2</v>
      </c>
      <c r="H58" s="10" t="n">
        <v>4</v>
      </c>
      <c r="I58" s="10">
        <f>IF(OR(D58="Uncategorised",E58=""),"Check","")</f>
        <v/>
      </c>
    </row>
    <row r="59">
      <c r="A59" s="10" t="inlineStr">
        <is>
          <t>Amex Sep-2024</t>
        </is>
      </c>
      <c r="B59" s="11" t="n">
        <v>45554</v>
      </c>
      <c r="C59" s="10" t="inlineStr">
        <is>
          <t>APPLE.COM/BILL CUPERTINO</t>
        </is>
      </c>
      <c r="D59" s="10">
        <f>IFERROR(INDEX('Review Items'!$D:$D,MATCH(C59,'Review Items'!$B:$B,0)),IFERROR(INDEX('Rule Updates'!$B:$B,MATCH(C59,'Rule Updates'!$A:$A,0)),"Uncategorised"))</f>
        <v/>
      </c>
      <c r="E59" s="10">
        <f>IFERROR(INDEX('Review Items'!$E:$E,MATCH(C59,'Review Items'!$B:$B,0)),IFERROR(INDEX('Rule Updates'!$C:$C,MATCH(C59,'Rule Updates'!$A:$A,0)),"Review"))</f>
        <v/>
      </c>
      <c r="F59" s="12" t="n">
        <v>4.99</v>
      </c>
      <c r="G59" s="12" t="n">
        <v>39.67</v>
      </c>
      <c r="H59" s="10" t="n">
        <v>4</v>
      </c>
      <c r="I59" s="10">
        <f>IF(OR(D59="Uncategorised",E59=""),"Check","")</f>
        <v/>
      </c>
    </row>
    <row r="60">
      <c r="A60" s="10" t="inlineStr">
        <is>
          <t>Amex Sep-2024</t>
        </is>
      </c>
      <c r="B60" s="11" t="n">
        <v>45556</v>
      </c>
      <c r="C60" s="10" t="inlineStr">
        <is>
          <t>CATHAY PACIFIC AIRWAYS HONG KONG</t>
        </is>
      </c>
      <c r="D60" s="10">
        <f>IFERROR(INDEX('Review Items'!$D:$D,MATCH(C60,'Review Items'!$B:$B,0)),IFERROR(INDEX('Rule Updates'!$B:$B,MATCH(C60,'Rule Updates'!$A:$A,0)),"Uncategorised"))</f>
        <v/>
      </c>
      <c r="E60" s="10">
        <f>IFERROR(INDEX('Review Items'!$E:$E,MATCH(C60,'Review Items'!$B:$B,0)),IFERROR(INDEX('Rule Updates'!$C:$C,MATCH(C60,'Rule Updates'!$A:$A,0)),"Review"))</f>
        <v/>
      </c>
      <c r="F60" s="10" t="n"/>
      <c r="G60" s="12" t="n">
        <v>5679</v>
      </c>
      <c r="H60" s="10" t="n">
        <v>6</v>
      </c>
      <c r="I60" s="10">
        <f>IF(OR(D60="Uncategorised",E60=""),"Check","")</f>
        <v/>
      </c>
    </row>
    <row r="61">
      <c r="A61" s="10" t="inlineStr">
        <is>
          <t>Amex Sep-2024</t>
        </is>
      </c>
      <c r="B61" s="11" t="n">
        <v>45557</v>
      </c>
      <c r="C61" s="10" t="inlineStr">
        <is>
          <t>KATES BREAD OJAI</t>
        </is>
      </c>
      <c r="D61" s="10">
        <f>IFERROR(INDEX('Review Items'!$D:$D,MATCH(C61,'Review Items'!$B:$B,0)),IFERROR(INDEX('Rule Updates'!$B:$B,MATCH(C61,'Rule Updates'!$A:$A,0)),"Uncategorised"))</f>
        <v/>
      </c>
      <c r="E61" s="10">
        <f>IFERROR(INDEX('Review Items'!$E:$E,MATCH(C61,'Review Items'!$B:$B,0)),IFERROR(INDEX('Rule Updates'!$C:$C,MATCH(C61,'Rule Updates'!$A:$A,0)),"Review"))</f>
        <v/>
      </c>
      <c r="F61" s="12" t="n">
        <v>5</v>
      </c>
      <c r="G61" s="12" t="n">
        <v>39.74</v>
      </c>
      <c r="H61" s="10" t="n">
        <v>4</v>
      </c>
      <c r="I61" s="10">
        <f>IF(OR(D61="Uncategorised",E61=""),"Check","")</f>
        <v/>
      </c>
    </row>
    <row r="62">
      <c r="A62" s="10" t="inlineStr">
        <is>
          <t>Amex Sep-2024</t>
        </is>
      </c>
      <c r="B62" s="11" t="n">
        <v>45559</v>
      </c>
      <c r="C62" s="10" t="inlineStr">
        <is>
          <t>CITYSUPER STORE @ SOUTH WONG CHUK HANG</t>
        </is>
      </c>
      <c r="D62" s="10">
        <f>IFERROR(INDEX('Review Items'!$D:$D,MATCH(C62,'Review Items'!$B:$B,0)),IFERROR(INDEX('Rule Updates'!$B:$B,MATCH(C62,'Rule Updates'!$A:$A,0)),"Uncategorised"))</f>
        <v/>
      </c>
      <c r="E62" s="10">
        <f>IFERROR(INDEX('Review Items'!$E:$E,MATCH(C62,'Review Items'!$B:$B,0)),IFERROR(INDEX('Rule Updates'!$C:$C,MATCH(C62,'Rule Updates'!$A:$A,0)),"Review"))</f>
        <v/>
      </c>
      <c r="F62" s="10" t="n"/>
      <c r="G62" s="12" t="n">
        <v>943.1</v>
      </c>
      <c r="H62" s="10" t="n">
        <v>4</v>
      </c>
      <c r="I62" s="10">
        <f>IF(OR(D62="Uncategorised",E62=""),"Check","")</f>
        <v/>
      </c>
    </row>
    <row r="63">
      <c r="A63" s="10" t="inlineStr">
        <is>
          <t>Amex Sep-2024</t>
        </is>
      </c>
      <c r="B63" s="11" t="n">
        <v>45559</v>
      </c>
      <c r="C63" s="10" t="inlineStr">
        <is>
          <t>SP SOLACE LONDON LONDON</t>
        </is>
      </c>
      <c r="D63" s="10">
        <f>IFERROR(INDEX('Review Items'!$D:$D,MATCH(C63,'Review Items'!$B:$B,0)),IFERROR(INDEX('Rule Updates'!$B:$B,MATCH(C63,'Rule Updates'!$A:$A,0)),"Uncategorised"))</f>
        <v/>
      </c>
      <c r="E63" s="10">
        <f>IFERROR(INDEX('Review Items'!$E:$E,MATCH(C63,'Review Items'!$B:$B,0)),IFERROR(INDEX('Rule Updates'!$C:$C,MATCH(C63,'Rule Updates'!$A:$A,0)),"Review"))</f>
        <v/>
      </c>
      <c r="F63" s="12" t="n">
        <v>620</v>
      </c>
      <c r="G63" s="12" t="n">
        <v>-6468.3</v>
      </c>
      <c r="H63" s="10" t="n">
        <v>4</v>
      </c>
      <c r="I63" s="10">
        <f>IF(OR(D63="Uncategorised",E63=""),"Check","")</f>
        <v/>
      </c>
    </row>
    <row r="64">
      <c r="A64" s="10" t="inlineStr">
        <is>
          <t>Amex Sep-2024</t>
        </is>
      </c>
      <c r="B64" s="11" t="n">
        <v>45560</v>
      </c>
      <c r="C64" s="10" t="inlineStr">
        <is>
          <t>KPAY*GALLERY TETE HONG HONG KONG</t>
        </is>
      </c>
      <c r="D64" s="10">
        <f>IFERROR(INDEX('Review Items'!$D:$D,MATCH(C64,'Review Items'!$B:$B,0)),IFERROR(INDEX('Rule Updates'!$B:$B,MATCH(C64,'Rule Updates'!$A:$A,0)),"Uncategorised"))</f>
        <v/>
      </c>
      <c r="E64" s="10">
        <f>IFERROR(INDEX('Review Items'!$E:$E,MATCH(C64,'Review Items'!$B:$B,0)),IFERROR(INDEX('Rule Updates'!$C:$C,MATCH(C64,'Rule Updates'!$A:$A,0)),"Review"))</f>
        <v/>
      </c>
      <c r="F64" s="10" t="n"/>
      <c r="G64" s="12" t="n">
        <v>1900</v>
      </c>
      <c r="H64" s="10" t="n">
        <v>4</v>
      </c>
      <c r="I64" s="10">
        <f>IF(OR(D64="Uncategorised",E64=""),"Check","")</f>
        <v/>
      </c>
    </row>
    <row r="65">
      <c r="A65" s="10" t="inlineStr">
        <is>
          <t>Amex Sep-2024</t>
        </is>
      </c>
      <c r="B65" s="11" t="n">
        <v>45560</v>
      </c>
      <c r="C65" s="10" t="inlineStr">
        <is>
          <t>SPLASH FOUNDATION LIMI SINGAPORE</t>
        </is>
      </c>
      <c r="D65" s="10">
        <f>IFERROR(INDEX('Review Items'!$D:$D,MATCH(C65,'Review Items'!$B:$B,0)),IFERROR(INDEX('Rule Updates'!$B:$B,MATCH(C65,'Rule Updates'!$A:$A,0)),"Uncategorised"))</f>
        <v/>
      </c>
      <c r="E65" s="10">
        <f>IFERROR(INDEX('Review Items'!$E:$E,MATCH(C65,'Review Items'!$B:$B,0)),IFERROR(INDEX('Rule Updates'!$C:$C,MATCH(C65,'Rule Updates'!$A:$A,0)),"Review"))</f>
        <v/>
      </c>
      <c r="F65" s="10" t="n"/>
      <c r="G65" s="12" t="n">
        <v>51000</v>
      </c>
      <c r="H65" s="10" t="n">
        <v>5</v>
      </c>
      <c r="I65" s="10">
        <f>IF(OR(D65="Uncategorised",E65=""),"Check","")</f>
        <v/>
      </c>
    </row>
    <row r="66">
      <c r="A66" s="10" t="inlineStr">
        <is>
          <t>Amex Sep-2024</t>
        </is>
      </c>
      <c r="B66" s="11" t="n">
        <v>45561</v>
      </c>
      <c r="C66" s="10" t="inlineStr">
        <is>
          <t>ANNUAL FEE</t>
        </is>
      </c>
      <c r="D66" s="10">
        <f>IFERROR(INDEX('Review Items'!$D:$D,MATCH(C66,'Review Items'!$B:$B,0)),IFERROR(INDEX('Rule Updates'!$B:$B,MATCH(C66,'Rule Updates'!$A:$A,0)),"Uncategorised"))</f>
        <v/>
      </c>
      <c r="E66" s="10">
        <f>IFERROR(INDEX('Review Items'!$E:$E,MATCH(C66,'Review Items'!$B:$B,0)),IFERROR(INDEX('Rule Updates'!$C:$C,MATCH(C66,'Rule Updates'!$A:$A,0)),"Review"))</f>
        <v/>
      </c>
      <c r="F66" s="10" t="n"/>
      <c r="G66" s="12" t="n">
        <v>38800</v>
      </c>
      <c r="H66" s="10" t="n">
        <v>7</v>
      </c>
      <c r="I66" s="10">
        <f>IF(OR(D66="Uncategorised",E66=""),"Check","")</f>
        <v/>
      </c>
    </row>
    <row r="67">
      <c r="A67" s="10" t="inlineStr">
        <is>
          <t>Amex Oct-2024</t>
        </is>
      </c>
      <c r="B67" s="11" t="n">
        <v>45561</v>
      </c>
      <c r="C67" s="10" t="inlineStr">
        <is>
          <t>SILVERSEA LONDON</t>
        </is>
      </c>
      <c r="D67" s="10">
        <f>IFERROR(INDEX('Review Items'!$D:$D,MATCH(C67,'Review Items'!$B:$B,0)),IFERROR(INDEX('Rule Updates'!$B:$B,MATCH(C67,'Rule Updates'!$A:$A,0)),"Uncategorised"))</f>
        <v/>
      </c>
      <c r="E67" s="10">
        <f>IFERROR(INDEX('Review Items'!$E:$E,MATCH(C67,'Review Items'!$B:$B,0)),IFERROR(INDEX('Rule Updates'!$C:$C,MATCH(C67,'Rule Updates'!$A:$A,0)),"Review"))</f>
        <v/>
      </c>
      <c r="F67" s="12" t="n">
        <v>9690</v>
      </c>
      <c r="G67" s="12" t="n">
        <v>76942.41</v>
      </c>
      <c r="H67" s="10" t="n">
        <v>1</v>
      </c>
      <c r="I67" s="10">
        <f>IF(OR(D67="Uncategorised",E67=""),"Check","")</f>
        <v/>
      </c>
    </row>
    <row r="68">
      <c r="A68" s="10" t="inlineStr">
        <is>
          <t>Amex Oct-2024</t>
        </is>
      </c>
      <c r="B68" s="11" t="n">
        <v>45561</v>
      </c>
      <c r="C68" s="10" t="inlineStr">
        <is>
          <t>SILVERSEA LONDON</t>
        </is>
      </c>
      <c r="D68" s="10">
        <f>IFERROR(INDEX('Review Items'!$D:$D,MATCH(C68,'Review Items'!$B:$B,0)),IFERROR(INDEX('Rule Updates'!$B:$B,MATCH(C68,'Rule Updates'!$A:$A,0)),"Uncategorised"))</f>
        <v/>
      </c>
      <c r="E68" s="10">
        <f>IFERROR(INDEX('Review Items'!$E:$E,MATCH(C68,'Review Items'!$B:$B,0)),IFERROR(INDEX('Rule Updates'!$C:$C,MATCH(C68,'Rule Updates'!$A:$A,0)),"Review"))</f>
        <v/>
      </c>
      <c r="F68" s="12" t="n">
        <v>13680</v>
      </c>
      <c r="G68" s="12" t="n">
        <v>108624.59</v>
      </c>
      <c r="H68" s="10" t="n">
        <v>1</v>
      </c>
      <c r="I68" s="10">
        <f>IF(OR(D68="Uncategorised",E68=""),"Check","")</f>
        <v/>
      </c>
    </row>
    <row r="69">
      <c r="A69" s="10" t="inlineStr">
        <is>
          <t>Amex Oct-2024</t>
        </is>
      </c>
      <c r="B69" s="11" t="n">
        <v>45561</v>
      </c>
      <c r="C69" s="10" t="inlineStr">
        <is>
          <t>SILVERSEA LONDON</t>
        </is>
      </c>
      <c r="D69" s="10">
        <f>IFERROR(INDEX('Review Items'!$D:$D,MATCH(C69,'Review Items'!$B:$B,0)),IFERROR(INDEX('Rule Updates'!$B:$B,MATCH(C69,'Rule Updates'!$A:$A,0)),"Uncategorised"))</f>
        <v/>
      </c>
      <c r="E69" s="10">
        <f>IFERROR(INDEX('Review Items'!$E:$E,MATCH(C69,'Review Items'!$B:$B,0)),IFERROR(INDEX('Rule Updates'!$C:$C,MATCH(C69,'Rule Updates'!$A:$A,0)),"Review"))</f>
        <v/>
      </c>
      <c r="F69" s="12" t="n">
        <v>10260</v>
      </c>
      <c r="G69" s="12" t="n">
        <v>81468.44</v>
      </c>
      <c r="H69" s="10" t="n">
        <v>1</v>
      </c>
      <c r="I69" s="10">
        <f>IF(OR(D69="Uncategorised",E69=""),"Check","")</f>
        <v/>
      </c>
    </row>
    <row r="70">
      <c r="A70" s="10" t="inlineStr">
        <is>
          <t>Amex Oct-2024</t>
        </is>
      </c>
      <c r="B70" s="11" t="n">
        <v>45562</v>
      </c>
      <c r="C70" s="10" t="inlineStr">
        <is>
          <t>FARFETCH LONDON</t>
        </is>
      </c>
      <c r="D70" s="10">
        <f>IFERROR(INDEX('Review Items'!$D:$D,MATCH(C70,'Review Items'!$B:$B,0)),IFERROR(INDEX('Rule Updates'!$B:$B,MATCH(C70,'Rule Updates'!$A:$A,0)),"Uncategorised"))</f>
        <v/>
      </c>
      <c r="E70" s="10">
        <f>IFERROR(INDEX('Review Items'!$E:$E,MATCH(C70,'Review Items'!$B:$B,0)),IFERROR(INDEX('Rule Updates'!$C:$C,MATCH(C70,'Rule Updates'!$A:$A,0)),"Review"))</f>
        <v/>
      </c>
      <c r="F70" s="10" t="n"/>
      <c r="G70" s="12" t="n">
        <v>-5712</v>
      </c>
      <c r="H70" s="10" t="n">
        <v>1</v>
      </c>
      <c r="I70" s="10">
        <f>IF(OR(D70="Uncategorised",E70=""),"Check","")</f>
        <v/>
      </c>
    </row>
    <row r="71">
      <c r="A71" s="10" t="inlineStr">
        <is>
          <t>Amex Oct-2024</t>
        </is>
      </c>
      <c r="B71" s="11" t="n">
        <v>45562</v>
      </c>
      <c r="C71" s="10" t="inlineStr">
        <is>
          <t>SA SA (HA02) CAUSEWAY BAY</t>
        </is>
      </c>
      <c r="D71" s="10">
        <f>IFERROR(INDEX('Review Items'!$D:$D,MATCH(C71,'Review Items'!$B:$B,0)),IFERROR(INDEX('Rule Updates'!$B:$B,MATCH(C71,'Rule Updates'!$A:$A,0)),"Uncategorised"))</f>
        <v/>
      </c>
      <c r="E71" s="10">
        <f>IFERROR(INDEX('Review Items'!$E:$E,MATCH(C71,'Review Items'!$B:$B,0)),IFERROR(INDEX('Rule Updates'!$C:$C,MATCH(C71,'Rule Updates'!$A:$A,0)),"Review"))</f>
        <v/>
      </c>
      <c r="F71" s="10" t="n"/>
      <c r="G71" s="12" t="n">
        <v>453.6</v>
      </c>
      <c r="H71" s="10" t="n">
        <v>1</v>
      </c>
      <c r="I71" s="10">
        <f>IF(OR(D71="Uncategorised",E71=""),"Check","")</f>
        <v/>
      </c>
    </row>
    <row r="72">
      <c r="A72" s="10" t="inlineStr">
        <is>
          <t>Amex Oct-2024</t>
        </is>
      </c>
      <c r="B72" s="11" t="n">
        <v>45562</v>
      </c>
      <c r="C72" s="10" t="inlineStr">
        <is>
          <t>SILVERSEA LONDON</t>
        </is>
      </c>
      <c r="D72" s="10">
        <f>IFERROR(INDEX('Review Items'!$D:$D,MATCH(C72,'Review Items'!$B:$B,0)),IFERROR(INDEX('Rule Updates'!$B:$B,MATCH(C72,'Rule Updates'!$A:$A,0)),"Uncategorised"))</f>
        <v/>
      </c>
      <c r="E72" s="10">
        <f>IFERROR(INDEX('Review Items'!$E:$E,MATCH(C72,'Review Items'!$B:$B,0)),IFERROR(INDEX('Rule Updates'!$C:$C,MATCH(C72,'Rule Updates'!$A:$A,0)),"Review"))</f>
        <v/>
      </c>
      <c r="F72" s="12" t="n">
        <v>6000</v>
      </c>
      <c r="G72" s="12" t="n">
        <v>47618.49</v>
      </c>
      <c r="H72" s="10" t="n">
        <v>2</v>
      </c>
      <c r="I72" s="10">
        <f>IF(OR(D72="Uncategorised",E72=""),"Check","")</f>
        <v/>
      </c>
    </row>
    <row r="73">
      <c r="A73" s="10" t="inlineStr">
        <is>
          <t>Amex Oct-2024</t>
        </is>
      </c>
      <c r="B73" s="11" t="n">
        <v>45562</v>
      </c>
      <c r="C73" s="10" t="inlineStr">
        <is>
          <t>SOGO HK LTD - SUPERMARK CAUSEWAY BAY</t>
        </is>
      </c>
      <c r="D73" s="10">
        <f>IFERROR(INDEX('Review Items'!$D:$D,MATCH(C73,'Review Items'!$B:$B,0)),IFERROR(INDEX('Rule Updates'!$B:$B,MATCH(C73,'Rule Updates'!$A:$A,0)),"Uncategorised"))</f>
        <v/>
      </c>
      <c r="E73" s="10">
        <f>IFERROR(INDEX('Review Items'!$E:$E,MATCH(C73,'Review Items'!$B:$B,0)),IFERROR(INDEX('Rule Updates'!$C:$C,MATCH(C73,'Rule Updates'!$A:$A,0)),"Review"))</f>
        <v/>
      </c>
      <c r="F73" s="10" t="n"/>
      <c r="G73" s="12" t="n">
        <v>360</v>
      </c>
      <c r="H73" s="10" t="n">
        <v>1</v>
      </c>
      <c r="I73" s="10">
        <f>IF(OR(D73="Uncategorised",E73=""),"Check","")</f>
        <v/>
      </c>
    </row>
    <row r="74">
      <c r="A74" s="10" t="inlineStr">
        <is>
          <t>Amex Oct-2024</t>
        </is>
      </c>
      <c r="B74" s="11" t="n">
        <v>45562</v>
      </c>
      <c r="C74" s="10" t="inlineStr">
        <is>
          <t>SOGO HONG KONG CO LTD CAUSEWAY BAY</t>
        </is>
      </c>
      <c r="D74" s="10">
        <f>IFERROR(INDEX('Review Items'!$D:$D,MATCH(C74,'Review Items'!$B:$B,0)),IFERROR(INDEX('Rule Updates'!$B:$B,MATCH(C74,'Rule Updates'!$A:$A,0)),"Uncategorised"))</f>
        <v/>
      </c>
      <c r="E74" s="10">
        <f>IFERROR(INDEX('Review Items'!$E:$E,MATCH(C74,'Review Items'!$B:$B,0)),IFERROR(INDEX('Rule Updates'!$C:$C,MATCH(C74,'Rule Updates'!$A:$A,0)),"Review"))</f>
        <v/>
      </c>
      <c r="F74" s="10" t="n"/>
      <c r="G74" s="12" t="n">
        <v>120</v>
      </c>
      <c r="H74" s="10" t="n">
        <v>2</v>
      </c>
      <c r="I74" s="10">
        <f>IF(OR(D74="Uncategorised",E74=""),"Check","")</f>
        <v/>
      </c>
    </row>
    <row r="75">
      <c r="A75" s="10" t="inlineStr">
        <is>
          <t>Amex Oct-2024</t>
        </is>
      </c>
      <c r="B75" s="11" t="n">
        <v>45563</v>
      </c>
      <c r="C75" s="10" t="inlineStr">
        <is>
          <t>THE CHINNERY BAR CENTRAL</t>
        </is>
      </c>
      <c r="D75" s="10">
        <f>IFERROR(INDEX('Review Items'!$D:$D,MATCH(C75,'Review Items'!$B:$B,0)),IFERROR(INDEX('Rule Updates'!$B:$B,MATCH(C75,'Rule Updates'!$A:$A,0)),"Uncategorised"))</f>
        <v/>
      </c>
      <c r="E75" s="10">
        <f>IFERROR(INDEX('Review Items'!$E:$E,MATCH(C75,'Review Items'!$B:$B,0)),IFERROR(INDEX('Rule Updates'!$C:$C,MATCH(C75,'Rule Updates'!$A:$A,0)),"Review"))</f>
        <v/>
      </c>
      <c r="F75" s="10" t="n"/>
      <c r="G75" s="12" t="n">
        <v>2080</v>
      </c>
      <c r="H75" s="10" t="n">
        <v>5</v>
      </c>
      <c r="I75" s="10">
        <f>IF(OR(D75="Uncategorised",E75=""),"Check","")</f>
        <v/>
      </c>
    </row>
    <row r="76">
      <c r="A76" s="10" t="inlineStr">
        <is>
          <t>Amex Oct-2024</t>
        </is>
      </c>
      <c r="B76" s="11" t="n">
        <v>45566</v>
      </c>
      <c r="C76" s="10" t="inlineStr">
        <is>
          <t>AMAZON PRIME*A396O4Q43 AMZN.COM/BILL</t>
        </is>
      </c>
      <c r="D76" s="10">
        <f>IFERROR(INDEX('Review Items'!$D:$D,MATCH(C76,'Review Items'!$B:$B,0)),IFERROR(INDEX('Rule Updates'!$B:$B,MATCH(C76,'Rule Updates'!$A:$A,0)),"Uncategorised"))</f>
        <v/>
      </c>
      <c r="E76" s="10">
        <f>IFERROR(INDEX('Review Items'!$E:$E,MATCH(C76,'Review Items'!$B:$B,0)),IFERROR(INDEX('Rule Updates'!$C:$C,MATCH(C76,'Rule Updates'!$A:$A,0)),"Review"))</f>
        <v/>
      </c>
      <c r="F76" s="12" t="n">
        <v>14.99</v>
      </c>
      <c r="G76" s="12" t="n">
        <v>118.78</v>
      </c>
      <c r="H76" s="10" t="n">
        <v>2</v>
      </c>
      <c r="I76" s="10">
        <f>IF(OR(D76="Uncategorised",E76=""),"Check","")</f>
        <v/>
      </c>
    </row>
    <row r="77">
      <c r="A77" s="10" t="inlineStr">
        <is>
          <t>Amex Oct-2024</t>
        </is>
      </c>
      <c r="B77" s="11" t="n">
        <v>45567</v>
      </c>
      <c r="C77" s="10" t="inlineStr">
        <is>
          <t>FARFETCH LONDON</t>
        </is>
      </c>
      <c r="D77" s="10">
        <f>IFERROR(INDEX('Review Items'!$D:$D,MATCH(C77,'Review Items'!$B:$B,0)),IFERROR(INDEX('Rule Updates'!$B:$B,MATCH(C77,'Rule Updates'!$A:$A,0)),"Uncategorised"))</f>
        <v/>
      </c>
      <c r="E77" s="10">
        <f>IFERROR(INDEX('Review Items'!$E:$E,MATCH(C77,'Review Items'!$B:$B,0)),IFERROR(INDEX('Rule Updates'!$C:$C,MATCH(C77,'Rule Updates'!$A:$A,0)),"Review"))</f>
        <v/>
      </c>
      <c r="F77" s="10" t="n"/>
      <c r="G77" s="12" t="n">
        <v>-7391</v>
      </c>
      <c r="H77" s="10" t="n">
        <v>2</v>
      </c>
      <c r="I77" s="10">
        <f>IF(OR(D77="Uncategorised",E77=""),"Check","")</f>
        <v/>
      </c>
    </row>
    <row r="78">
      <c r="A78" s="10" t="inlineStr">
        <is>
          <t>Amex Oct-2024</t>
        </is>
      </c>
      <c r="B78" s="11" t="n">
        <v>45568</v>
      </c>
      <c r="C78" s="10" t="inlineStr">
        <is>
          <t>AMAZON PRIME*TA1M20WO4 AMZN.CO.UK/PM</t>
        </is>
      </c>
      <c r="D78" s="10">
        <f>IFERROR(INDEX('Review Items'!$D:$D,MATCH(C78,'Review Items'!$B:$B,0)),IFERROR(INDEX('Rule Updates'!$B:$B,MATCH(C78,'Rule Updates'!$A:$A,0)),"Uncategorised"))</f>
        <v/>
      </c>
      <c r="E78" s="10">
        <f>IFERROR(INDEX('Review Items'!$E:$E,MATCH(C78,'Review Items'!$B:$B,0)),IFERROR(INDEX('Rule Updates'!$C:$C,MATCH(C78,'Rule Updates'!$A:$A,0)),"Review"))</f>
        <v/>
      </c>
      <c r="F78" s="12" t="n">
        <v>8.99</v>
      </c>
      <c r="G78" s="12" t="n">
        <v>94.72</v>
      </c>
      <c r="H78" s="10" t="n">
        <v>2</v>
      </c>
      <c r="I78" s="10">
        <f>IF(OR(D78="Uncategorised",E78=""),"Check","")</f>
        <v/>
      </c>
    </row>
    <row r="79">
      <c r="A79" s="10" t="inlineStr">
        <is>
          <t>Amex Oct-2024</t>
        </is>
      </c>
      <c r="B79" s="11" t="n">
        <v>45570</v>
      </c>
      <c r="C79" s="10" t="inlineStr">
        <is>
          <t>AMZNMKTPLACE*TO11Y8184 AMAZON.CO.UK</t>
        </is>
      </c>
      <c r="D79" s="10">
        <f>IFERROR(INDEX('Review Items'!$D:$D,MATCH(C79,'Review Items'!$B:$B,0)),IFERROR(INDEX('Rule Updates'!$B:$B,MATCH(C79,'Rule Updates'!$A:$A,0)),"Uncategorised"))</f>
        <v/>
      </c>
      <c r="E79" s="10">
        <f>IFERROR(INDEX('Review Items'!$E:$E,MATCH(C79,'Review Items'!$B:$B,0)),IFERROR(INDEX('Rule Updates'!$C:$C,MATCH(C79,'Rule Updates'!$A:$A,0)),"Review"))</f>
        <v/>
      </c>
      <c r="F79" s="10" t="n"/>
      <c r="G79" s="12" t="n">
        <v>535.51</v>
      </c>
      <c r="H79" s="10" t="n">
        <v>2</v>
      </c>
      <c r="I79" s="10">
        <f>IF(OR(D79="Uncategorised",E79=""),"Check","")</f>
        <v/>
      </c>
    </row>
    <row r="80">
      <c r="A80" s="10" t="inlineStr">
        <is>
          <t>Amex Oct-2024</t>
        </is>
      </c>
      <c r="B80" s="11" t="n">
        <v>45571</v>
      </c>
      <c r="C80" s="10" t="inlineStr">
        <is>
          <t>HTL*ASCOTTORCHARDS 800-468-3578</t>
        </is>
      </c>
      <c r="D80" s="10">
        <f>IFERROR(INDEX('Review Items'!$D:$D,MATCH(C80,'Review Items'!$B:$B,0)),IFERROR(INDEX('Rule Updates'!$B:$B,MATCH(C80,'Rule Updates'!$A:$A,0)),"Uncategorised"))</f>
        <v/>
      </c>
      <c r="E80" s="10">
        <f>IFERROR(INDEX('Review Items'!$E:$E,MATCH(C80,'Review Items'!$B:$B,0)),IFERROR(INDEX('Rule Updates'!$C:$C,MATCH(C80,'Rule Updates'!$A:$A,0)),"Review"))</f>
        <v/>
      </c>
      <c r="F80" s="12" t="n">
        <v>4227.43</v>
      </c>
      <c r="G80" s="12" t="n">
        <v>33502.77</v>
      </c>
      <c r="H80" s="10" t="n">
        <v>5</v>
      </c>
      <c r="I80" s="10">
        <f>IF(OR(D80="Uncategorised",E80=""),"Check","")</f>
        <v/>
      </c>
    </row>
    <row r="81">
      <c r="A81" s="10" t="inlineStr">
        <is>
          <t>Amex Oct-2024</t>
        </is>
      </c>
      <c r="B81" s="11" t="n">
        <v>45572</v>
      </c>
      <c r="C81" s="10" t="inlineStr">
        <is>
          <t>HTL*ASCOTTORCHARDS 800-468-3578</t>
        </is>
      </c>
      <c r="D81" s="10">
        <f>IFERROR(INDEX('Review Items'!$D:$D,MATCH(C81,'Review Items'!$B:$B,0)),IFERROR(INDEX('Rule Updates'!$B:$B,MATCH(C81,'Rule Updates'!$A:$A,0)),"Uncategorised"))</f>
        <v/>
      </c>
      <c r="E81" s="10">
        <f>IFERROR(INDEX('Review Items'!$E:$E,MATCH(C81,'Review Items'!$B:$B,0)),IFERROR(INDEX('Rule Updates'!$C:$C,MATCH(C81,'Rule Updates'!$A:$A,0)),"Review"))</f>
        <v/>
      </c>
      <c r="F81" s="12" t="n">
        <v>16347.65</v>
      </c>
      <c r="G81" s="12" t="n">
        <v>-127016.34</v>
      </c>
      <c r="H81" s="10" t="n">
        <v>5</v>
      </c>
      <c r="I81" s="10">
        <f>IF(OR(D81="Uncategorised",E81=""),"Check","")</f>
        <v/>
      </c>
    </row>
    <row r="82">
      <c r="A82" s="10" t="inlineStr">
        <is>
          <t>Amex Oct-2024</t>
        </is>
      </c>
      <c r="B82" s="11" t="n">
        <v>45572</v>
      </c>
      <c r="C82" s="10" t="inlineStr">
        <is>
          <t>HTL*ASCOTTORCHARDS 800-468-3578</t>
        </is>
      </c>
      <c r="D82" s="10">
        <f>IFERROR(INDEX('Review Items'!$D:$D,MATCH(C82,'Review Items'!$B:$B,0)),IFERROR(INDEX('Rule Updates'!$B:$B,MATCH(C82,'Rule Updates'!$A:$A,0)),"Uncategorised"))</f>
        <v/>
      </c>
      <c r="E82" s="10">
        <f>IFERROR(INDEX('Review Items'!$E:$E,MATCH(C82,'Review Items'!$B:$B,0)),IFERROR(INDEX('Rule Updates'!$C:$C,MATCH(C82,'Rule Updates'!$A:$A,0)),"Review"))</f>
        <v/>
      </c>
      <c r="F82" s="12" t="n">
        <v>6428.01</v>
      </c>
      <c r="G82" s="12" t="n">
        <v>50929.46</v>
      </c>
      <c r="H82" s="10" t="n">
        <v>5</v>
      </c>
      <c r="I82" s="10">
        <f>IF(OR(D82="Uncategorised",E82=""),"Check","")</f>
        <v/>
      </c>
    </row>
    <row r="83">
      <c r="A83" s="10" t="inlineStr">
        <is>
          <t>Amex Oct-2024</t>
        </is>
      </c>
      <c r="B83" s="11" t="n">
        <v>45572</v>
      </c>
      <c r="C83" s="10" t="inlineStr">
        <is>
          <t>PAYMENT RECEIVED THROUGH AUTOPAY</t>
        </is>
      </c>
      <c r="D83" s="10">
        <f>IFERROR(INDEX('Review Items'!$D:$D,MATCH(C83,'Review Items'!$B:$B,0)),IFERROR(INDEX('Rule Updates'!$B:$B,MATCH(C83,'Rule Updates'!$A:$A,0)),"Uncategorised"))</f>
        <v/>
      </c>
      <c r="E83" s="10">
        <f>IFERROR(INDEX('Review Items'!$E:$E,MATCH(C83,'Review Items'!$B:$B,0)),IFERROR(INDEX('Rule Updates'!$C:$C,MATCH(C83,'Rule Updates'!$A:$A,0)),"Review"))</f>
        <v/>
      </c>
      <c r="F83" s="10" t="n"/>
      <c r="G83" s="12" t="n">
        <v>-1598868.86</v>
      </c>
      <c r="H83" s="10" t="n">
        <v>1</v>
      </c>
      <c r="I83" s="10">
        <f>IF(OR(D83="Uncategorised",E83=""),"Check","")</f>
        <v/>
      </c>
    </row>
    <row r="84">
      <c r="A84" s="10" t="inlineStr">
        <is>
          <t>Amex Oct-2024</t>
        </is>
      </c>
      <c r="B84" s="11" t="n">
        <v>45573</v>
      </c>
      <c r="C84" s="10" t="inlineStr">
        <is>
          <t>CARBONE CENTRAL</t>
        </is>
      </c>
      <c r="D84" s="10">
        <f>IFERROR(INDEX('Review Items'!$D:$D,MATCH(C84,'Review Items'!$B:$B,0)),IFERROR(INDEX('Rule Updates'!$B:$B,MATCH(C84,'Rule Updates'!$A:$A,0)),"Uncategorised"))</f>
        <v/>
      </c>
      <c r="E84" s="10">
        <f>IFERROR(INDEX('Review Items'!$E:$E,MATCH(C84,'Review Items'!$B:$B,0)),IFERROR(INDEX('Rule Updates'!$C:$C,MATCH(C84,'Rule Updates'!$A:$A,0)),"Review"))</f>
        <v/>
      </c>
      <c r="F84" s="10" t="n"/>
      <c r="G84" s="12" t="n">
        <v>2150.4</v>
      </c>
      <c r="H84" s="10" t="n">
        <v>5</v>
      </c>
      <c r="I84" s="10">
        <f>IF(OR(D84="Uncategorised",E84=""),"Check","")</f>
        <v/>
      </c>
    </row>
    <row r="85">
      <c r="A85" s="10" t="inlineStr">
        <is>
          <t>Amex Oct-2024</t>
        </is>
      </c>
      <c r="B85" s="11" t="n">
        <v>45573</v>
      </c>
      <c r="C85" s="10" t="inlineStr">
        <is>
          <t>IKEA CAUSEWAY BAY</t>
        </is>
      </c>
      <c r="D85" s="10">
        <f>IFERROR(INDEX('Review Items'!$D:$D,MATCH(C85,'Review Items'!$B:$B,0)),IFERROR(INDEX('Rule Updates'!$B:$B,MATCH(C85,'Rule Updates'!$A:$A,0)),"Uncategorised"))</f>
        <v/>
      </c>
      <c r="E85" s="10">
        <f>IFERROR(INDEX('Review Items'!$E:$E,MATCH(C85,'Review Items'!$B:$B,0)),IFERROR(INDEX('Rule Updates'!$C:$C,MATCH(C85,'Rule Updates'!$A:$A,0)),"Review"))</f>
        <v/>
      </c>
      <c r="F85" s="10" t="n"/>
      <c r="G85" s="12" t="n">
        <v>1467.2</v>
      </c>
      <c r="H85" s="10" t="n">
        <v>2</v>
      </c>
      <c r="I85" s="10">
        <f>IF(OR(D85="Uncategorised",E85=""),"Check","")</f>
        <v/>
      </c>
    </row>
    <row r="86">
      <c r="A86" s="10" t="inlineStr">
        <is>
          <t>Amex Oct-2024</t>
        </is>
      </c>
      <c r="B86" s="11" t="n">
        <v>45574</v>
      </c>
      <c r="C86" s="10" t="inlineStr">
        <is>
          <t>IKEA CAUSEWAY BAY</t>
        </is>
      </c>
      <c r="D86" s="10">
        <f>IFERROR(INDEX('Review Items'!$D:$D,MATCH(C86,'Review Items'!$B:$B,0)),IFERROR(INDEX('Rule Updates'!$B:$B,MATCH(C86,'Rule Updates'!$A:$A,0)),"Uncategorised"))</f>
        <v/>
      </c>
      <c r="E86" s="10">
        <f>IFERROR(INDEX('Review Items'!$E:$E,MATCH(C86,'Review Items'!$B:$B,0)),IFERROR(INDEX('Rule Updates'!$C:$C,MATCH(C86,'Rule Updates'!$A:$A,0)),"Review"))</f>
        <v/>
      </c>
      <c r="F86" s="10" t="n"/>
      <c r="G86" s="12" t="n">
        <v>4223.2</v>
      </c>
      <c r="H86" s="10" t="n">
        <v>2</v>
      </c>
      <c r="I86" s="10">
        <f>IF(OR(D86="Uncategorised",E86=""),"Check","")</f>
        <v/>
      </c>
    </row>
    <row r="87">
      <c r="A87" s="10" t="inlineStr">
        <is>
          <t>Amex Oct-2024</t>
        </is>
      </c>
      <c r="B87" s="11" t="n">
        <v>45575</v>
      </c>
      <c r="C87" s="10" t="inlineStr">
        <is>
          <t>AMAZON PRIME*TQ6OW4JL4 AMZN.CO.UK/PM</t>
        </is>
      </c>
      <c r="D87" s="10">
        <f>IFERROR(INDEX('Review Items'!$D:$D,MATCH(C87,'Review Items'!$B:$B,0)),IFERROR(INDEX('Rule Updates'!$B:$B,MATCH(C87,'Rule Updates'!$A:$A,0)),"Uncategorised"))</f>
        <v/>
      </c>
      <c r="E87" s="10">
        <f>IFERROR(INDEX('Review Items'!$E:$E,MATCH(C87,'Review Items'!$B:$B,0)),IFERROR(INDEX('Rule Updates'!$C:$C,MATCH(C87,'Rule Updates'!$A:$A,0)),"Review"))</f>
        <v/>
      </c>
      <c r="F87" s="12" t="n">
        <v>8.99</v>
      </c>
      <c r="G87" s="12" t="n">
        <v>93.41</v>
      </c>
      <c r="H87" s="10" t="n">
        <v>2</v>
      </c>
      <c r="I87" s="10">
        <f>IF(OR(D87="Uncategorised",E87=""),"Check","")</f>
        <v/>
      </c>
    </row>
    <row r="88">
      <c r="A88" s="10" t="inlineStr">
        <is>
          <t>Amex Oct-2024</t>
        </is>
      </c>
      <c r="B88" s="11" t="n">
        <v>45575</v>
      </c>
      <c r="C88" s="10" t="inlineStr">
        <is>
          <t>GEORG JENSEN (IFC) CENTRAL</t>
        </is>
      </c>
      <c r="D88" s="10">
        <f>IFERROR(INDEX('Review Items'!$D:$D,MATCH(C88,'Review Items'!$B:$B,0)),IFERROR(INDEX('Rule Updates'!$B:$B,MATCH(C88,'Rule Updates'!$A:$A,0)),"Uncategorised"))</f>
        <v/>
      </c>
      <c r="E88" s="10">
        <f>IFERROR(INDEX('Review Items'!$E:$E,MATCH(C88,'Review Items'!$B:$B,0)),IFERROR(INDEX('Rule Updates'!$C:$C,MATCH(C88,'Rule Updates'!$A:$A,0)),"Review"))</f>
        <v/>
      </c>
      <c r="F88" s="10" t="n"/>
      <c r="G88" s="12" t="n">
        <v>4500</v>
      </c>
      <c r="H88" s="10" t="n">
        <v>3</v>
      </c>
      <c r="I88" s="10">
        <f>IF(OR(D88="Uncategorised",E88=""),"Check","")</f>
        <v/>
      </c>
    </row>
    <row r="89">
      <c r="A89" s="10" t="inlineStr">
        <is>
          <t>Amex Oct-2024</t>
        </is>
      </c>
      <c r="B89" s="11" t="n">
        <v>45575</v>
      </c>
      <c r="C89" s="10" t="inlineStr">
        <is>
          <t>PIERRE HERME PARIS CENTRAL</t>
        </is>
      </c>
      <c r="D89" s="10">
        <f>IFERROR(INDEX('Review Items'!$D:$D,MATCH(C89,'Review Items'!$B:$B,0)),IFERROR(INDEX('Rule Updates'!$B:$B,MATCH(C89,'Rule Updates'!$A:$A,0)),"Uncategorised"))</f>
        <v/>
      </c>
      <c r="E89" s="10">
        <f>IFERROR(INDEX('Review Items'!$E:$E,MATCH(C89,'Review Items'!$B:$B,0)),IFERROR(INDEX('Rule Updates'!$C:$C,MATCH(C89,'Rule Updates'!$A:$A,0)),"Review"))</f>
        <v/>
      </c>
      <c r="F89" s="10" t="n"/>
      <c r="G89" s="12" t="n">
        <v>130</v>
      </c>
      <c r="H89" s="10" t="n">
        <v>2</v>
      </c>
      <c r="I89" s="10">
        <f>IF(OR(D89="Uncategorised",E89=""),"Check","")</f>
        <v/>
      </c>
    </row>
    <row r="90">
      <c r="A90" s="10" t="inlineStr">
        <is>
          <t>Amex Oct-2024</t>
        </is>
      </c>
      <c r="B90" s="11" t="n">
        <v>45575</v>
      </c>
      <c r="C90" s="10" t="inlineStr">
        <is>
          <t>THE WING ON DEPARTMENT SHEUNG WAN</t>
        </is>
      </c>
      <c r="D90" s="10">
        <f>IFERROR(INDEX('Review Items'!$D:$D,MATCH(C90,'Review Items'!$B:$B,0)),IFERROR(INDEX('Rule Updates'!$B:$B,MATCH(C90,'Rule Updates'!$A:$A,0)),"Uncategorised"))</f>
        <v/>
      </c>
      <c r="E90" s="10">
        <f>IFERROR(INDEX('Review Items'!$E:$E,MATCH(C90,'Review Items'!$B:$B,0)),IFERROR(INDEX('Rule Updates'!$C:$C,MATCH(C90,'Rule Updates'!$A:$A,0)),"Review"))</f>
        <v/>
      </c>
      <c r="F90" s="10" t="n"/>
      <c r="G90" s="12" t="n">
        <v>799</v>
      </c>
      <c r="H90" s="10" t="n">
        <v>2</v>
      </c>
      <c r="I90" s="10">
        <f>IF(OR(D90="Uncategorised",E90=""),"Check","")</f>
        <v/>
      </c>
    </row>
    <row r="91">
      <c r="A91" s="10" t="inlineStr">
        <is>
          <t>Amex Oct-2024</t>
        </is>
      </c>
      <c r="B91" s="11" t="n">
        <v>45575</v>
      </c>
      <c r="C91" s="10" t="inlineStr">
        <is>
          <t>THE WING ON DEPARTMENT SHEUNG WAN</t>
        </is>
      </c>
      <c r="D91" s="10">
        <f>IFERROR(INDEX('Review Items'!$D:$D,MATCH(C91,'Review Items'!$B:$B,0)),IFERROR(INDEX('Rule Updates'!$B:$B,MATCH(C91,'Rule Updates'!$A:$A,0)),"Uncategorised"))</f>
        <v/>
      </c>
      <c r="E91" s="10">
        <f>IFERROR(INDEX('Review Items'!$E:$E,MATCH(C91,'Review Items'!$B:$B,0)),IFERROR(INDEX('Rule Updates'!$C:$C,MATCH(C91,'Rule Updates'!$A:$A,0)),"Review"))</f>
        <v/>
      </c>
      <c r="F91" s="10" t="n"/>
      <c r="G91" s="12" t="n">
        <v>1708</v>
      </c>
      <c r="H91" s="10" t="n">
        <v>2</v>
      </c>
      <c r="I91" s="10">
        <f>IF(OR(D91="Uncategorised",E91=""),"Check","")</f>
        <v/>
      </c>
    </row>
    <row r="92">
      <c r="A92" s="10" t="inlineStr">
        <is>
          <t>Amex Oct-2024</t>
        </is>
      </c>
      <c r="B92" s="11" t="n">
        <v>45575</v>
      </c>
      <c r="C92" s="10" t="inlineStr">
        <is>
          <t>WWW.HYUNDAI.COM SINGAPORE</t>
        </is>
      </c>
      <c r="D92" s="10">
        <f>IFERROR(INDEX('Review Items'!$D:$D,MATCH(C92,'Review Items'!$B:$B,0)),IFERROR(INDEX('Rule Updates'!$B:$B,MATCH(C92,'Rule Updates'!$A:$A,0)),"Uncategorised"))</f>
        <v/>
      </c>
      <c r="E92" s="10">
        <f>IFERROR(INDEX('Review Items'!$E:$E,MATCH(C92,'Review Items'!$B:$B,0)),IFERROR(INDEX('Rule Updates'!$C:$C,MATCH(C92,'Rule Updates'!$A:$A,0)),"Review"))</f>
        <v/>
      </c>
      <c r="F92" s="12" t="n">
        <v>779.35</v>
      </c>
      <c r="G92" s="12" t="n">
        <v>4742.32</v>
      </c>
      <c r="H92" s="10" t="n">
        <v>2</v>
      </c>
      <c r="I92" s="10">
        <f>IF(OR(D92="Uncategorised",E92=""),"Check","")</f>
        <v/>
      </c>
    </row>
    <row r="93">
      <c r="A93" s="10" t="inlineStr">
        <is>
          <t>Amex Oct-2024</t>
        </is>
      </c>
      <c r="B93" s="11" t="n">
        <v>45576</v>
      </c>
      <c r="C93" s="10" t="inlineStr">
        <is>
          <t>Alice Pizza CTRL HK</t>
        </is>
      </c>
      <c r="D93" s="10">
        <f>IFERROR(INDEX('Review Items'!$D:$D,MATCH(C93,'Review Items'!$B:$B,0)),IFERROR(INDEX('Rule Updates'!$B:$B,MATCH(C93,'Rule Updates'!$A:$A,0)),"Uncategorised"))</f>
        <v/>
      </c>
      <c r="E93" s="10">
        <f>IFERROR(INDEX('Review Items'!$E:$E,MATCH(C93,'Review Items'!$B:$B,0)),IFERROR(INDEX('Rule Updates'!$C:$C,MATCH(C93,'Rule Updates'!$A:$A,0)),"Review"))</f>
        <v/>
      </c>
      <c r="F93" s="10" t="n"/>
      <c r="G93" s="12" t="n">
        <v>261.1</v>
      </c>
      <c r="H93" s="10" t="n">
        <v>3</v>
      </c>
      <c r="I93" s="10">
        <f>IF(OR(D93="Uncategorised",E93=""),"Check","")</f>
        <v/>
      </c>
    </row>
    <row r="94">
      <c r="A94" s="10" t="inlineStr">
        <is>
          <t>Amex Oct-2024</t>
        </is>
      </c>
      <c r="B94" s="11" t="n">
        <v>45577</v>
      </c>
      <c r="C94" s="10" t="inlineStr">
        <is>
          <t>APPLE.COM/BILL CUPERTINO</t>
        </is>
      </c>
      <c r="D94" s="10">
        <f>IFERROR(INDEX('Review Items'!$D:$D,MATCH(C94,'Review Items'!$B:$B,0)),IFERROR(INDEX('Rule Updates'!$B:$B,MATCH(C94,'Rule Updates'!$A:$A,0)),"Uncategorised"))</f>
        <v/>
      </c>
      <c r="E94" s="10">
        <f>IFERROR(INDEX('Review Items'!$E:$E,MATCH(C94,'Review Items'!$B:$B,0)),IFERROR(INDEX('Rule Updates'!$C:$C,MATCH(C94,'Rule Updates'!$A:$A,0)),"Review"))</f>
        <v/>
      </c>
      <c r="F94" s="12" t="n">
        <v>11.99</v>
      </c>
      <c r="G94" s="12" t="n">
        <v>95.05</v>
      </c>
      <c r="H94" s="10" t="n">
        <v>3</v>
      </c>
      <c r="I94" s="10">
        <f>IF(OR(D94="Uncategorised",E94=""),"Check","")</f>
        <v/>
      </c>
    </row>
    <row r="95">
      <c r="A95" s="10" t="inlineStr">
        <is>
          <t>Amex Oct-2024</t>
        </is>
      </c>
      <c r="B95" s="11" t="n">
        <v>45577</v>
      </c>
      <c r="C95" s="10" t="inlineStr">
        <is>
          <t>GARMIN (EUROPE) LIMITED SOUTHAMPTON</t>
        </is>
      </c>
      <c r="D95" s="10">
        <f>IFERROR(INDEX('Review Items'!$D:$D,MATCH(C95,'Review Items'!$B:$B,0)),IFERROR(INDEX('Rule Updates'!$B:$B,MATCH(C95,'Rule Updates'!$A:$A,0)),"Uncategorised"))</f>
        <v/>
      </c>
      <c r="E95" s="10">
        <f>IFERROR(INDEX('Review Items'!$E:$E,MATCH(C95,'Review Items'!$B:$B,0)),IFERROR(INDEX('Rule Updates'!$C:$C,MATCH(C95,'Rule Updates'!$A:$A,0)),"Review"))</f>
        <v/>
      </c>
      <c r="F95" s="12" t="n">
        <v>9.99</v>
      </c>
      <c r="G95" s="12" t="n">
        <v>79.2</v>
      </c>
      <c r="H95" s="10" t="n">
        <v>3</v>
      </c>
      <c r="I95" s="10">
        <f>IF(OR(D95="Uncategorised",E95=""),"Check","")</f>
        <v/>
      </c>
    </row>
    <row r="96">
      <c r="A96" s="10" t="inlineStr">
        <is>
          <t>Amex Oct-2024</t>
        </is>
      </c>
      <c r="B96" s="11" t="n">
        <v>45577</v>
      </c>
      <c r="C96" s="10" t="inlineStr">
        <is>
          <t>LUCALE SAI YING PUN</t>
        </is>
      </c>
      <c r="D96" s="10">
        <f>IFERROR(INDEX('Review Items'!$D:$D,MATCH(C96,'Review Items'!$B:$B,0)),IFERROR(INDEX('Rule Updates'!$B:$B,MATCH(C96,'Rule Updates'!$A:$A,0)),"Uncategorised"))</f>
        <v/>
      </c>
      <c r="E96" s="10">
        <f>IFERROR(INDEX('Review Items'!$E:$E,MATCH(C96,'Review Items'!$B:$B,0)),IFERROR(INDEX('Rule Updates'!$C:$C,MATCH(C96,'Rule Updates'!$A:$A,0)),"Review"))</f>
        <v/>
      </c>
      <c r="F96" s="10" t="n"/>
      <c r="G96" s="12" t="n">
        <v>6384</v>
      </c>
      <c r="H96" s="10" t="n">
        <v>3</v>
      </c>
      <c r="I96" s="10">
        <f>IF(OR(D96="Uncategorised",E96=""),"Check","")</f>
        <v/>
      </c>
    </row>
    <row r="97">
      <c r="A97" s="10" t="inlineStr">
        <is>
          <t>Amex Oct-2024</t>
        </is>
      </c>
      <c r="B97" s="11" t="n">
        <v>45578</v>
      </c>
      <c r="C97" s="10" t="inlineStr">
        <is>
          <t>AESOP IFC II CENTRAL</t>
        </is>
      </c>
      <c r="D97" s="10">
        <f>IFERROR(INDEX('Review Items'!$D:$D,MATCH(C97,'Review Items'!$B:$B,0)),IFERROR(INDEX('Rule Updates'!$B:$B,MATCH(C97,'Rule Updates'!$A:$A,0)),"Uncategorised"))</f>
        <v/>
      </c>
      <c r="E97" s="10">
        <f>IFERROR(INDEX('Review Items'!$E:$E,MATCH(C97,'Review Items'!$B:$B,0)),IFERROR(INDEX('Rule Updates'!$C:$C,MATCH(C97,'Rule Updates'!$A:$A,0)),"Review"))</f>
        <v/>
      </c>
      <c r="F97" s="10" t="n"/>
      <c r="G97" s="12" t="n">
        <v>3710</v>
      </c>
      <c r="H97" s="10" t="n">
        <v>3</v>
      </c>
      <c r="I97" s="10">
        <f>IF(OR(D97="Uncategorised",E97=""),"Check","")</f>
        <v/>
      </c>
    </row>
    <row r="98">
      <c r="A98" s="10" t="inlineStr">
        <is>
          <t>Amex Oct-2024</t>
        </is>
      </c>
      <c r="B98" s="11" t="n">
        <v>45578</v>
      </c>
      <c r="C98" s="10" t="inlineStr">
        <is>
          <t>APPLE.COM/BILL CUPERTINO</t>
        </is>
      </c>
      <c r="D98" s="10">
        <f>IFERROR(INDEX('Review Items'!$D:$D,MATCH(C98,'Review Items'!$B:$B,0)),IFERROR(INDEX('Rule Updates'!$B:$B,MATCH(C98,'Rule Updates'!$A:$A,0)),"Uncategorised"))</f>
        <v/>
      </c>
      <c r="E98" s="10">
        <f>IFERROR(INDEX('Review Items'!$E:$E,MATCH(C98,'Review Items'!$B:$B,0)),IFERROR(INDEX('Rule Updates'!$C:$C,MATCH(C98,'Rule Updates'!$A:$A,0)),"Review"))</f>
        <v/>
      </c>
      <c r="F98" s="12" t="n">
        <v>11.99</v>
      </c>
      <c r="G98" s="12" t="n">
        <v>95.05</v>
      </c>
      <c r="H98" s="10" t="n">
        <v>3</v>
      </c>
      <c r="I98" s="10">
        <f>IF(OR(D98="Uncategorised",E98=""),"Check","")</f>
        <v/>
      </c>
    </row>
    <row r="99">
      <c r="A99" s="10" t="inlineStr">
        <is>
          <t>Amex Oct-2024</t>
        </is>
      </c>
      <c r="B99" s="11" t="n">
        <v>45578</v>
      </c>
      <c r="C99" s="10" t="inlineStr">
        <is>
          <t>APPLE.COM/BILL CUPERTINO</t>
        </is>
      </c>
      <c r="D99" s="10">
        <f>IFERROR(INDEX('Review Items'!$D:$D,MATCH(C99,'Review Items'!$B:$B,0)),IFERROR(INDEX('Rule Updates'!$B:$B,MATCH(C99,'Rule Updates'!$A:$A,0)),"Uncategorised"))</f>
        <v/>
      </c>
      <c r="E99" s="10">
        <f>IFERROR(INDEX('Review Items'!$E:$E,MATCH(C99,'Review Items'!$B:$B,0)),IFERROR(INDEX('Rule Updates'!$C:$C,MATCH(C99,'Rule Updates'!$A:$A,0)),"Review"))</f>
        <v/>
      </c>
      <c r="F99" s="12" t="n">
        <v>37.95</v>
      </c>
      <c r="G99" s="12" t="n">
        <v>300.85</v>
      </c>
      <c r="H99" s="10" t="n">
        <v>3</v>
      </c>
      <c r="I99" s="10">
        <f>IF(OR(D99="Uncategorised",E99=""),"Check","")</f>
        <v/>
      </c>
    </row>
    <row r="100">
      <c r="A100" s="10" t="inlineStr">
        <is>
          <t>Amex Oct-2024</t>
        </is>
      </c>
      <c r="B100" s="11" t="n">
        <v>45578</v>
      </c>
      <c r="C100" s="10" t="inlineStr">
        <is>
          <t>CITY'SUPER CENTRAL</t>
        </is>
      </c>
      <c r="D100" s="10">
        <f>IFERROR(INDEX('Review Items'!$D:$D,MATCH(C100,'Review Items'!$B:$B,0)),IFERROR(INDEX('Rule Updates'!$B:$B,MATCH(C100,'Rule Updates'!$A:$A,0)),"Uncategorised"))</f>
        <v/>
      </c>
      <c r="E100" s="10">
        <f>IFERROR(INDEX('Review Items'!$E:$E,MATCH(C100,'Review Items'!$B:$B,0)),IFERROR(INDEX('Rule Updates'!$C:$C,MATCH(C100,'Rule Updates'!$A:$A,0)),"Review"))</f>
        <v/>
      </c>
      <c r="F100" s="10" t="n"/>
      <c r="G100" s="12" t="n">
        <v>573.2</v>
      </c>
      <c r="H100" s="10" t="n">
        <v>3</v>
      </c>
      <c r="I100" s="10">
        <f>IF(OR(D100="Uncategorised",E100=""),"Check","")</f>
        <v/>
      </c>
    </row>
    <row r="101">
      <c r="A101" s="10" t="inlineStr">
        <is>
          <t>Amex Oct-2024</t>
        </is>
      </c>
      <c r="B101" s="11" t="n">
        <v>45578</v>
      </c>
      <c r="C101" s="10" t="inlineStr">
        <is>
          <t>LANE CRAWFORD (IFC) CENTRAL</t>
        </is>
      </c>
      <c r="D101" s="10">
        <f>IFERROR(INDEX('Review Items'!$D:$D,MATCH(C101,'Review Items'!$B:$B,0)),IFERROR(INDEX('Rule Updates'!$B:$B,MATCH(C101,'Rule Updates'!$A:$A,0)),"Uncategorised"))</f>
        <v/>
      </c>
      <c r="E101" s="10">
        <f>IFERROR(INDEX('Review Items'!$E:$E,MATCH(C101,'Review Items'!$B:$B,0)),IFERROR(INDEX('Rule Updates'!$C:$C,MATCH(C101,'Rule Updates'!$A:$A,0)),"Review"))</f>
        <v/>
      </c>
      <c r="F101" s="10" t="n"/>
      <c r="G101" s="12" t="n">
        <v>2490</v>
      </c>
      <c r="H101" s="10" t="n">
        <v>3</v>
      </c>
      <c r="I101" s="10">
        <f>IF(OR(D101="Uncategorised",E101=""),"Check","")</f>
        <v/>
      </c>
    </row>
    <row r="102">
      <c r="A102" s="10" t="inlineStr">
        <is>
          <t>Amex Oct-2024</t>
        </is>
      </c>
      <c r="B102" s="11" t="n">
        <v>45578</v>
      </c>
      <c r="C102" s="10" t="inlineStr">
        <is>
          <t>LANE CRAWFORD (IFC) CENTRAL</t>
        </is>
      </c>
      <c r="D102" s="10">
        <f>IFERROR(INDEX('Review Items'!$D:$D,MATCH(C102,'Review Items'!$B:$B,0)),IFERROR(INDEX('Rule Updates'!$B:$B,MATCH(C102,'Rule Updates'!$A:$A,0)),"Uncategorised"))</f>
        <v/>
      </c>
      <c r="E102" s="10">
        <f>IFERROR(INDEX('Review Items'!$E:$E,MATCH(C102,'Review Items'!$B:$B,0)),IFERROR(INDEX('Rule Updates'!$C:$C,MATCH(C102,'Rule Updates'!$A:$A,0)),"Review"))</f>
        <v/>
      </c>
      <c r="F102" s="10" t="n"/>
      <c r="G102" s="12" t="n">
        <v>3680</v>
      </c>
      <c r="H102" s="10" t="n">
        <v>3</v>
      </c>
      <c r="I102" s="10">
        <f>IF(OR(D102="Uncategorised",E102=""),"Check","")</f>
        <v/>
      </c>
    </row>
    <row r="103">
      <c r="A103" s="10" t="inlineStr">
        <is>
          <t>Amex Oct-2024</t>
        </is>
      </c>
      <c r="B103" s="11" t="n">
        <v>45579</v>
      </c>
      <c r="C103" s="10" t="inlineStr">
        <is>
          <t>BASEHALL 2 CENTRAL</t>
        </is>
      </c>
      <c r="D103" s="10">
        <f>IFERROR(INDEX('Review Items'!$D:$D,MATCH(C103,'Review Items'!$B:$B,0)),IFERROR(INDEX('Rule Updates'!$B:$B,MATCH(C103,'Rule Updates'!$A:$A,0)),"Uncategorised"))</f>
        <v/>
      </c>
      <c r="E103" s="10">
        <f>IFERROR(INDEX('Review Items'!$E:$E,MATCH(C103,'Review Items'!$B:$B,0)),IFERROR(INDEX('Rule Updates'!$C:$C,MATCH(C103,'Rule Updates'!$A:$A,0)),"Review"))</f>
        <v/>
      </c>
      <c r="F103" s="10" t="n"/>
      <c r="G103" s="12" t="n">
        <v>70</v>
      </c>
      <c r="H103" s="10" t="n">
        <v>5</v>
      </c>
      <c r="I103" s="10">
        <f>IF(OR(D103="Uncategorised",E103=""),"Check","")</f>
        <v/>
      </c>
    </row>
    <row r="104">
      <c r="A104" s="10" t="inlineStr">
        <is>
          <t>Amex Oct-2024</t>
        </is>
      </c>
      <c r="B104" s="11" t="n">
        <v>45579</v>
      </c>
      <c r="C104" s="10" t="inlineStr">
        <is>
          <t>BASEHALL 2 CENTRAL</t>
        </is>
      </c>
      <c r="D104" s="10">
        <f>IFERROR(INDEX('Review Items'!$D:$D,MATCH(C104,'Review Items'!$B:$B,0)),IFERROR(INDEX('Rule Updates'!$B:$B,MATCH(C104,'Rule Updates'!$A:$A,0)),"Uncategorised"))</f>
        <v/>
      </c>
      <c r="E104" s="10">
        <f>IFERROR(INDEX('Review Items'!$E:$E,MATCH(C104,'Review Items'!$B:$B,0)),IFERROR(INDEX('Rule Updates'!$C:$C,MATCH(C104,'Rule Updates'!$A:$A,0)),"Review"))</f>
        <v/>
      </c>
      <c r="F104" s="10" t="n"/>
      <c r="G104" s="12" t="n">
        <v>88</v>
      </c>
      <c r="H104" s="10" t="n">
        <v>5</v>
      </c>
      <c r="I104" s="10">
        <f>IF(OR(D104="Uncategorised",E104=""),"Check","")</f>
        <v/>
      </c>
    </row>
    <row r="105">
      <c r="A105" s="10" t="inlineStr">
        <is>
          <t>Amex Oct-2024</t>
        </is>
      </c>
      <c r="B105" s="11" t="n">
        <v>45579</v>
      </c>
      <c r="C105" s="10" t="inlineStr">
        <is>
          <t>BASEHALL 2 CENTRAL</t>
        </is>
      </c>
      <c r="D105" s="10">
        <f>IFERROR(INDEX('Review Items'!$D:$D,MATCH(C105,'Review Items'!$B:$B,0)),IFERROR(INDEX('Rule Updates'!$B:$B,MATCH(C105,'Rule Updates'!$A:$A,0)),"Uncategorised"))</f>
        <v/>
      </c>
      <c r="E105" s="10">
        <f>IFERROR(INDEX('Review Items'!$E:$E,MATCH(C105,'Review Items'!$B:$B,0)),IFERROR(INDEX('Rule Updates'!$C:$C,MATCH(C105,'Rule Updates'!$A:$A,0)),"Review"))</f>
        <v/>
      </c>
      <c r="F105" s="10" t="n"/>
      <c r="G105" s="12" t="n">
        <v>86</v>
      </c>
      <c r="H105" s="10" t="n">
        <v>5</v>
      </c>
      <c r="I105" s="10">
        <f>IF(OR(D105="Uncategorised",E105=""),"Check","")</f>
        <v/>
      </c>
    </row>
    <row r="106">
      <c r="A106" s="10" t="inlineStr">
        <is>
          <t>Amex Oct-2024</t>
        </is>
      </c>
      <c r="B106" s="11" t="n">
        <v>45579</v>
      </c>
      <c r="C106" s="10" t="inlineStr">
        <is>
          <t>FARFETCH LONDON</t>
        </is>
      </c>
      <c r="D106" s="10">
        <f>IFERROR(INDEX('Review Items'!$D:$D,MATCH(C106,'Review Items'!$B:$B,0)),IFERROR(INDEX('Rule Updates'!$B:$B,MATCH(C106,'Rule Updates'!$A:$A,0)),"Uncategorised"))</f>
        <v/>
      </c>
      <c r="E106" s="10">
        <f>IFERROR(INDEX('Review Items'!$E:$E,MATCH(C106,'Review Items'!$B:$B,0)),IFERROR(INDEX('Rule Updates'!$C:$C,MATCH(C106,'Rule Updates'!$A:$A,0)),"Review"))</f>
        <v/>
      </c>
      <c r="F106" s="10" t="n"/>
      <c r="G106" s="12" t="n">
        <v>-5925</v>
      </c>
      <c r="H106" s="10" t="n">
        <v>3</v>
      </c>
      <c r="I106" s="10">
        <f>IF(OR(D106="Uncategorised",E106=""),"Check","")</f>
        <v/>
      </c>
    </row>
    <row r="107">
      <c r="A107" s="10" t="inlineStr">
        <is>
          <t>Amex Oct-2024</t>
        </is>
      </c>
      <c r="B107" s="11" t="n">
        <v>45580</v>
      </c>
      <c r="C107" s="10" t="inlineStr">
        <is>
          <t>APPLE.COM/BILL CUPERTINO</t>
        </is>
      </c>
      <c r="D107" s="10">
        <f>IFERROR(INDEX('Review Items'!$D:$D,MATCH(C107,'Review Items'!$B:$B,0)),IFERROR(INDEX('Rule Updates'!$B:$B,MATCH(C107,'Rule Updates'!$A:$A,0)),"Uncategorised"))</f>
        <v/>
      </c>
      <c r="E107" s="10">
        <f>IFERROR(INDEX('Review Items'!$E:$E,MATCH(C107,'Review Items'!$B:$B,0)),IFERROR(INDEX('Rule Updates'!$C:$C,MATCH(C107,'Rule Updates'!$A:$A,0)),"Review"))</f>
        <v/>
      </c>
      <c r="F107" s="12" t="n">
        <v>24.99</v>
      </c>
      <c r="G107" s="12" t="n">
        <v>198.03</v>
      </c>
      <c r="H107" s="10" t="n">
        <v>3</v>
      </c>
      <c r="I107" s="10">
        <f>IF(OR(D107="Uncategorised",E107=""),"Check","")</f>
        <v/>
      </c>
    </row>
    <row r="108">
      <c r="A108" s="10" t="inlineStr">
        <is>
          <t>Amex Oct-2024</t>
        </is>
      </c>
      <c r="B108" s="11" t="n">
        <v>45580</v>
      </c>
      <c r="C108" s="10" t="inlineStr">
        <is>
          <t>APPLE.COM/BILL CUPERTINO</t>
        </is>
      </c>
      <c r="D108" s="10">
        <f>IFERROR(INDEX('Review Items'!$D:$D,MATCH(C108,'Review Items'!$B:$B,0)),IFERROR(INDEX('Rule Updates'!$B:$B,MATCH(C108,'Rule Updates'!$A:$A,0)),"Uncategorised"))</f>
        <v/>
      </c>
      <c r="E108" s="10">
        <f>IFERROR(INDEX('Review Items'!$E:$E,MATCH(C108,'Review Items'!$B:$B,0)),IFERROR(INDEX('Rule Updates'!$C:$C,MATCH(C108,'Rule Updates'!$A:$A,0)),"Review"))</f>
        <v/>
      </c>
      <c r="F108" s="12" t="n">
        <v>3.49</v>
      </c>
      <c r="G108" s="12" t="n">
        <v>27.65</v>
      </c>
      <c r="H108" s="10" t="n">
        <v>3</v>
      </c>
      <c r="I108" s="10">
        <f>IF(OR(D108="Uncategorised",E108=""),"Check","")</f>
        <v/>
      </c>
    </row>
    <row r="109">
      <c r="A109" s="10" t="inlineStr">
        <is>
          <t>Amex Oct-2024</t>
        </is>
      </c>
      <c r="B109" s="11" t="n">
        <v>45581</v>
      </c>
      <c r="C109" s="10" t="inlineStr">
        <is>
          <t>BOBBI BROWN ESSENTIALS CENTRAL</t>
        </is>
      </c>
      <c r="D109" s="10">
        <f>IFERROR(INDEX('Review Items'!$D:$D,MATCH(C109,'Review Items'!$B:$B,0)),IFERROR(INDEX('Rule Updates'!$B:$B,MATCH(C109,'Rule Updates'!$A:$A,0)),"Uncategorised"))</f>
        <v/>
      </c>
      <c r="E109" s="10">
        <f>IFERROR(INDEX('Review Items'!$E:$E,MATCH(C109,'Review Items'!$B:$B,0)),IFERROR(INDEX('Rule Updates'!$C:$C,MATCH(C109,'Rule Updates'!$A:$A,0)),"Review"))</f>
        <v/>
      </c>
      <c r="F109" s="10" t="n"/>
      <c r="G109" s="12" t="n">
        <v>1015</v>
      </c>
      <c r="H109" s="10" t="n">
        <v>3</v>
      </c>
      <c r="I109" s="10">
        <f>IF(OR(D109="Uncategorised",E109=""),"Check","")</f>
        <v/>
      </c>
    </row>
    <row r="110">
      <c r="A110" s="10" t="inlineStr">
        <is>
          <t>Amex Oct-2024</t>
        </is>
      </c>
      <c r="B110" s="11" t="n">
        <v>45581</v>
      </c>
      <c r="C110" s="10" t="inlineStr">
        <is>
          <t>IL COLPO PACIFIC PLACE ADMIRALTY</t>
        </is>
      </c>
      <c r="D110" s="10">
        <f>IFERROR(INDEX('Review Items'!$D:$D,MATCH(C110,'Review Items'!$B:$B,0)),IFERROR(INDEX('Rule Updates'!$B:$B,MATCH(C110,'Rule Updates'!$A:$A,0)),"Uncategorised"))</f>
        <v/>
      </c>
      <c r="E110" s="10">
        <f>IFERROR(INDEX('Review Items'!$E:$E,MATCH(C110,'Review Items'!$B:$B,0)),IFERROR(INDEX('Rule Updates'!$C:$C,MATCH(C110,'Rule Updates'!$A:$A,0)),"Review"))</f>
        <v/>
      </c>
      <c r="F110" s="10" t="n"/>
      <c r="G110" s="12" t="n">
        <v>7560</v>
      </c>
      <c r="H110" s="10" t="n">
        <v>3</v>
      </c>
      <c r="I110" s="10">
        <f>IF(OR(D110="Uncategorised",E110=""),"Check","")</f>
        <v/>
      </c>
    </row>
    <row r="111">
      <c r="A111" s="10" t="inlineStr">
        <is>
          <t>Amex Oct-2024</t>
        </is>
      </c>
      <c r="B111" s="11" t="n">
        <v>45581</v>
      </c>
      <c r="C111" s="10" t="inlineStr">
        <is>
          <t>KELLY &amp; WALSH LTD ADMIRALTY</t>
        </is>
      </c>
      <c r="D111" s="10">
        <f>IFERROR(INDEX('Review Items'!$D:$D,MATCH(C111,'Review Items'!$B:$B,0)),IFERROR(INDEX('Rule Updates'!$B:$B,MATCH(C111,'Rule Updates'!$A:$A,0)),"Uncategorised"))</f>
        <v/>
      </c>
      <c r="E111" s="10">
        <f>IFERROR(INDEX('Review Items'!$E:$E,MATCH(C111,'Review Items'!$B:$B,0)),IFERROR(INDEX('Rule Updates'!$C:$C,MATCH(C111,'Rule Updates'!$A:$A,0)),"Review"))</f>
        <v/>
      </c>
      <c r="F111" s="10" t="n"/>
      <c r="G111" s="12" t="n">
        <v>405</v>
      </c>
      <c r="H111" s="10" t="n">
        <v>3</v>
      </c>
      <c r="I111" s="10">
        <f>IF(OR(D111="Uncategorised",E111=""),"Check","")</f>
        <v/>
      </c>
    </row>
    <row r="112">
      <c r="A112" s="10" t="inlineStr">
        <is>
          <t>Amex Oct-2024</t>
        </is>
      </c>
      <c r="B112" s="11" t="n">
        <v>45582</v>
      </c>
      <c r="C112" s="10" t="inlineStr">
        <is>
          <t>CITYLINE (HONG KONG) LT KWUN TONG</t>
        </is>
      </c>
      <c r="D112" s="10">
        <f>IFERROR(INDEX('Review Items'!$D:$D,MATCH(C112,'Review Items'!$B:$B,0)),IFERROR(INDEX('Rule Updates'!$B:$B,MATCH(C112,'Rule Updates'!$A:$A,0)),"Uncategorised"))</f>
        <v/>
      </c>
      <c r="E112" s="10">
        <f>IFERROR(INDEX('Review Items'!$E:$E,MATCH(C112,'Review Items'!$B:$B,0)),IFERROR(INDEX('Rule Updates'!$C:$C,MATCH(C112,'Rule Updates'!$A:$A,0)),"Review"))</f>
        <v/>
      </c>
      <c r="F112" s="10" t="n"/>
      <c r="G112" s="12" t="n">
        <v>4776</v>
      </c>
      <c r="H112" s="10" t="n">
        <v>3</v>
      </c>
      <c r="I112" s="10">
        <f>IF(OR(D112="Uncategorised",E112=""),"Check","")</f>
        <v/>
      </c>
    </row>
    <row r="113">
      <c r="A113" s="10" t="inlineStr">
        <is>
          <t>Amex Oct-2024</t>
        </is>
      </c>
      <c r="B113" s="11" t="n">
        <v>45582</v>
      </c>
      <c r="C113" s="10" t="inlineStr">
        <is>
          <t>SP HOMELESS.HK WONG CHUK HANG</t>
        </is>
      </c>
      <c r="D113" s="10">
        <f>IFERROR(INDEX('Review Items'!$D:$D,MATCH(C113,'Review Items'!$B:$B,0)),IFERROR(INDEX('Rule Updates'!$B:$B,MATCH(C113,'Rule Updates'!$A:$A,0)),"Uncategorised"))</f>
        <v/>
      </c>
      <c r="E113" s="10">
        <f>IFERROR(INDEX('Review Items'!$E:$E,MATCH(C113,'Review Items'!$B:$B,0)),IFERROR(INDEX('Rule Updates'!$C:$C,MATCH(C113,'Rule Updates'!$A:$A,0)),"Review"))</f>
        <v/>
      </c>
      <c r="F113" s="10" t="n"/>
      <c r="G113" s="12" t="n">
        <v>5634.97</v>
      </c>
      <c r="H113" s="10" t="n">
        <v>3</v>
      </c>
      <c r="I113" s="10">
        <f>IF(OR(D113="Uncategorised",E113=""),"Check","")</f>
        <v/>
      </c>
    </row>
    <row r="114">
      <c r="A114" s="10" t="inlineStr">
        <is>
          <t>Amex Oct-2024</t>
        </is>
      </c>
      <c r="B114" s="11" t="n">
        <v>45583</v>
      </c>
      <c r="C114" s="10" t="inlineStr">
        <is>
          <t>BBMSL*GOKAN HK</t>
        </is>
      </c>
      <c r="D114" s="10">
        <f>IFERROR(INDEX('Review Items'!$D:$D,MATCH(C114,'Review Items'!$B:$B,0)),IFERROR(INDEX('Rule Updates'!$B:$B,MATCH(C114,'Rule Updates'!$A:$A,0)),"Uncategorised"))</f>
        <v/>
      </c>
      <c r="E114" s="10">
        <f>IFERROR(INDEX('Review Items'!$E:$E,MATCH(C114,'Review Items'!$B:$B,0)),IFERROR(INDEX('Rule Updates'!$C:$C,MATCH(C114,'Rule Updates'!$A:$A,0)),"Review"))</f>
        <v/>
      </c>
      <c r="F114" s="10" t="n"/>
      <c r="G114" s="12" t="n">
        <v>1771</v>
      </c>
      <c r="H114" s="10" t="n">
        <v>5</v>
      </c>
      <c r="I114" s="10">
        <f>IF(OR(D114="Uncategorised",E114=""),"Check","")</f>
        <v/>
      </c>
    </row>
    <row r="115">
      <c r="A115" s="10" t="inlineStr">
        <is>
          <t>Amex Oct-2024</t>
        </is>
      </c>
      <c r="B115" s="11" t="n">
        <v>45584</v>
      </c>
      <c r="C115" s="10" t="inlineStr">
        <is>
          <t>APPLE.COM/BILL CUPERTINO</t>
        </is>
      </c>
      <c r="D115" s="10">
        <f>IFERROR(INDEX('Review Items'!$D:$D,MATCH(C115,'Review Items'!$B:$B,0)),IFERROR(INDEX('Rule Updates'!$B:$B,MATCH(C115,'Rule Updates'!$A:$A,0)),"Uncategorised"))</f>
        <v/>
      </c>
      <c r="E115" s="10">
        <f>IFERROR(INDEX('Review Items'!$E:$E,MATCH(C115,'Review Items'!$B:$B,0)),IFERROR(INDEX('Rule Updates'!$C:$C,MATCH(C115,'Rule Updates'!$A:$A,0)),"Review"))</f>
        <v/>
      </c>
      <c r="F115" s="12" t="n">
        <v>4.99</v>
      </c>
      <c r="G115" s="12" t="n">
        <v>39.55</v>
      </c>
      <c r="H115" s="10" t="n">
        <v>3</v>
      </c>
      <c r="I115" s="10">
        <f>IF(OR(D115="Uncategorised",E115=""),"Check","")</f>
        <v/>
      </c>
    </row>
    <row r="116">
      <c r="A116" s="10" t="inlineStr">
        <is>
          <t>Amex Oct-2024</t>
        </is>
      </c>
      <c r="B116" s="11" t="n">
        <v>45586</v>
      </c>
      <c r="C116" s="10" t="inlineStr">
        <is>
          <t>CJ_OLIVE YOUNG SEOUL</t>
        </is>
      </c>
      <c r="D116" s="10">
        <f>IFERROR(INDEX('Review Items'!$D:$D,MATCH(C116,'Review Items'!$B:$B,0)),IFERROR(INDEX('Rule Updates'!$B:$B,MATCH(C116,'Rule Updates'!$A:$A,0)),"Uncategorised"))</f>
        <v/>
      </c>
      <c r="E116" s="10">
        <f>IFERROR(INDEX('Review Items'!$E:$E,MATCH(C116,'Review Items'!$B:$B,0)),IFERROR(INDEX('Rule Updates'!$C:$C,MATCH(C116,'Rule Updates'!$A:$A,0)),"Review"))</f>
        <v/>
      </c>
      <c r="F116" s="12" t="n">
        <v>79.43000000000001</v>
      </c>
      <c r="G116" s="12" t="n">
        <v>629.85</v>
      </c>
      <c r="H116" s="10" t="n">
        <v>4</v>
      </c>
      <c r="I116" s="10">
        <f>IF(OR(D116="Uncategorised",E116=""),"Check","")</f>
        <v/>
      </c>
    </row>
    <row r="117">
      <c r="A117" s="10" t="inlineStr">
        <is>
          <t>Amex Oct-2024</t>
        </is>
      </c>
      <c r="B117" s="11" t="n">
        <v>45586</v>
      </c>
      <c r="C117" s="10" t="inlineStr">
        <is>
          <t>HING FAT FLOWER WHOLESA MONGKOK</t>
        </is>
      </c>
      <c r="D117" s="10">
        <f>IFERROR(INDEX('Review Items'!$D:$D,MATCH(C117,'Review Items'!$B:$B,0)),IFERROR(INDEX('Rule Updates'!$B:$B,MATCH(C117,'Rule Updates'!$A:$A,0)),"Uncategorised"))</f>
        <v/>
      </c>
      <c r="E117" s="10">
        <f>IFERROR(INDEX('Review Items'!$E:$E,MATCH(C117,'Review Items'!$B:$B,0)),IFERROR(INDEX('Rule Updates'!$C:$C,MATCH(C117,'Rule Updates'!$A:$A,0)),"Review"))</f>
        <v/>
      </c>
      <c r="F117" s="10" t="n"/>
      <c r="G117" s="12" t="n">
        <v>790</v>
      </c>
      <c r="H117" s="10" t="n">
        <v>3</v>
      </c>
      <c r="I117" s="10">
        <f>IF(OR(D117="Uncategorised",E117=""),"Check","")</f>
        <v/>
      </c>
    </row>
    <row r="118">
      <c r="A118" s="10" t="inlineStr">
        <is>
          <t>Amex Oct-2024</t>
        </is>
      </c>
      <c r="B118" s="11" t="n">
        <v>45586</v>
      </c>
      <c r="C118" s="10" t="inlineStr">
        <is>
          <t>HOMELOFT LEWES</t>
        </is>
      </c>
      <c r="D118" s="10">
        <f>IFERROR(INDEX('Review Items'!$D:$D,MATCH(C118,'Review Items'!$B:$B,0)),IFERROR(INDEX('Rule Updates'!$B:$B,MATCH(C118,'Rule Updates'!$A:$A,0)),"Uncategorised"))</f>
        <v/>
      </c>
      <c r="E118" s="10">
        <f>IFERROR(INDEX('Review Items'!$E:$E,MATCH(C118,'Review Items'!$B:$B,0)),IFERROR(INDEX('Rule Updates'!$C:$C,MATCH(C118,'Rule Updates'!$A:$A,0)),"Review"))</f>
        <v/>
      </c>
      <c r="F118" s="10" t="n"/>
      <c r="G118" s="12" t="n">
        <v>6489.6</v>
      </c>
      <c r="H118" s="10" t="n">
        <v>4</v>
      </c>
      <c r="I118" s="10">
        <f>IF(OR(D118="Uncategorised",E118=""),"Check","")</f>
        <v/>
      </c>
    </row>
    <row r="119">
      <c r="A119" s="10" t="inlineStr">
        <is>
          <t>Amex Oct-2024</t>
        </is>
      </c>
      <c r="B119" s="11" t="n">
        <v>45587</v>
      </c>
      <c r="C119" s="10" t="inlineStr">
        <is>
          <t>CITY'SUPER CAUSEWAY BAY</t>
        </is>
      </c>
      <c r="D119" s="10">
        <f>IFERROR(INDEX('Review Items'!$D:$D,MATCH(C119,'Review Items'!$B:$B,0)),IFERROR(INDEX('Rule Updates'!$B:$B,MATCH(C119,'Rule Updates'!$A:$A,0)),"Uncategorised"))</f>
        <v/>
      </c>
      <c r="E119" s="10">
        <f>IFERROR(INDEX('Review Items'!$E:$E,MATCH(C119,'Review Items'!$B:$B,0)),IFERROR(INDEX('Rule Updates'!$C:$C,MATCH(C119,'Rule Updates'!$A:$A,0)),"Review"))</f>
        <v/>
      </c>
      <c r="F119" s="10" t="n"/>
      <c r="G119" s="12" t="n">
        <v>549.3</v>
      </c>
      <c r="H119" s="10" t="n">
        <v>4</v>
      </c>
      <c r="I119" s="10">
        <f>IF(OR(D119="Uncategorised",E119=""),"Check","")</f>
        <v/>
      </c>
    </row>
    <row r="120">
      <c r="A120" s="10" t="inlineStr">
        <is>
          <t>Amex Oct-2024</t>
        </is>
      </c>
      <c r="B120" s="11" t="n">
        <v>45587</v>
      </c>
      <c r="C120" s="10" t="inlineStr">
        <is>
          <t>KATES BREAD OJAI</t>
        </is>
      </c>
      <c r="D120" s="10">
        <f>IFERROR(INDEX('Review Items'!$D:$D,MATCH(C120,'Review Items'!$B:$B,0)),IFERROR(INDEX('Rule Updates'!$B:$B,MATCH(C120,'Rule Updates'!$A:$A,0)),"Uncategorised"))</f>
        <v/>
      </c>
      <c r="E120" s="10">
        <f>IFERROR(INDEX('Review Items'!$E:$E,MATCH(C120,'Review Items'!$B:$B,0)),IFERROR(INDEX('Rule Updates'!$C:$C,MATCH(C120,'Rule Updates'!$A:$A,0)),"Review"))</f>
        <v/>
      </c>
      <c r="F120" s="12" t="n">
        <v>5</v>
      </c>
      <c r="G120" s="12" t="n">
        <v>39.64</v>
      </c>
      <c r="H120" s="10" t="n">
        <v>4</v>
      </c>
      <c r="I120" s="10">
        <f>IF(OR(D120="Uncategorised",E120=""),"Check","")</f>
        <v/>
      </c>
    </row>
    <row r="121">
      <c r="A121" s="10" t="inlineStr">
        <is>
          <t>Amex Oct-2024</t>
        </is>
      </c>
      <c r="B121" s="11" t="n">
        <v>45587</v>
      </c>
      <c r="C121" s="10" t="inlineStr">
        <is>
          <t>LANE CRAWFORD (TIMES SQ CAUSEWAY BAY</t>
        </is>
      </c>
      <c r="D121" s="10">
        <f>IFERROR(INDEX('Review Items'!$D:$D,MATCH(C121,'Review Items'!$B:$B,0)),IFERROR(INDEX('Rule Updates'!$B:$B,MATCH(C121,'Rule Updates'!$A:$A,0)),"Uncategorised"))</f>
        <v/>
      </c>
      <c r="E121" s="10">
        <f>IFERROR(INDEX('Review Items'!$E:$E,MATCH(C121,'Review Items'!$B:$B,0)),IFERROR(INDEX('Rule Updates'!$C:$C,MATCH(C121,'Rule Updates'!$A:$A,0)),"Review"))</f>
        <v/>
      </c>
      <c r="F121" s="10" t="n"/>
      <c r="G121" s="12" t="n">
        <v>1330</v>
      </c>
      <c r="H121" s="10" t="n">
        <v>4</v>
      </c>
      <c r="I121" s="10">
        <f>IF(OR(D121="Uncategorised",E121=""),"Check","")</f>
        <v/>
      </c>
    </row>
    <row r="122">
      <c r="A122" s="10" t="inlineStr">
        <is>
          <t>Amex Oct-2024</t>
        </is>
      </c>
      <c r="B122" s="11" t="n">
        <v>45587</v>
      </c>
      <c r="C122" s="10" t="inlineStr">
        <is>
          <t>THE DAIRY FARM - MANNIN CAUSEWAY BAY</t>
        </is>
      </c>
      <c r="D122" s="10">
        <f>IFERROR(INDEX('Review Items'!$D:$D,MATCH(C122,'Review Items'!$B:$B,0)),IFERROR(INDEX('Rule Updates'!$B:$B,MATCH(C122,'Rule Updates'!$A:$A,0)),"Uncategorised"))</f>
        <v/>
      </c>
      <c r="E122" s="10">
        <f>IFERROR(INDEX('Review Items'!$E:$E,MATCH(C122,'Review Items'!$B:$B,0)),IFERROR(INDEX('Rule Updates'!$C:$C,MATCH(C122,'Rule Updates'!$A:$A,0)),"Review"))</f>
        <v/>
      </c>
      <c r="F122" s="10" t="n"/>
      <c r="G122" s="12" t="n">
        <v>1405</v>
      </c>
      <c r="H122" s="10" t="n">
        <v>4</v>
      </c>
      <c r="I122" s="10">
        <f>IF(OR(D122="Uncategorised",E122=""),"Check","")</f>
        <v/>
      </c>
    </row>
    <row r="123">
      <c r="A123" s="10" t="inlineStr">
        <is>
          <t>Amex Oct-2024</t>
        </is>
      </c>
      <c r="B123" s="11" t="n">
        <v>45587</v>
      </c>
      <c r="C123" s="10" t="inlineStr">
        <is>
          <t>THE WING ON DEPARTMENT SHEUNG WAN</t>
        </is>
      </c>
      <c r="D123" s="10">
        <f>IFERROR(INDEX('Review Items'!$D:$D,MATCH(C123,'Review Items'!$B:$B,0)),IFERROR(INDEX('Rule Updates'!$B:$B,MATCH(C123,'Rule Updates'!$A:$A,0)),"Uncategorised"))</f>
        <v/>
      </c>
      <c r="E123" s="10">
        <f>IFERROR(INDEX('Review Items'!$E:$E,MATCH(C123,'Review Items'!$B:$B,0)),IFERROR(INDEX('Rule Updates'!$C:$C,MATCH(C123,'Rule Updates'!$A:$A,0)),"Review"))</f>
        <v/>
      </c>
      <c r="F123" s="10" t="n"/>
      <c r="G123" s="12" t="n">
        <v>5897.9</v>
      </c>
      <c r="H123" s="10" t="n">
        <v>4</v>
      </c>
      <c r="I123" s="10">
        <f>IF(OR(D123="Uncategorised",E123=""),"Check","")</f>
        <v/>
      </c>
    </row>
    <row r="124">
      <c r="A124" s="10" t="inlineStr">
        <is>
          <t>Amex Oct-2024</t>
        </is>
      </c>
      <c r="B124" s="11" t="n">
        <v>45587</v>
      </c>
      <c r="C124" s="10" t="inlineStr">
        <is>
          <t>UNIQLO (HK0018) CAUSEWAY BAY</t>
        </is>
      </c>
      <c r="D124" s="10">
        <f>IFERROR(INDEX('Review Items'!$D:$D,MATCH(C124,'Review Items'!$B:$B,0)),IFERROR(INDEX('Rule Updates'!$B:$B,MATCH(C124,'Rule Updates'!$A:$A,0)),"Uncategorised"))</f>
        <v/>
      </c>
      <c r="E124" s="10">
        <f>IFERROR(INDEX('Review Items'!$E:$E,MATCH(C124,'Review Items'!$B:$B,0)),IFERROR(INDEX('Rule Updates'!$C:$C,MATCH(C124,'Rule Updates'!$A:$A,0)),"Review"))</f>
        <v/>
      </c>
      <c r="F124" s="10" t="n"/>
      <c r="G124" s="12" t="n">
        <v>398</v>
      </c>
      <c r="H124" s="10" t="n">
        <v>4</v>
      </c>
      <c r="I124" s="10">
        <f>IF(OR(D124="Uncategorised",E124=""),"Check","")</f>
        <v/>
      </c>
    </row>
    <row r="125">
      <c r="A125" s="10" t="inlineStr">
        <is>
          <t>Amex Oct-2024</t>
        </is>
      </c>
      <c r="B125" s="11" t="n">
        <v>45587</v>
      </c>
      <c r="C125" s="10" t="inlineStr">
        <is>
          <t>UNIQLO HONG KONG LIMITE TSIM SHA TSUI</t>
        </is>
      </c>
      <c r="D125" s="10">
        <f>IFERROR(INDEX('Review Items'!$D:$D,MATCH(C125,'Review Items'!$B:$B,0)),IFERROR(INDEX('Rule Updates'!$B:$B,MATCH(C125,'Rule Updates'!$A:$A,0)),"Uncategorised"))</f>
        <v/>
      </c>
      <c r="E125" s="10">
        <f>IFERROR(INDEX('Review Items'!$E:$E,MATCH(C125,'Review Items'!$B:$B,0)),IFERROR(INDEX('Rule Updates'!$C:$C,MATCH(C125,'Rule Updates'!$A:$A,0)),"Review"))</f>
        <v/>
      </c>
      <c r="F125" s="10" t="n"/>
      <c r="G125" s="12" t="n">
        <v>1145</v>
      </c>
      <c r="H125" s="10" t="n">
        <v>4</v>
      </c>
      <c r="I125" s="10">
        <f>IF(OR(D125="Uncategorised",E125=""),"Check","")</f>
        <v/>
      </c>
    </row>
    <row r="126">
      <c r="A126" s="10" t="inlineStr">
        <is>
          <t>Amex Oct-2024</t>
        </is>
      </c>
      <c r="B126" s="11" t="n">
        <v>45588</v>
      </c>
      <c r="C126" s="10" t="inlineStr">
        <is>
          <t>SP SEOUL RECIPE HK TSEUN WAN</t>
        </is>
      </c>
      <c r="D126" s="10">
        <f>IFERROR(INDEX('Review Items'!$D:$D,MATCH(C126,'Review Items'!$B:$B,0)),IFERROR(INDEX('Rule Updates'!$B:$B,MATCH(C126,'Rule Updates'!$A:$A,0)),"Uncategorised"))</f>
        <v/>
      </c>
      <c r="E126" s="10">
        <f>IFERROR(INDEX('Review Items'!$E:$E,MATCH(C126,'Review Items'!$B:$B,0)),IFERROR(INDEX('Rule Updates'!$C:$C,MATCH(C126,'Rule Updates'!$A:$A,0)),"Review"))</f>
        <v/>
      </c>
      <c r="F126" s="10" t="n"/>
      <c r="G126" s="12" t="n">
        <v>1211</v>
      </c>
      <c r="H126" s="10" t="n">
        <v>4</v>
      </c>
      <c r="I126" s="10">
        <f>IF(OR(D126="Uncategorised",E126=""),"Check","")</f>
        <v/>
      </c>
    </row>
    <row r="127">
      <c r="A127" s="10" t="inlineStr">
        <is>
          <t>Amex Oct-2024</t>
        </is>
      </c>
      <c r="B127" s="11" t="n">
        <v>45588</v>
      </c>
      <c r="C127" s="10" t="inlineStr">
        <is>
          <t>WIX SQUARED LTD ST. MARTIN</t>
        </is>
      </c>
      <c r="D127" s="10">
        <f>IFERROR(INDEX('Review Items'!$D:$D,MATCH(C127,'Review Items'!$B:$B,0)),IFERROR(INDEX('Rule Updates'!$B:$B,MATCH(C127,'Rule Updates'!$A:$A,0)),"Uncategorised"))</f>
        <v/>
      </c>
      <c r="E127" s="10">
        <f>IFERROR(INDEX('Review Items'!$E:$E,MATCH(C127,'Review Items'!$B:$B,0)),IFERROR(INDEX('Rule Updates'!$C:$C,MATCH(C127,'Rule Updates'!$A:$A,0)),"Review"))</f>
        <v/>
      </c>
      <c r="F127" s="12" t="n">
        <v>3131.17</v>
      </c>
      <c r="G127" s="12" t="n">
        <v>32248.15</v>
      </c>
      <c r="H127" s="10" t="n">
        <v>4</v>
      </c>
      <c r="I127" s="10">
        <f>IF(OR(D127="Uncategorised",E127=""),"Check","")</f>
        <v/>
      </c>
    </row>
    <row r="128">
      <c r="A128" s="10" t="inlineStr">
        <is>
          <t>Amex Oct-2024</t>
        </is>
      </c>
      <c r="B128" s="11" t="n">
        <v>45589</v>
      </c>
      <c r="C128" s="10" t="inlineStr">
        <is>
          <t>ORIENTAL Club (HOTEL / LONDON</t>
        </is>
      </c>
      <c r="D128" s="10">
        <f>IFERROR(INDEX('Review Items'!$D:$D,MATCH(C128,'Review Items'!$B:$B,0)),IFERROR(INDEX('Rule Updates'!$B:$B,MATCH(C128,'Rule Updates'!$A:$A,0)),"Uncategorised"))</f>
        <v/>
      </c>
      <c r="E128" s="10">
        <f>IFERROR(INDEX('Review Items'!$E:$E,MATCH(C128,'Review Items'!$B:$B,0)),IFERROR(INDEX('Rule Updates'!$C:$C,MATCH(C128,'Rule Updates'!$A:$A,0)),"Review"))</f>
        <v/>
      </c>
      <c r="F128" s="12" t="n">
        <v>1077</v>
      </c>
      <c r="G128" s="12" t="n">
        <v>11092.1</v>
      </c>
      <c r="H128" s="10" t="n">
        <v>5</v>
      </c>
      <c r="I128" s="10">
        <f>IF(OR(D128="Uncategorised",E128=""),"Check","")</f>
        <v/>
      </c>
    </row>
    <row r="129">
      <c r="A129" s="10" t="inlineStr">
        <is>
          <t>Amex Oct-2024</t>
        </is>
      </c>
      <c r="B129" s="11" t="n">
        <v>45589</v>
      </c>
      <c r="C129" s="10" t="inlineStr">
        <is>
          <t>PARAGON CENTRAL</t>
        </is>
      </c>
      <c r="D129" s="10">
        <f>IFERROR(INDEX('Review Items'!$D:$D,MATCH(C129,'Review Items'!$B:$B,0)),IFERROR(INDEX('Rule Updates'!$B:$B,MATCH(C129,'Rule Updates'!$A:$A,0)),"Uncategorised"))</f>
        <v/>
      </c>
      <c r="E129" s="10">
        <f>IFERROR(INDEX('Review Items'!$E:$E,MATCH(C129,'Review Items'!$B:$B,0)),IFERROR(INDEX('Rule Updates'!$C:$C,MATCH(C129,'Rule Updates'!$A:$A,0)),"Review"))</f>
        <v/>
      </c>
      <c r="F129" s="10" t="n"/>
      <c r="G129" s="12" t="n">
        <v>242</v>
      </c>
      <c r="H129" s="10" t="n">
        <v>4</v>
      </c>
      <c r="I129" s="10">
        <f>IF(OR(D129="Uncategorised",E129=""),"Check","")</f>
        <v/>
      </c>
    </row>
    <row r="130">
      <c r="A130" s="10" t="inlineStr">
        <is>
          <t>Amex Oct-2024</t>
        </is>
      </c>
      <c r="B130" s="11" t="n">
        <v>45590</v>
      </c>
      <c r="C130" s="10" t="inlineStr">
        <is>
          <t>FIATA CENTRAL</t>
        </is>
      </c>
      <c r="D130" s="10">
        <f>IFERROR(INDEX('Review Items'!$D:$D,MATCH(C130,'Review Items'!$B:$B,0)),IFERROR(INDEX('Rule Updates'!$B:$B,MATCH(C130,'Rule Updates'!$A:$A,0)),"Uncategorised"))</f>
        <v/>
      </c>
      <c r="E130" s="10">
        <f>IFERROR(INDEX('Review Items'!$E:$E,MATCH(C130,'Review Items'!$B:$B,0)),IFERROR(INDEX('Rule Updates'!$C:$C,MATCH(C130,'Rule Updates'!$A:$A,0)),"Review"))</f>
        <v/>
      </c>
      <c r="F130" s="10" t="n"/>
      <c r="G130" s="12" t="n">
        <v>627</v>
      </c>
      <c r="H130" s="10" t="n">
        <v>4</v>
      </c>
      <c r="I130" s="10">
        <f>IF(OR(D130="Uncategorised",E130=""),"Check","")</f>
        <v/>
      </c>
    </row>
    <row r="131">
      <c r="A131" s="10" t="inlineStr">
        <is>
          <t>Amex Dec-2024</t>
        </is>
      </c>
      <c r="B131" s="11" t="n">
        <v>45622</v>
      </c>
      <c r="C131" s="10" t="inlineStr">
        <is>
          <t>CITEES CARTAGENACARMEN MURCIA</t>
        </is>
      </c>
      <c r="D131" s="10">
        <f>IFERROR(INDEX('Review Items'!$D:$D,MATCH(C131,'Review Items'!$B:$B,0)),IFERROR(INDEX('Rule Updates'!$B:$B,MATCH(C131,'Rule Updates'!$A:$A,0)),"Uncategorised"))</f>
        <v/>
      </c>
      <c r="E131" s="10">
        <f>IFERROR(INDEX('Review Items'!$E:$E,MATCH(C131,'Review Items'!$B:$B,0)),IFERROR(INDEX('Rule Updates'!$C:$C,MATCH(C131,'Rule Updates'!$A:$A,0)),"Review"))</f>
        <v/>
      </c>
      <c r="F131" s="12" t="n">
        <v>7500</v>
      </c>
      <c r="G131" s="12" t="n">
        <v>626.84</v>
      </c>
      <c r="H131" s="10" t="n">
        <v>1</v>
      </c>
      <c r="I131" s="10">
        <f>IF(OR(D131="Uncategorised",E131=""),"Check","")</f>
        <v/>
      </c>
    </row>
    <row r="132">
      <c r="A132" s="10" t="inlineStr">
        <is>
          <t>Amex Dec-2024</t>
        </is>
      </c>
      <c r="B132" s="11" t="n">
        <v>45623</v>
      </c>
      <c r="C132" s="10" t="inlineStr">
        <is>
          <t>FARMACIA EL SAGRARIO 01 MALAGA</t>
        </is>
      </c>
      <c r="D132" s="10">
        <f>IFERROR(INDEX('Review Items'!$D:$D,MATCH(C132,'Review Items'!$B:$B,0)),IFERROR(INDEX('Rule Updates'!$B:$B,MATCH(C132,'Rule Updates'!$A:$A,0)),"Uncategorised"))</f>
        <v/>
      </c>
      <c r="E132" s="10">
        <f>IFERROR(INDEX('Review Items'!$E:$E,MATCH(C132,'Review Items'!$B:$B,0)),IFERROR(INDEX('Rule Updates'!$C:$C,MATCH(C132,'Rule Updates'!$A:$A,0)),"Review"))</f>
        <v/>
      </c>
      <c r="F132" s="12" t="n">
        <v>5294</v>
      </c>
      <c r="G132" s="12" t="n">
        <v>443.14</v>
      </c>
      <c r="H132" s="10" t="n">
        <v>1</v>
      </c>
      <c r="I132" s="10">
        <f>IF(OR(D132="Uncategorised",E132=""),"Check","")</f>
        <v/>
      </c>
    </row>
    <row r="133">
      <c r="A133" s="10" t="inlineStr">
        <is>
          <t>Amex Dec-2024</t>
        </is>
      </c>
      <c r="B133" s="11" t="n">
        <v>45624</v>
      </c>
      <c r="C133" s="10" t="inlineStr">
        <is>
          <t>FARMACIA MATA 055606560 MALAGA</t>
        </is>
      </c>
      <c r="D133" s="10">
        <f>IFERROR(INDEX('Review Items'!$D:$D,MATCH(C133,'Review Items'!$B:$B,0)),IFERROR(INDEX('Rule Updates'!$B:$B,MATCH(C133,'Rule Updates'!$A:$A,0)),"Uncategorised"))</f>
        <v/>
      </c>
      <c r="E133" s="10">
        <f>IFERROR(INDEX('Review Items'!$E:$E,MATCH(C133,'Review Items'!$B:$B,0)),IFERROR(INDEX('Rule Updates'!$C:$C,MATCH(C133,'Rule Updates'!$A:$A,0)),"Review"))</f>
        <v/>
      </c>
      <c r="F133" s="12" t="n">
        <v>6725</v>
      </c>
      <c r="G133" s="12" t="n">
        <v>564.8</v>
      </c>
      <c r="H133" s="10" t="n">
        <v>2</v>
      </c>
      <c r="I133" s="10">
        <f>IF(OR(D133="Uncategorised",E133=""),"Check","")</f>
        <v/>
      </c>
    </row>
    <row r="134">
      <c r="A134" s="10" t="inlineStr">
        <is>
          <t>Amex Dec-2024</t>
        </is>
      </c>
      <c r="B134" s="11" t="n">
        <v>45624</v>
      </c>
      <c r="C134" s="10" t="inlineStr">
        <is>
          <t>SP LOUISE JACKSON LONDON</t>
        </is>
      </c>
      <c r="D134" s="10">
        <f>IFERROR(INDEX('Review Items'!$D:$D,MATCH(C134,'Review Items'!$B:$B,0)),IFERROR(INDEX('Rule Updates'!$B:$B,MATCH(C134,'Rule Updates'!$A:$A,0)),"Uncategorised"))</f>
        <v/>
      </c>
      <c r="E134" s="10">
        <f>IFERROR(INDEX('Review Items'!$E:$E,MATCH(C134,'Review Items'!$B:$B,0)),IFERROR(INDEX('Rule Updates'!$C:$C,MATCH(C134,'Rule Updates'!$A:$A,0)),"Review"))</f>
        <v/>
      </c>
      <c r="F134" s="12" t="n">
        <v>1460</v>
      </c>
      <c r="G134" s="12" t="n">
        <v>14706.62</v>
      </c>
      <c r="H134" s="10" t="n">
        <v>1</v>
      </c>
      <c r="I134" s="10">
        <f>IF(OR(D134="Uncategorised",E134=""),"Check","")</f>
        <v/>
      </c>
    </row>
    <row r="135">
      <c r="A135" s="10" t="inlineStr">
        <is>
          <t>Amex Dec-2024</t>
        </is>
      </c>
      <c r="B135" s="11" t="n">
        <v>45624</v>
      </c>
      <c r="C135" s="10" t="inlineStr">
        <is>
          <t>ZETTLE *SYRA COFFEES.LBARCELONA</t>
        </is>
      </c>
      <c r="D135" s="10">
        <f>IFERROR(INDEX('Review Items'!$D:$D,MATCH(C135,'Review Items'!$B:$B,0)),IFERROR(INDEX('Rule Updates'!$B:$B,MATCH(C135,'Rule Updates'!$A:$A,0)),"Uncategorised"))</f>
        <v/>
      </c>
      <c r="E135" s="10">
        <f>IFERROR(INDEX('Review Items'!$E:$E,MATCH(C135,'Review Items'!$B:$B,0)),IFERROR(INDEX('Rule Updates'!$C:$C,MATCH(C135,'Rule Updates'!$A:$A,0)),"Review"))</f>
        <v/>
      </c>
      <c r="F135" s="12" t="n">
        <v>320</v>
      </c>
      <c r="G135" s="12" t="n">
        <v>26.9</v>
      </c>
      <c r="H135" s="10" t="n">
        <v>1</v>
      </c>
      <c r="I135" s="10">
        <f>IF(OR(D135="Uncategorised",E135=""),"Check","")</f>
        <v/>
      </c>
    </row>
    <row r="136">
      <c r="A136" s="10" t="inlineStr">
        <is>
          <t>Amex Dec-2024</t>
        </is>
      </c>
      <c r="B136" s="11" t="n">
        <v>45624</v>
      </c>
      <c r="C136" s="10" t="inlineStr">
        <is>
          <t>ZETTLE *SYRA COFFEES.LBARCELONA</t>
        </is>
      </c>
      <c r="D136" s="10">
        <f>IFERROR(INDEX('Review Items'!$D:$D,MATCH(C136,'Review Items'!$B:$B,0)),IFERROR(INDEX('Rule Updates'!$B:$B,MATCH(C136,'Rule Updates'!$A:$A,0)),"Uncategorised"))</f>
        <v/>
      </c>
      <c r="E136" s="10">
        <f>IFERROR(INDEX('Review Items'!$E:$E,MATCH(C136,'Review Items'!$B:$B,0)),IFERROR(INDEX('Rule Updates'!$C:$C,MATCH(C136,'Rule Updates'!$A:$A,0)),"Review"))</f>
        <v/>
      </c>
      <c r="F136" s="12" t="n">
        <v>1210</v>
      </c>
      <c r="G136" s="12" t="n">
        <v>101.59</v>
      </c>
      <c r="H136" s="10" t="n">
        <v>1</v>
      </c>
      <c r="I136" s="10">
        <f>IF(OR(D136="Uncategorised",E136=""),"Check","")</f>
        <v/>
      </c>
    </row>
    <row r="137">
      <c r="A137" s="10" t="inlineStr">
        <is>
          <t>Amex Dec-2024</t>
        </is>
      </c>
      <c r="B137" s="11" t="n">
        <v>45625</v>
      </c>
      <c r="C137" s="10" t="inlineStr">
        <is>
          <t>AMZNMKTPLACE*AF1BP49T5 AMAZON.CO.UK</t>
        </is>
      </c>
      <c r="D137" s="10">
        <f>IFERROR(INDEX('Review Items'!$D:$D,MATCH(C137,'Review Items'!$B:$B,0)),IFERROR(INDEX('Rule Updates'!$B:$B,MATCH(C137,'Rule Updates'!$A:$A,0)),"Uncategorised"))</f>
        <v/>
      </c>
      <c r="E137" s="10">
        <f>IFERROR(INDEX('Review Items'!$E:$E,MATCH(C137,'Review Items'!$B:$B,0)),IFERROR(INDEX('Rule Updates'!$C:$C,MATCH(C137,'Rule Updates'!$A:$A,0)),"Review"))</f>
        <v/>
      </c>
      <c r="F137" s="10" t="n"/>
      <c r="G137" s="12" t="n">
        <v>1113.82</v>
      </c>
      <c r="H137" s="10" t="n">
        <v>2</v>
      </c>
      <c r="I137" s="10">
        <f>IF(OR(D137="Uncategorised",E137=""),"Check","")</f>
        <v/>
      </c>
    </row>
    <row r="138">
      <c r="A138" s="10" t="inlineStr">
        <is>
          <t>Amex Dec-2024</t>
        </is>
      </c>
      <c r="B138" s="11" t="n">
        <v>45627</v>
      </c>
      <c r="C138" s="10" t="inlineStr">
        <is>
          <t>AMAZON PRIME*ZL3XU33Q2 AMZN.COM/BILL</t>
        </is>
      </c>
      <c r="D138" s="10">
        <f>IFERROR(INDEX('Review Items'!$D:$D,MATCH(C138,'Review Items'!$B:$B,0)),IFERROR(INDEX('Rule Updates'!$B:$B,MATCH(C138,'Rule Updates'!$A:$A,0)),"Uncategorised"))</f>
        <v/>
      </c>
      <c r="E138" s="10">
        <f>IFERROR(INDEX('Review Items'!$E:$E,MATCH(C138,'Review Items'!$B:$B,0)),IFERROR(INDEX('Rule Updates'!$C:$C,MATCH(C138,'Rule Updates'!$A:$A,0)),"Review"))</f>
        <v/>
      </c>
      <c r="F138" s="12" t="n">
        <v>14.99</v>
      </c>
      <c r="G138" s="12" t="n">
        <v>119.02</v>
      </c>
      <c r="H138" s="10" t="n">
        <v>2</v>
      </c>
      <c r="I138" s="10">
        <f>IF(OR(D138="Uncategorised",E138=""),"Check","")</f>
        <v/>
      </c>
    </row>
    <row r="139">
      <c r="A139" s="10" t="inlineStr">
        <is>
          <t>Amex Dec-2024</t>
        </is>
      </c>
      <c r="B139" s="11" t="n">
        <v>45627</v>
      </c>
      <c r="C139" s="10" t="inlineStr">
        <is>
          <t>NET-A-PORTER GROUP LTD LONDON</t>
        </is>
      </c>
      <c r="D139" s="10">
        <f>IFERROR(INDEX('Review Items'!$D:$D,MATCH(C139,'Review Items'!$B:$B,0)),IFERROR(INDEX('Rule Updates'!$B:$B,MATCH(C139,'Rule Updates'!$A:$A,0)),"Uncategorised"))</f>
        <v/>
      </c>
      <c r="E139" s="10">
        <f>IFERROR(INDEX('Review Items'!$E:$E,MATCH(C139,'Review Items'!$B:$B,0)),IFERROR(INDEX('Rule Updates'!$C:$C,MATCH(C139,'Rule Updates'!$A:$A,0)),"Review"))</f>
        <v/>
      </c>
      <c r="F139" s="12" t="n">
        <v>3234</v>
      </c>
      <c r="G139" s="12" t="n">
        <v>-32045.38</v>
      </c>
      <c r="H139" s="10" t="n">
        <v>2</v>
      </c>
      <c r="I139" s="10">
        <f>IF(OR(D139="Uncategorised",E139=""),"Check","")</f>
        <v/>
      </c>
    </row>
    <row r="140">
      <c r="A140" s="10" t="inlineStr">
        <is>
          <t>Amex Dec-2024</t>
        </is>
      </c>
      <c r="B140" s="11" t="n">
        <v>45628</v>
      </c>
      <c r="C140" s="10" t="inlineStr">
        <is>
          <t>COMO METROPOLITAN SINGA SINGAPORE</t>
        </is>
      </c>
      <c r="D140" s="10">
        <f>IFERROR(INDEX('Review Items'!$D:$D,MATCH(C140,'Review Items'!$B:$B,0)),IFERROR(INDEX('Rule Updates'!$B:$B,MATCH(C140,'Rule Updates'!$A:$A,0)),"Uncategorised"))</f>
        <v/>
      </c>
      <c r="E140" s="10">
        <f>IFERROR(INDEX('Review Items'!$E:$E,MATCH(C140,'Review Items'!$B:$B,0)),IFERROR(INDEX('Rule Updates'!$C:$C,MATCH(C140,'Rule Updates'!$A:$A,0)),"Review"))</f>
        <v/>
      </c>
      <c r="F140" s="12" t="n">
        <v>1379.12</v>
      </c>
      <c r="G140" s="12" t="n">
        <v>8184.82</v>
      </c>
      <c r="H140" s="10" t="n">
        <v>6</v>
      </c>
      <c r="I140" s="10">
        <f>IF(OR(D140="Uncategorised",E140=""),"Check","")</f>
        <v/>
      </c>
    </row>
    <row r="141">
      <c r="A141" s="10" t="inlineStr">
        <is>
          <t>Amex Dec-2024</t>
        </is>
      </c>
      <c r="B141" s="11" t="n">
        <v>45628</v>
      </c>
      <c r="C141" s="10" t="inlineStr">
        <is>
          <t>GLOBALE*/ZADIGVOLTAIRE LONDON</t>
        </is>
      </c>
      <c r="D141" s="10">
        <f>IFERROR(INDEX('Review Items'!$D:$D,MATCH(C141,'Review Items'!$B:$B,0)),IFERROR(INDEX('Rule Updates'!$B:$B,MATCH(C141,'Rule Updates'!$A:$A,0)),"Uncategorised"))</f>
        <v/>
      </c>
      <c r="E141" s="10">
        <f>IFERROR(INDEX('Review Items'!$E:$E,MATCH(C141,'Review Items'!$B:$B,0)),IFERROR(INDEX('Rule Updates'!$C:$C,MATCH(C141,'Rule Updates'!$A:$A,0)),"Review"))</f>
        <v/>
      </c>
      <c r="F141" s="12" t="n">
        <v>291</v>
      </c>
      <c r="G141" s="12" t="n">
        <v>2938.07</v>
      </c>
      <c r="H141" s="10" t="n">
        <v>2</v>
      </c>
      <c r="I141" s="10">
        <f>IF(OR(D141="Uncategorised",E141=""),"Check","")</f>
        <v/>
      </c>
    </row>
    <row r="142">
      <c r="A142" s="10" t="inlineStr">
        <is>
          <t>Amex Dec-2024</t>
        </is>
      </c>
      <c r="B142" s="11" t="n">
        <v>45629</v>
      </c>
      <c r="C142" s="10" t="inlineStr">
        <is>
          <t>AMAZON PRIME*P82NB6WG5 AMZN.CO.UK/PM</t>
        </is>
      </c>
      <c r="D142" s="10">
        <f>IFERROR(INDEX('Review Items'!$D:$D,MATCH(C142,'Review Items'!$B:$B,0)),IFERROR(INDEX('Rule Updates'!$B:$B,MATCH(C142,'Rule Updates'!$A:$A,0)),"Uncategorised"))</f>
        <v/>
      </c>
      <c r="E142" s="10">
        <f>IFERROR(INDEX('Review Items'!$E:$E,MATCH(C142,'Review Items'!$B:$B,0)),IFERROR(INDEX('Rule Updates'!$C:$C,MATCH(C142,'Rule Updates'!$A:$A,0)),"Review"))</f>
        <v/>
      </c>
      <c r="F142" s="12" t="n">
        <v>8.99</v>
      </c>
      <c r="G142" s="12" t="n">
        <v>90.79000000000001</v>
      </c>
      <c r="H142" s="10" t="n">
        <v>2</v>
      </c>
      <c r="I142" s="10">
        <f>IF(OR(D142="Uncategorised",E142=""),"Check","")</f>
        <v/>
      </c>
    </row>
    <row r="143">
      <c r="A143" s="10" t="inlineStr">
        <is>
          <t>Amex Dec-2024</t>
        </is>
      </c>
      <c r="B143" s="11" t="n">
        <v>45629</v>
      </c>
      <c r="C143" s="10" t="inlineStr">
        <is>
          <t>GLOBALE*/ZADIGVOLTAIRE LONDON</t>
        </is>
      </c>
      <c r="D143" s="10">
        <f>IFERROR(INDEX('Review Items'!$D:$D,MATCH(C143,'Review Items'!$B:$B,0)),IFERROR(INDEX('Rule Updates'!$B:$B,MATCH(C143,'Rule Updates'!$A:$A,0)),"Uncategorised"))</f>
        <v/>
      </c>
      <c r="E143" s="10">
        <f>IFERROR(INDEX('Review Items'!$E:$E,MATCH(C143,'Review Items'!$B:$B,0)),IFERROR(INDEX('Rule Updates'!$C:$C,MATCH(C143,'Rule Updates'!$A:$A,0)),"Review"))</f>
        <v/>
      </c>
      <c r="F143" s="12" t="n">
        <v>2080</v>
      </c>
      <c r="G143" s="12" t="n">
        <v>-20596.12</v>
      </c>
      <c r="H143" s="10" t="n">
        <v>2</v>
      </c>
      <c r="I143" s="10">
        <f>IF(OR(D143="Uncategorised",E143=""),"Check","")</f>
        <v/>
      </c>
    </row>
    <row r="144">
      <c r="A144" s="10" t="inlineStr">
        <is>
          <t>Amex Dec-2024</t>
        </is>
      </c>
      <c r="B144" s="11" t="n">
        <v>45630</v>
      </c>
      <c r="C144" s="10" t="inlineStr">
        <is>
          <t>SILVER RAY LONDON</t>
        </is>
      </c>
      <c r="D144" s="10">
        <f>IFERROR(INDEX('Review Items'!$D:$D,MATCH(C144,'Review Items'!$B:$B,0)),IFERROR(INDEX('Rule Updates'!$B:$B,MATCH(C144,'Rule Updates'!$A:$A,0)),"Uncategorised"))</f>
        <v/>
      </c>
      <c r="E144" s="10">
        <f>IFERROR(INDEX('Review Items'!$E:$E,MATCH(C144,'Review Items'!$B:$B,0)),IFERROR(INDEX('Rule Updates'!$C:$C,MATCH(C144,'Rule Updates'!$A:$A,0)),"Review"))</f>
        <v/>
      </c>
      <c r="F144" s="12" t="n">
        <v>153</v>
      </c>
      <c r="G144" s="12" t="n">
        <v>1214.93</v>
      </c>
      <c r="H144" s="10" t="n">
        <v>2</v>
      </c>
      <c r="I144" s="10">
        <f>IF(OR(D144="Uncategorised",E144=""),"Check","")</f>
        <v/>
      </c>
    </row>
    <row r="145">
      <c r="A145" s="10" t="inlineStr">
        <is>
          <t>Amex Dec-2024</t>
        </is>
      </c>
      <c r="B145" s="11" t="n">
        <v>45632</v>
      </c>
      <c r="C145" s="10" t="inlineStr">
        <is>
          <t>PAYMENT RECEIVED THROUGH AUTOPAY</t>
        </is>
      </c>
      <c r="D145" s="10">
        <f>IFERROR(INDEX('Review Items'!$D:$D,MATCH(C145,'Review Items'!$B:$B,0)),IFERROR(INDEX('Rule Updates'!$B:$B,MATCH(C145,'Rule Updates'!$A:$A,0)),"Uncategorised"))</f>
        <v/>
      </c>
      <c r="E145" s="10">
        <f>IFERROR(INDEX('Review Items'!$E:$E,MATCH(C145,'Review Items'!$B:$B,0)),IFERROR(INDEX('Rule Updates'!$C:$C,MATCH(C145,'Rule Updates'!$A:$A,0)),"Review"))</f>
        <v/>
      </c>
      <c r="F145" s="10" t="n"/>
      <c r="G145" s="12" t="n">
        <v>-331168.41</v>
      </c>
      <c r="H145" s="10" t="n">
        <v>1</v>
      </c>
      <c r="I145" s="10">
        <f>IF(OR(D145="Uncategorised",E145=""),"Check","")</f>
        <v/>
      </c>
    </row>
    <row r="146">
      <c r="A146" s="10" t="inlineStr">
        <is>
          <t>Amex Dec-2024</t>
        </is>
      </c>
      <c r="B146" s="11" t="n">
        <v>45632</v>
      </c>
      <c r="C146" s="10" t="inlineStr">
        <is>
          <t>Upstairs at Landrace Bath</t>
        </is>
      </c>
      <c r="D146" s="10">
        <f>IFERROR(INDEX('Review Items'!$D:$D,MATCH(C146,'Review Items'!$B:$B,0)),IFERROR(INDEX('Rule Updates'!$B:$B,MATCH(C146,'Rule Updates'!$A:$A,0)),"Uncategorised"))</f>
        <v/>
      </c>
      <c r="E146" s="10">
        <f>IFERROR(INDEX('Review Items'!$E:$E,MATCH(C146,'Review Items'!$B:$B,0)),IFERROR(INDEX('Rule Updates'!$C:$C,MATCH(C146,'Rule Updates'!$A:$A,0)),"Review"))</f>
        <v/>
      </c>
      <c r="F146" s="12" t="n">
        <v>193.2</v>
      </c>
      <c r="G146" s="12" t="n">
        <v>1958.91</v>
      </c>
      <c r="H146" s="10" t="n">
        <v>2</v>
      </c>
      <c r="I146" s="10">
        <f>IF(OR(D146="Uncategorised",E146=""),"Check","")</f>
        <v/>
      </c>
    </row>
    <row r="147">
      <c r="A147" s="10" t="inlineStr">
        <is>
          <t>Amex Dec-2024</t>
        </is>
      </c>
      <c r="B147" s="11" t="n">
        <v>45632</v>
      </c>
      <c r="C147" s="10" t="inlineStr">
        <is>
          <t>ZETTLE *BECKFORD BOTTLE TISBURY</t>
        </is>
      </c>
      <c r="D147" s="10">
        <f>IFERROR(INDEX('Review Items'!$D:$D,MATCH(C147,'Review Items'!$B:$B,0)),IFERROR(INDEX('Rule Updates'!$B:$B,MATCH(C147,'Rule Updates'!$A:$A,0)),"Uncategorised"))</f>
        <v/>
      </c>
      <c r="E147" s="10">
        <f>IFERROR(INDEX('Review Items'!$E:$E,MATCH(C147,'Review Items'!$B:$B,0)),IFERROR(INDEX('Rule Updates'!$C:$C,MATCH(C147,'Rule Updates'!$A:$A,0)),"Review"))</f>
        <v/>
      </c>
      <c r="F147" s="12" t="n">
        <v>237.09</v>
      </c>
      <c r="G147" s="12" t="n">
        <v>2403.96</v>
      </c>
      <c r="H147" s="10" t="n">
        <v>2</v>
      </c>
      <c r="I147" s="10">
        <f>IF(OR(D147="Uncategorised",E147=""),"Check","")</f>
        <v/>
      </c>
    </row>
    <row r="148">
      <c r="A148" s="10" t="inlineStr">
        <is>
          <t>Amex Dec-2024</t>
        </is>
      </c>
      <c r="B148" s="11" t="n">
        <v>45633</v>
      </c>
      <c r="C148" s="10" t="inlineStr">
        <is>
          <t>LANDRACE Bathwick</t>
        </is>
      </c>
      <c r="D148" s="10">
        <f>IFERROR(INDEX('Review Items'!$D:$D,MATCH(C148,'Review Items'!$B:$B,0)),IFERROR(INDEX('Rule Updates'!$B:$B,MATCH(C148,'Rule Updates'!$A:$A,0)),"Uncategorised"))</f>
        <v/>
      </c>
      <c r="E148" s="10">
        <f>IFERROR(INDEX('Review Items'!$E:$E,MATCH(C148,'Review Items'!$B:$B,0)),IFERROR(INDEX('Rule Updates'!$C:$C,MATCH(C148,'Rule Updates'!$A:$A,0)),"Review"))</f>
        <v/>
      </c>
      <c r="F148" s="12" t="n">
        <v>53.38</v>
      </c>
      <c r="G148" s="12" t="n">
        <v>542.73</v>
      </c>
      <c r="H148" s="10" t="n">
        <v>3</v>
      </c>
      <c r="I148" s="10">
        <f>IF(OR(D148="Uncategorised",E148=""),"Check","")</f>
        <v/>
      </c>
    </row>
    <row r="149">
      <c r="A149" s="10" t="inlineStr">
        <is>
          <t>Amex Dec-2024</t>
        </is>
      </c>
      <c r="B149" s="11" t="n">
        <v>45633</v>
      </c>
      <c r="C149" s="10" t="inlineStr">
        <is>
          <t>LANDRACE Bathwick</t>
        </is>
      </c>
      <c r="D149" s="10">
        <f>IFERROR(INDEX('Review Items'!$D:$D,MATCH(C149,'Review Items'!$B:$B,0)),IFERROR(INDEX('Rule Updates'!$B:$B,MATCH(C149,'Rule Updates'!$A:$A,0)),"Uncategorised"))</f>
        <v/>
      </c>
      <c r="E149" s="10">
        <f>IFERROR(INDEX('Review Items'!$E:$E,MATCH(C149,'Review Items'!$B:$B,0)),IFERROR(INDEX('Rule Updates'!$C:$C,MATCH(C149,'Rule Updates'!$A:$A,0)),"Review"))</f>
        <v/>
      </c>
      <c r="F149" s="12" t="n">
        <v>84.8</v>
      </c>
      <c r="G149" s="12" t="n">
        <v>862.1799999999999</v>
      </c>
      <c r="H149" s="10" t="n">
        <v>3</v>
      </c>
      <c r="I149" s="10">
        <f>IF(OR(D149="Uncategorised",E149=""),"Check","")</f>
        <v/>
      </c>
    </row>
    <row r="150">
      <c r="A150" s="10" t="inlineStr">
        <is>
          <t>Amex Dec-2024</t>
        </is>
      </c>
      <c r="B150" s="11" t="n">
        <v>45633</v>
      </c>
      <c r="C150" s="10" t="inlineStr">
        <is>
          <t>SUMUP*10 GREEN STREET BATH</t>
        </is>
      </c>
      <c r="D150" s="10">
        <f>IFERROR(INDEX('Review Items'!$D:$D,MATCH(C150,'Review Items'!$B:$B,0)),IFERROR(INDEX('Rule Updates'!$B:$B,MATCH(C150,'Rule Updates'!$A:$A,0)),"Uncategorised"))</f>
        <v/>
      </c>
      <c r="E150" s="10">
        <f>IFERROR(INDEX('Review Items'!$E:$E,MATCH(C150,'Review Items'!$B:$B,0)),IFERROR(INDEX('Rule Updates'!$C:$C,MATCH(C150,'Rule Updates'!$A:$A,0)),"Review"))</f>
        <v/>
      </c>
      <c r="F150" s="12" t="n">
        <v>8.5</v>
      </c>
      <c r="G150" s="12" t="n">
        <v>86.40000000000001</v>
      </c>
      <c r="H150" s="10" t="n">
        <v>3</v>
      </c>
      <c r="I150" s="10">
        <f>IF(OR(D150="Uncategorised",E150=""),"Check","")</f>
        <v/>
      </c>
    </row>
    <row r="151">
      <c r="A151" s="10" t="inlineStr">
        <is>
          <t>Amex Dec-2024</t>
        </is>
      </c>
      <c r="B151" s="11" t="n">
        <v>45633</v>
      </c>
      <c r="C151" s="10" t="inlineStr">
        <is>
          <t>THE FINE CHEESE CO THE BATH</t>
        </is>
      </c>
      <c r="D151" s="10">
        <f>IFERROR(INDEX('Review Items'!$D:$D,MATCH(C151,'Review Items'!$B:$B,0)),IFERROR(INDEX('Rule Updates'!$B:$B,MATCH(C151,'Rule Updates'!$A:$A,0)),"Uncategorised"))</f>
        <v/>
      </c>
      <c r="E151" s="10">
        <f>IFERROR(INDEX('Review Items'!$E:$E,MATCH(C151,'Review Items'!$B:$B,0)),IFERROR(INDEX('Rule Updates'!$C:$C,MATCH(C151,'Rule Updates'!$A:$A,0)),"Review"))</f>
        <v/>
      </c>
      <c r="F151" s="12" t="n">
        <v>61.86</v>
      </c>
      <c r="G151" s="12" t="n">
        <v>628.98</v>
      </c>
      <c r="H151" s="10" t="n">
        <v>2</v>
      </c>
      <c r="I151" s="10">
        <f>IF(OR(D151="Uncategorised",E151=""),"Check","")</f>
        <v/>
      </c>
    </row>
    <row r="152">
      <c r="A152" s="10" t="inlineStr">
        <is>
          <t>Amex Dec-2024</t>
        </is>
      </c>
      <c r="B152" s="11" t="n">
        <v>45633</v>
      </c>
      <c r="C152" s="10" t="inlineStr">
        <is>
          <t>WP - CHEF TAM SSEASONS MACAO</t>
        </is>
      </c>
      <c r="D152" s="10">
        <f>IFERROR(INDEX('Review Items'!$D:$D,MATCH(C152,'Review Items'!$B:$B,0)),IFERROR(INDEX('Rule Updates'!$B:$B,MATCH(C152,'Rule Updates'!$A:$A,0)),"Uncategorised"))</f>
        <v/>
      </c>
      <c r="E152" s="10">
        <f>IFERROR(INDEX('Review Items'!$E:$E,MATCH(C152,'Review Items'!$B:$B,0)),IFERROR(INDEX('Rule Updates'!$C:$C,MATCH(C152,'Rule Updates'!$A:$A,0)),"Review"))</f>
        <v/>
      </c>
      <c r="F152" s="12" t="n">
        <v>9.423999999999999</v>
      </c>
      <c r="G152" s="12" t="n">
        <v>9158.790000000001</v>
      </c>
      <c r="H152" s="10" t="n">
        <v>6</v>
      </c>
      <c r="I152" s="10">
        <f>IF(OR(D152="Uncategorised",E152=""),"Check","")</f>
        <v/>
      </c>
    </row>
    <row r="153">
      <c r="A153" s="10" t="inlineStr">
        <is>
          <t>Amex Dec-2024</t>
        </is>
      </c>
      <c r="B153" s="11" t="n">
        <v>45634</v>
      </c>
      <c r="C153" s="10" t="inlineStr">
        <is>
          <t>EADES OF BATH BATH</t>
        </is>
      </c>
      <c r="D153" s="10">
        <f>IFERROR(INDEX('Review Items'!$D:$D,MATCH(C153,'Review Items'!$B:$B,0)),IFERROR(INDEX('Rule Updates'!$B:$B,MATCH(C153,'Rule Updates'!$A:$A,0)),"Uncategorised"))</f>
        <v/>
      </c>
      <c r="E153" s="10">
        <f>IFERROR(INDEX('Review Items'!$E:$E,MATCH(C153,'Review Items'!$B:$B,0)),IFERROR(INDEX('Rule Updates'!$C:$C,MATCH(C153,'Rule Updates'!$A:$A,0)),"Review"))</f>
        <v/>
      </c>
      <c r="F153" s="12" t="n">
        <v>126.38</v>
      </c>
      <c r="G153" s="12" t="n">
        <v>1284.94</v>
      </c>
      <c r="H153" s="10" t="n">
        <v>3</v>
      </c>
      <c r="I153" s="10">
        <f>IF(OR(D153="Uncategorised",E153=""),"Check","")</f>
        <v/>
      </c>
    </row>
    <row r="154">
      <c r="A154" s="10" t="inlineStr">
        <is>
          <t>Amex Dec-2024</t>
        </is>
      </c>
      <c r="B154" s="11" t="n">
        <v>45634</v>
      </c>
      <c r="C154" s="10" t="inlineStr">
        <is>
          <t>EADES OF BATH BATH</t>
        </is>
      </c>
      <c r="D154" s="10">
        <f>IFERROR(INDEX('Review Items'!$D:$D,MATCH(C154,'Review Items'!$B:$B,0)),IFERROR(INDEX('Rule Updates'!$B:$B,MATCH(C154,'Rule Updates'!$A:$A,0)),"Uncategorised"))</f>
        <v/>
      </c>
      <c r="E154" s="10">
        <f>IFERROR(INDEX('Review Items'!$E:$E,MATCH(C154,'Review Items'!$B:$B,0)),IFERROR(INDEX('Rule Updates'!$C:$C,MATCH(C154,'Rule Updates'!$A:$A,0)),"Review"))</f>
        <v/>
      </c>
      <c r="F154" s="12" t="n">
        <v>3.33</v>
      </c>
      <c r="G154" s="12" t="n">
        <v>33.88</v>
      </c>
      <c r="H154" s="10" t="n">
        <v>3</v>
      </c>
      <c r="I154" s="10">
        <f>IF(OR(D154="Uncategorised",E154=""),"Check","")</f>
        <v/>
      </c>
    </row>
    <row r="155">
      <c r="A155" s="10" t="inlineStr">
        <is>
          <t>Amex Dec-2024</t>
        </is>
      </c>
      <c r="B155" s="11" t="n">
        <v>45634</v>
      </c>
      <c r="C155" s="10" t="inlineStr">
        <is>
          <t>MANDARIN ORIENTAL FRONT MACAU</t>
        </is>
      </c>
      <c r="D155" s="10">
        <f>IFERROR(INDEX('Review Items'!$D:$D,MATCH(C155,'Review Items'!$B:$B,0)),IFERROR(INDEX('Rule Updates'!$B:$B,MATCH(C155,'Rule Updates'!$A:$A,0)),"Uncategorised"))</f>
        <v/>
      </c>
      <c r="E155" s="10">
        <f>IFERROR(INDEX('Review Items'!$E:$E,MATCH(C155,'Review Items'!$B:$B,0)),IFERROR(INDEX('Rule Updates'!$C:$C,MATCH(C155,'Rule Updates'!$A:$A,0)),"Review"))</f>
        <v/>
      </c>
      <c r="F155" s="12" t="n">
        <v>3.43</v>
      </c>
      <c r="G155" s="12" t="n">
        <v>3333.77</v>
      </c>
      <c r="H155" s="10" t="n">
        <v>6</v>
      </c>
      <c r="I155" s="10">
        <f>IF(OR(D155="Uncategorised",E155=""),"Check","")</f>
        <v/>
      </c>
    </row>
    <row r="156">
      <c r="A156" s="10" t="inlineStr">
        <is>
          <t>Amex Dec-2024</t>
        </is>
      </c>
      <c r="B156" s="11" t="n">
        <v>45634</v>
      </c>
      <c r="C156" s="10" t="inlineStr">
        <is>
          <t>Mr B's Emporium Bath</t>
        </is>
      </c>
      <c r="D156" s="10">
        <f>IFERROR(INDEX('Review Items'!$D:$D,MATCH(C156,'Review Items'!$B:$B,0)),IFERROR(INDEX('Rule Updates'!$B:$B,MATCH(C156,'Rule Updates'!$A:$A,0)),"Uncategorised"))</f>
        <v/>
      </c>
      <c r="E156" s="10">
        <f>IFERROR(INDEX('Review Items'!$E:$E,MATCH(C156,'Review Items'!$B:$B,0)),IFERROR(INDEX('Rule Updates'!$C:$C,MATCH(C156,'Rule Updates'!$A:$A,0)),"Review"))</f>
        <v/>
      </c>
      <c r="F156" s="12" t="n">
        <v>184.84</v>
      </c>
      <c r="G156" s="12" t="n">
        <v>1879.32</v>
      </c>
      <c r="H156" s="10" t="n">
        <v>3</v>
      </c>
      <c r="I156" s="10">
        <f>IF(OR(D156="Uncategorised",E156=""),"Check","")</f>
        <v/>
      </c>
    </row>
    <row r="157">
      <c r="A157" s="10" t="inlineStr">
        <is>
          <t>Amex Dec-2024</t>
        </is>
      </c>
      <c r="B157" s="11" t="n">
        <v>45635</v>
      </c>
      <c r="C157" s="10" t="inlineStr">
        <is>
          <t>WH SMITH TRAVEL RETAIL HOUNSLOW</t>
        </is>
      </c>
      <c r="D157" s="10">
        <f>IFERROR(INDEX('Review Items'!$D:$D,MATCH(C157,'Review Items'!$B:$B,0)),IFERROR(INDEX('Rule Updates'!$B:$B,MATCH(C157,'Rule Updates'!$A:$A,0)),"Uncategorised"))</f>
        <v/>
      </c>
      <c r="E157" s="10">
        <f>IFERROR(INDEX('Review Items'!$E:$E,MATCH(C157,'Review Items'!$B:$B,0)),IFERROR(INDEX('Rule Updates'!$C:$C,MATCH(C157,'Rule Updates'!$A:$A,0)),"Review"))</f>
        <v/>
      </c>
      <c r="F157" s="12" t="n">
        <v>65.93000000000001</v>
      </c>
      <c r="G157" s="12" t="n">
        <v>670.3200000000001</v>
      </c>
      <c r="H157" s="10" t="n">
        <v>3</v>
      </c>
      <c r="I157" s="10">
        <f>IF(OR(D157="Uncategorised",E157=""),"Check","")</f>
        <v/>
      </c>
    </row>
    <row r="158">
      <c r="A158" s="10" t="inlineStr">
        <is>
          <t>Amex Dec-2024</t>
        </is>
      </c>
      <c r="B158" s="11" t="n">
        <v>45636</v>
      </c>
      <c r="C158" s="10" t="inlineStr">
        <is>
          <t>AMAZON PRIME*183PB3PK5 AMZN.CO.UK/PM</t>
        </is>
      </c>
      <c r="D158" s="10">
        <f>IFERROR(INDEX('Review Items'!$D:$D,MATCH(C158,'Review Items'!$B:$B,0)),IFERROR(INDEX('Rule Updates'!$B:$B,MATCH(C158,'Rule Updates'!$A:$A,0)),"Uncategorised"))</f>
        <v/>
      </c>
      <c r="E158" s="10">
        <f>IFERROR(INDEX('Review Items'!$E:$E,MATCH(C158,'Review Items'!$B:$B,0)),IFERROR(INDEX('Rule Updates'!$C:$C,MATCH(C158,'Rule Updates'!$A:$A,0)),"Review"))</f>
        <v/>
      </c>
      <c r="F158" s="12" t="n">
        <v>8.99</v>
      </c>
      <c r="G158" s="12" t="n">
        <v>91.26000000000001</v>
      </c>
      <c r="H158" s="10" t="n">
        <v>3</v>
      </c>
      <c r="I158" s="10">
        <f>IF(OR(D158="Uncategorised",E158=""),"Check","")</f>
        <v/>
      </c>
    </row>
    <row r="159">
      <c r="A159" s="10" t="inlineStr">
        <is>
          <t>Amex Dec-2024</t>
        </is>
      </c>
      <c r="B159" s="11" t="n">
        <v>45636</v>
      </c>
      <c r="C159" s="10" t="inlineStr">
        <is>
          <t>PAYPAL *BIRKENSTOCK 4029357733</t>
        </is>
      </c>
      <c r="D159" s="10">
        <f>IFERROR(INDEX('Review Items'!$D:$D,MATCH(C159,'Review Items'!$B:$B,0)),IFERROR(INDEX('Rule Updates'!$B:$B,MATCH(C159,'Rule Updates'!$A:$A,0)),"Uncategorised"))</f>
        <v/>
      </c>
      <c r="E159" s="10">
        <f>IFERROR(INDEX('Review Items'!$E:$E,MATCH(C159,'Review Items'!$B:$B,0)),IFERROR(INDEX('Rule Updates'!$C:$C,MATCH(C159,'Rule Updates'!$A:$A,0)),"Review"))</f>
        <v/>
      </c>
      <c r="F159" s="12" t="n">
        <v>325.95</v>
      </c>
      <c r="G159" s="12" t="n">
        <v>3308.76</v>
      </c>
      <c r="H159" s="10" t="n">
        <v>3</v>
      </c>
      <c r="I159" s="10">
        <f>IF(OR(D159="Uncategorised",E159=""),"Check","")</f>
        <v/>
      </c>
    </row>
    <row r="160">
      <c r="A160" s="10" t="inlineStr">
        <is>
          <t>Amex Dec-2024</t>
        </is>
      </c>
      <c r="B160" s="11" t="n">
        <v>45637</v>
      </c>
      <c r="C160" s="10" t="inlineStr">
        <is>
          <t>GARMIN (EUROPE) LIMITED SOUTHAMPTON</t>
        </is>
      </c>
      <c r="D160" s="10">
        <f>IFERROR(INDEX('Review Items'!$D:$D,MATCH(C160,'Review Items'!$B:$B,0)),IFERROR(INDEX('Rule Updates'!$B:$B,MATCH(C160,'Rule Updates'!$A:$A,0)),"Uncategorised"))</f>
        <v/>
      </c>
      <c r="E160" s="10">
        <f>IFERROR(INDEX('Review Items'!$E:$E,MATCH(C160,'Review Items'!$B:$B,0)),IFERROR(INDEX('Rule Updates'!$C:$C,MATCH(C160,'Rule Updates'!$A:$A,0)),"Review"))</f>
        <v/>
      </c>
      <c r="F160" s="12" t="n">
        <v>9.99</v>
      </c>
      <c r="G160" s="12" t="n">
        <v>79.25</v>
      </c>
      <c r="H160" s="10" t="n">
        <v>3</v>
      </c>
      <c r="I160" s="10">
        <f>IF(OR(D160="Uncategorised",E160=""),"Check","")</f>
        <v/>
      </c>
    </row>
    <row r="161">
      <c r="A161" s="10" t="inlineStr">
        <is>
          <t>Amex Dec-2024</t>
        </is>
      </c>
      <c r="B161" s="11" t="n">
        <v>45637</v>
      </c>
      <c r="C161" s="10" t="inlineStr">
        <is>
          <t>RACINES SHEUNG WAN</t>
        </is>
      </c>
      <c r="D161" s="10">
        <f>IFERROR(INDEX('Review Items'!$D:$D,MATCH(C161,'Review Items'!$B:$B,0)),IFERROR(INDEX('Rule Updates'!$B:$B,MATCH(C161,'Rule Updates'!$A:$A,0)),"Uncategorised"))</f>
        <v/>
      </c>
      <c r="E161" s="10">
        <f>IFERROR(INDEX('Review Items'!$E:$E,MATCH(C161,'Review Items'!$B:$B,0)),IFERROR(INDEX('Rule Updates'!$C:$C,MATCH(C161,'Rule Updates'!$A:$A,0)),"Review"))</f>
        <v/>
      </c>
      <c r="F161" s="10" t="n"/>
      <c r="G161" s="12" t="n">
        <v>13442</v>
      </c>
      <c r="H161" s="10" t="n">
        <v>3</v>
      </c>
      <c r="I161" s="10">
        <f>IF(OR(D161="Uncategorised",E161=""),"Check","")</f>
        <v/>
      </c>
    </row>
    <row r="162">
      <c r="A162" s="10" t="inlineStr">
        <is>
          <t>Amex Dec-2024</t>
        </is>
      </c>
      <c r="B162" s="11" t="n">
        <v>45638</v>
      </c>
      <c r="C162" s="10" t="inlineStr">
        <is>
          <t>CITY'SUPER CENTRAL</t>
        </is>
      </c>
      <c r="D162" s="10">
        <f>IFERROR(INDEX('Review Items'!$D:$D,MATCH(C162,'Review Items'!$B:$B,0)),IFERROR(INDEX('Rule Updates'!$B:$B,MATCH(C162,'Rule Updates'!$A:$A,0)),"Uncategorised"))</f>
        <v/>
      </c>
      <c r="E162" s="10">
        <f>IFERROR(INDEX('Review Items'!$E:$E,MATCH(C162,'Review Items'!$B:$B,0)),IFERROR(INDEX('Rule Updates'!$C:$C,MATCH(C162,'Rule Updates'!$A:$A,0)),"Review"))</f>
        <v/>
      </c>
      <c r="F162" s="10" t="n"/>
      <c r="G162" s="12" t="n">
        <v>891.7</v>
      </c>
      <c r="H162" s="10" t="n">
        <v>3</v>
      </c>
      <c r="I162" s="10">
        <f>IF(OR(D162="Uncategorised",E162=""),"Check","")</f>
        <v/>
      </c>
    </row>
    <row r="163">
      <c r="A163" s="10" t="inlineStr">
        <is>
          <t>Amex Dec-2024</t>
        </is>
      </c>
      <c r="B163" s="11" t="n">
        <v>45638</v>
      </c>
      <c r="C163" s="10" t="inlineStr">
        <is>
          <t>LANE CRAWFORD (IFC) CENTRAL</t>
        </is>
      </c>
      <c r="D163" s="10">
        <f>IFERROR(INDEX('Review Items'!$D:$D,MATCH(C163,'Review Items'!$B:$B,0)),IFERROR(INDEX('Rule Updates'!$B:$B,MATCH(C163,'Rule Updates'!$A:$A,0)),"Uncategorised"))</f>
        <v/>
      </c>
      <c r="E163" s="10">
        <f>IFERROR(INDEX('Review Items'!$E:$E,MATCH(C163,'Review Items'!$B:$B,0)),IFERROR(INDEX('Rule Updates'!$C:$C,MATCH(C163,'Rule Updates'!$A:$A,0)),"Review"))</f>
        <v/>
      </c>
      <c r="F163" s="10" t="n"/>
      <c r="G163" s="12" t="n">
        <v>9900</v>
      </c>
      <c r="H163" s="10" t="n">
        <v>3</v>
      </c>
      <c r="I163" s="10">
        <f>IF(OR(D163="Uncategorised",E163=""),"Check","")</f>
        <v/>
      </c>
    </row>
    <row r="164">
      <c r="A164" s="10" t="inlineStr">
        <is>
          <t>Amex Dec-2024</t>
        </is>
      </c>
      <c r="B164" s="11" t="n">
        <v>45639</v>
      </c>
      <c r="C164" s="10" t="inlineStr">
        <is>
          <t>APPLE.COM/BILL CUPERTINO</t>
        </is>
      </c>
      <c r="D164" s="10">
        <f>IFERROR(INDEX('Review Items'!$D:$D,MATCH(C164,'Review Items'!$B:$B,0)),IFERROR(INDEX('Rule Updates'!$B:$B,MATCH(C164,'Rule Updates'!$A:$A,0)),"Uncategorised"))</f>
        <v/>
      </c>
      <c r="E164" s="10">
        <f>IFERROR(INDEX('Review Items'!$E:$E,MATCH(C164,'Review Items'!$B:$B,0)),IFERROR(INDEX('Rule Updates'!$C:$C,MATCH(C164,'Rule Updates'!$A:$A,0)),"Review"))</f>
        <v/>
      </c>
      <c r="F164" s="12" t="n">
        <v>11.99</v>
      </c>
      <c r="G164" s="12" t="n">
        <v>95.09999999999999</v>
      </c>
      <c r="H164" s="10" t="n">
        <v>3</v>
      </c>
      <c r="I164" s="10">
        <f>IF(OR(D164="Uncategorised",E164=""),"Check","")</f>
        <v/>
      </c>
    </row>
    <row r="165">
      <c r="A165" s="10" t="inlineStr">
        <is>
          <t>Amex Dec-2024</t>
        </is>
      </c>
      <c r="B165" s="11" t="n">
        <v>45639</v>
      </c>
      <c r="C165" s="10" t="inlineStr">
        <is>
          <t>APPLE.COM/BILL CUPERTINO</t>
        </is>
      </c>
      <c r="D165" s="10">
        <f>IFERROR(INDEX('Review Items'!$D:$D,MATCH(C165,'Review Items'!$B:$B,0)),IFERROR(INDEX('Rule Updates'!$B:$B,MATCH(C165,'Rule Updates'!$A:$A,0)),"Uncategorised"))</f>
        <v/>
      </c>
      <c r="E165" s="10">
        <f>IFERROR(INDEX('Review Items'!$E:$E,MATCH(C165,'Review Items'!$B:$B,0)),IFERROR(INDEX('Rule Updates'!$C:$C,MATCH(C165,'Rule Updates'!$A:$A,0)),"Review"))</f>
        <v/>
      </c>
      <c r="F165" s="12" t="n">
        <v>11.99</v>
      </c>
      <c r="G165" s="12" t="n">
        <v>95.09999999999999</v>
      </c>
      <c r="H165" s="10" t="n">
        <v>3</v>
      </c>
      <c r="I165" s="10">
        <f>IF(OR(D165="Uncategorised",E165=""),"Check","")</f>
        <v/>
      </c>
    </row>
    <row r="166">
      <c r="A166" s="10" t="inlineStr">
        <is>
          <t>Amex Dec-2024</t>
        </is>
      </c>
      <c r="B166" s="11" t="n">
        <v>45639</v>
      </c>
      <c r="C166" s="10" t="inlineStr">
        <is>
          <t>APPLE.COM/BILL CUPERTINO</t>
        </is>
      </c>
      <c r="D166" s="10">
        <f>IFERROR(INDEX('Review Items'!$D:$D,MATCH(C166,'Review Items'!$B:$B,0)),IFERROR(INDEX('Rule Updates'!$B:$B,MATCH(C166,'Rule Updates'!$A:$A,0)),"Uncategorised"))</f>
        <v/>
      </c>
      <c r="E166" s="10">
        <f>IFERROR(INDEX('Review Items'!$E:$E,MATCH(C166,'Review Items'!$B:$B,0)),IFERROR(INDEX('Rule Updates'!$C:$C,MATCH(C166,'Rule Updates'!$A:$A,0)),"Review"))</f>
        <v/>
      </c>
      <c r="F166" s="12" t="n">
        <v>37.95</v>
      </c>
      <c r="G166" s="12" t="n">
        <v>301.03</v>
      </c>
      <c r="H166" s="10" t="n">
        <v>4</v>
      </c>
      <c r="I166" s="10">
        <f>IF(OR(D166="Uncategorised",E166=""),"Check","")</f>
        <v/>
      </c>
    </row>
    <row r="167">
      <c r="A167" s="10" t="inlineStr">
        <is>
          <t>Amex Dec-2024</t>
        </is>
      </c>
      <c r="B167" s="11" t="n">
        <v>45639</v>
      </c>
      <c r="C167" s="10" t="inlineStr">
        <is>
          <t>SHANGHAI TANG - HKIA EA LANTAU</t>
        </is>
      </c>
      <c r="D167" s="10">
        <f>IFERROR(INDEX('Review Items'!$D:$D,MATCH(C167,'Review Items'!$B:$B,0)),IFERROR(INDEX('Rule Updates'!$B:$B,MATCH(C167,'Rule Updates'!$A:$A,0)),"Uncategorised"))</f>
        <v/>
      </c>
      <c r="E167" s="10">
        <f>IFERROR(INDEX('Review Items'!$E:$E,MATCH(C167,'Review Items'!$B:$B,0)),IFERROR(INDEX('Rule Updates'!$C:$C,MATCH(C167,'Rule Updates'!$A:$A,0)),"Review"))</f>
        <v/>
      </c>
      <c r="F167" s="10" t="n"/>
      <c r="G167" s="12" t="n">
        <v>7164</v>
      </c>
      <c r="H167" s="10" t="n">
        <v>3</v>
      </c>
      <c r="I167" s="10">
        <f>IF(OR(D167="Uncategorised",E167=""),"Check","")</f>
        <v/>
      </c>
    </row>
    <row r="168">
      <c r="A168" s="10" t="inlineStr">
        <is>
          <t>Amex Dec-2024</t>
        </is>
      </c>
      <c r="B168" s="11" t="n">
        <v>45639</v>
      </c>
      <c r="C168" s="10" t="inlineStr">
        <is>
          <t>SP VINGARDEVALISE BOYNTON BEACH</t>
        </is>
      </c>
      <c r="D168" s="10">
        <f>IFERROR(INDEX('Review Items'!$D:$D,MATCH(C168,'Review Items'!$B:$B,0)),IFERROR(INDEX('Rule Updates'!$B:$B,MATCH(C168,'Rule Updates'!$A:$A,0)),"Uncategorised"))</f>
        <v/>
      </c>
      <c r="E168" s="10">
        <f>IFERROR(INDEX('Review Items'!$E:$E,MATCH(C168,'Review Items'!$B:$B,0)),IFERROR(INDEX('Rule Updates'!$C:$C,MATCH(C168,'Rule Updates'!$A:$A,0)),"Review"))</f>
        <v/>
      </c>
      <c r="F168" s="12" t="n">
        <v>513.95</v>
      </c>
      <c r="G168" s="12" t="n">
        <v>4076.82</v>
      </c>
      <c r="H168" s="10" t="n">
        <v>3</v>
      </c>
      <c r="I168" s="10">
        <f>IF(OR(D168="Uncategorised",E168=""),"Check","")</f>
        <v/>
      </c>
    </row>
    <row r="169">
      <c r="A169" s="10" t="inlineStr">
        <is>
          <t>Amex Dec-2024</t>
        </is>
      </c>
      <c r="B169" s="11" t="n">
        <v>45639</v>
      </c>
      <c r="C169" s="10" t="inlineStr">
        <is>
          <t>STOCKXX*14546514601324 PHILADELPHIA</t>
        </is>
      </c>
      <c r="D169" s="10">
        <f>IFERROR(INDEX('Review Items'!$D:$D,MATCH(C169,'Review Items'!$B:$B,0)),IFERROR(INDEX('Rule Updates'!$B:$B,MATCH(C169,'Rule Updates'!$A:$A,0)),"Uncategorised"))</f>
        <v/>
      </c>
      <c r="E169" s="10">
        <f>IFERROR(INDEX('Review Items'!$E:$E,MATCH(C169,'Review Items'!$B:$B,0)),IFERROR(INDEX('Rule Updates'!$C:$C,MATCH(C169,'Rule Updates'!$A:$A,0)),"Review"))</f>
        <v/>
      </c>
      <c r="F169" s="10" t="n"/>
      <c r="G169" s="12" t="n">
        <v>2897.37</v>
      </c>
      <c r="H169" s="10" t="n">
        <v>4</v>
      </c>
      <c r="I169" s="10">
        <f>IF(OR(D169="Uncategorised",E169=""),"Check","")</f>
        <v/>
      </c>
    </row>
    <row r="170">
      <c r="A170" s="10" t="inlineStr">
        <is>
          <t>Amex Dec-2024</t>
        </is>
      </c>
      <c r="B170" s="11" t="n">
        <v>45640</v>
      </c>
      <c r="C170" s="10" t="inlineStr">
        <is>
          <t>KYOTO FUYA RYU RYOKU AI KYOTO</t>
        </is>
      </c>
      <c r="D170" s="10">
        <f>IFERROR(INDEX('Review Items'!$D:$D,MATCH(C170,'Review Items'!$B:$B,0)),IFERROR(INDEX('Rule Updates'!$B:$B,MATCH(C170,'Rule Updates'!$A:$A,0)),"Uncategorised"))</f>
        <v/>
      </c>
      <c r="E170" s="10">
        <f>IFERROR(INDEX('Review Items'!$E:$E,MATCH(C170,'Review Items'!$B:$B,0)),IFERROR(INDEX('Rule Updates'!$C:$C,MATCH(C170,'Rule Updates'!$A:$A,0)),"Review"))</f>
        <v/>
      </c>
      <c r="F170" s="12" t="n">
        <v>1400</v>
      </c>
      <c r="G170" s="12" t="n">
        <v>72.64</v>
      </c>
      <c r="H170" s="10" t="n">
        <v>4</v>
      </c>
      <c r="I170" s="10">
        <f>IF(OR(D170="Uncategorised",E170=""),"Check","")</f>
        <v/>
      </c>
    </row>
    <row r="171">
      <c r="A171" s="10" t="inlineStr">
        <is>
          <t>Amex Dec-2024</t>
        </is>
      </c>
      <c r="B171" s="11" t="n">
        <v>45640</v>
      </c>
      <c r="C171" s="10" t="inlineStr">
        <is>
          <t>NANZENJI OGATA KYOTO</t>
        </is>
      </c>
      <c r="D171" s="10">
        <f>IFERROR(INDEX('Review Items'!$D:$D,MATCH(C171,'Review Items'!$B:$B,0)),IFERROR(INDEX('Rule Updates'!$B:$B,MATCH(C171,'Rule Updates'!$A:$A,0)),"Uncategorised"))</f>
        <v/>
      </c>
      <c r="E171" s="10">
        <f>IFERROR(INDEX('Review Items'!$E:$E,MATCH(C171,'Review Items'!$B:$B,0)),IFERROR(INDEX('Rule Updates'!$C:$C,MATCH(C171,'Rule Updates'!$A:$A,0)),"Review"))</f>
        <v/>
      </c>
      <c r="F171" s="12" t="n">
        <v>242500</v>
      </c>
      <c r="G171" s="12" t="n">
        <v>12588.49</v>
      </c>
      <c r="H171" s="10" t="n">
        <v>6</v>
      </c>
      <c r="I171" s="10">
        <f>IF(OR(D171="Uncategorised",E171=""),"Check","")</f>
        <v/>
      </c>
    </row>
    <row r="172">
      <c r="A172" s="10" t="inlineStr">
        <is>
          <t>Amex Jan-2025</t>
        </is>
      </c>
      <c r="B172" s="11" t="n">
        <v>45640</v>
      </c>
      <c r="C172" s="10" t="inlineStr">
        <is>
          <t>RAKUTENPAY NS TAXI KYOTO</t>
        </is>
      </c>
      <c r="D172" s="10">
        <f>IFERROR(INDEX('Review Items'!$D:$D,MATCH(C172,'Review Items'!$B:$B,0)),IFERROR(INDEX('Rule Updates'!$B:$B,MATCH(C172,'Rule Updates'!$A:$A,0)),"Uncategorised"))</f>
        <v/>
      </c>
      <c r="E172" s="10">
        <f>IFERROR(INDEX('Review Items'!$E:$E,MATCH(C172,'Review Items'!$B:$B,0)),IFERROR(INDEX('Rule Updates'!$C:$C,MATCH(C172,'Rule Updates'!$A:$A,0)),"Review"))</f>
        <v/>
      </c>
      <c r="F172" s="12" t="n">
        <v>1400</v>
      </c>
      <c r="G172" s="12" t="n">
        <v>70.76000000000001</v>
      </c>
      <c r="H172" s="10" t="n">
        <v>1</v>
      </c>
      <c r="I172" s="10">
        <f>IF(OR(D172="Uncategorised",E172=""),"Check","")</f>
        <v/>
      </c>
    </row>
    <row r="173">
      <c r="A173" s="10" t="inlineStr">
        <is>
          <t>Amex Dec-2024</t>
        </is>
      </c>
      <c r="B173" s="11" t="n">
        <v>45640</v>
      </c>
      <c r="C173" s="10" t="inlineStr">
        <is>
          <t>UMEZONOSANJOTERAMACHI AKYOTO</t>
        </is>
      </c>
      <c r="D173" s="10">
        <f>IFERROR(INDEX('Review Items'!$D:$D,MATCH(C173,'Review Items'!$B:$B,0)),IFERROR(INDEX('Rule Updates'!$B:$B,MATCH(C173,'Rule Updates'!$A:$A,0)),"Uncategorised"))</f>
        <v/>
      </c>
      <c r="E173" s="10">
        <f>IFERROR(INDEX('Review Items'!$E:$E,MATCH(C173,'Review Items'!$B:$B,0)),IFERROR(INDEX('Rule Updates'!$C:$C,MATCH(C173,'Rule Updates'!$A:$A,0)),"Review"))</f>
        <v/>
      </c>
      <c r="F173" s="12" t="n">
        <v>960</v>
      </c>
      <c r="G173" s="12" t="n">
        <v>49.8</v>
      </c>
      <c r="H173" s="10" t="n">
        <v>4</v>
      </c>
      <c r="I173" s="10">
        <f>IF(OR(D173="Uncategorised",E173=""),"Check","")</f>
        <v/>
      </c>
    </row>
    <row r="174">
      <c r="A174" s="10" t="inlineStr">
        <is>
          <t>Amex Dec-2024</t>
        </is>
      </c>
      <c r="B174" s="11" t="n">
        <v>45641</v>
      </c>
      <c r="C174" s="10" t="inlineStr">
        <is>
          <t>APPLE.COM/BILL CUPERTINO</t>
        </is>
      </c>
      <c r="D174" s="10">
        <f>IFERROR(INDEX('Review Items'!$D:$D,MATCH(C174,'Review Items'!$B:$B,0)),IFERROR(INDEX('Rule Updates'!$B:$B,MATCH(C174,'Rule Updates'!$A:$A,0)),"Uncategorised"))</f>
        <v/>
      </c>
      <c r="E174" s="10">
        <f>IFERROR(INDEX('Review Items'!$E:$E,MATCH(C174,'Review Items'!$B:$B,0)),IFERROR(INDEX('Rule Updates'!$C:$C,MATCH(C174,'Rule Updates'!$A:$A,0)),"Review"))</f>
        <v/>
      </c>
      <c r="F174" s="12" t="n">
        <v>3.49</v>
      </c>
      <c r="G174" s="12" t="n">
        <v>27.68</v>
      </c>
      <c r="H174" s="10" t="n">
        <v>4</v>
      </c>
      <c r="I174" s="10">
        <f>IF(OR(D174="Uncategorised",E174=""),"Check","")</f>
        <v/>
      </c>
    </row>
    <row r="175">
      <c r="A175" s="10" t="inlineStr">
        <is>
          <t>Amex Dec-2024</t>
        </is>
      </c>
      <c r="B175" s="11" t="n">
        <v>45641</v>
      </c>
      <c r="C175" s="10" t="inlineStr">
        <is>
          <t>DAND DEPARTMENT KYOTO KYOTO</t>
        </is>
      </c>
      <c r="D175" s="10">
        <f>IFERROR(INDEX('Review Items'!$D:$D,MATCH(C175,'Review Items'!$B:$B,0)),IFERROR(INDEX('Rule Updates'!$B:$B,MATCH(C175,'Rule Updates'!$A:$A,0)),"Uncategorised"))</f>
        <v/>
      </c>
      <c r="E175" s="10">
        <f>IFERROR(INDEX('Review Items'!$E:$E,MATCH(C175,'Review Items'!$B:$B,0)),IFERROR(INDEX('Rule Updates'!$C:$C,MATCH(C175,'Rule Updates'!$A:$A,0)),"Review"))</f>
        <v/>
      </c>
      <c r="F175" s="12" t="n">
        <v>22720</v>
      </c>
      <c r="G175" s="12" t="n">
        <v>1174.32</v>
      </c>
      <c r="H175" s="10" t="n">
        <v>4</v>
      </c>
      <c r="I175" s="10">
        <f>IF(OR(D175="Uncategorised",E175=""),"Check","")</f>
        <v/>
      </c>
    </row>
    <row r="176">
      <c r="A176" s="10" t="inlineStr">
        <is>
          <t>Amex Dec-2024</t>
        </is>
      </c>
      <c r="B176" s="11" t="n">
        <v>45641</v>
      </c>
      <c r="C176" s="10" t="inlineStr">
        <is>
          <t>IPPODO TEA KYOTO</t>
        </is>
      </c>
      <c r="D176" s="10">
        <f>IFERROR(INDEX('Review Items'!$D:$D,MATCH(C176,'Review Items'!$B:$B,0)),IFERROR(INDEX('Rule Updates'!$B:$B,MATCH(C176,'Rule Updates'!$A:$A,0)),"Uncategorised"))</f>
        <v/>
      </c>
      <c r="E176" s="10">
        <f>IFERROR(INDEX('Review Items'!$E:$E,MATCH(C176,'Review Items'!$B:$B,0)),IFERROR(INDEX('Rule Updates'!$C:$C,MATCH(C176,'Rule Updates'!$A:$A,0)),"Review"))</f>
        <v/>
      </c>
      <c r="F176" s="12" t="n">
        <v>2160</v>
      </c>
      <c r="G176" s="12" t="n">
        <v>112.14</v>
      </c>
      <c r="H176" s="10" t="n">
        <v>4</v>
      </c>
      <c r="I176" s="10">
        <f>IF(OR(D176="Uncategorised",E176=""),"Check","")</f>
        <v/>
      </c>
    </row>
    <row r="177">
      <c r="A177" s="10" t="inlineStr">
        <is>
          <t>Amex Dec-2024</t>
        </is>
      </c>
      <c r="B177" s="11" t="n">
        <v>45641</v>
      </c>
      <c r="C177" s="10" t="inlineStr">
        <is>
          <t>IPPODO TEA KYOTO</t>
        </is>
      </c>
      <c r="D177" s="10">
        <f>IFERROR(INDEX('Review Items'!$D:$D,MATCH(C177,'Review Items'!$B:$B,0)),IFERROR(INDEX('Rule Updates'!$B:$B,MATCH(C177,'Rule Updates'!$A:$A,0)),"Uncategorised"))</f>
        <v/>
      </c>
      <c r="E177" s="10">
        <f>IFERROR(INDEX('Review Items'!$E:$E,MATCH(C177,'Review Items'!$B:$B,0)),IFERROR(INDEX('Rule Updates'!$C:$C,MATCH(C177,'Rule Updates'!$A:$A,0)),"Review"))</f>
        <v/>
      </c>
      <c r="F177" s="12" t="n">
        <v>8964</v>
      </c>
      <c r="G177" s="12" t="n">
        <v>465.31</v>
      </c>
      <c r="H177" s="10" t="n">
        <v>4</v>
      </c>
      <c r="I177" s="10">
        <f>IF(OR(D177="Uncategorised",E177=""),"Check","")</f>
        <v/>
      </c>
    </row>
    <row r="178">
      <c r="A178" s="10" t="inlineStr">
        <is>
          <t>Amex Dec-2024</t>
        </is>
      </c>
      <c r="B178" s="11" t="n">
        <v>45641</v>
      </c>
      <c r="C178" s="10" t="inlineStr">
        <is>
          <t>NIKUSENKA HAFU HONTEN KYOTO</t>
        </is>
      </c>
      <c r="D178" s="10">
        <f>IFERROR(INDEX('Review Items'!$D:$D,MATCH(C178,'Review Items'!$B:$B,0)),IFERROR(INDEX('Rule Updates'!$B:$B,MATCH(C178,'Rule Updates'!$A:$A,0)),"Uncategorised"))</f>
        <v/>
      </c>
      <c r="E178" s="10">
        <f>IFERROR(INDEX('Review Items'!$E:$E,MATCH(C178,'Review Items'!$B:$B,0)),IFERROR(INDEX('Rule Updates'!$C:$C,MATCH(C178,'Rule Updates'!$A:$A,0)),"Review"))</f>
        <v/>
      </c>
      <c r="F178" s="12" t="n">
        <v>13600</v>
      </c>
      <c r="G178" s="12" t="n">
        <v>706.02</v>
      </c>
      <c r="H178" s="10" t="n">
        <v>4</v>
      </c>
      <c r="I178" s="10">
        <f>IF(OR(D178="Uncategorised",E178=""),"Check","")</f>
        <v/>
      </c>
    </row>
    <row r="179">
      <c r="A179" s="10" t="inlineStr">
        <is>
          <t>Amex Dec-2024</t>
        </is>
      </c>
      <c r="B179" s="11" t="n">
        <v>45641</v>
      </c>
      <c r="C179" s="10" t="inlineStr">
        <is>
          <t>NISHIGISHI FURNITURE CO jing dou shi zh</t>
        </is>
      </c>
      <c r="D179" s="10">
        <f>IFERROR(INDEX('Review Items'!$D:$D,MATCH(C179,'Review Items'!$B:$B,0)),IFERROR(INDEX('Rule Updates'!$B:$B,MATCH(C179,'Rule Updates'!$A:$A,0)),"Uncategorised"))</f>
        <v/>
      </c>
      <c r="E179" s="10">
        <f>IFERROR(INDEX('Review Items'!$E:$E,MATCH(C179,'Review Items'!$B:$B,0)),IFERROR(INDEX('Rule Updates'!$C:$C,MATCH(C179,'Rule Updates'!$A:$A,0)),"Review"))</f>
        <v/>
      </c>
      <c r="F179" s="12" t="n">
        <v>4800</v>
      </c>
      <c r="G179" s="12" t="n">
        <v>249.19</v>
      </c>
      <c r="H179" s="10" t="n">
        <v>4</v>
      </c>
      <c r="I179" s="10">
        <f>IF(OR(D179="Uncategorised",E179=""),"Check","")</f>
        <v/>
      </c>
    </row>
    <row r="180">
      <c r="A180" s="10" t="inlineStr">
        <is>
          <t>Amex Dec-2024</t>
        </is>
      </c>
      <c r="B180" s="11" t="n">
        <v>45641</v>
      </c>
      <c r="C180" s="10" t="inlineStr">
        <is>
          <t>STUDIOUS MENS KYOTO KYOTO</t>
        </is>
      </c>
      <c r="D180" s="10">
        <f>IFERROR(INDEX('Review Items'!$D:$D,MATCH(C180,'Review Items'!$B:$B,0)),IFERROR(INDEX('Rule Updates'!$B:$B,MATCH(C180,'Rule Updates'!$A:$A,0)),"Uncategorised"))</f>
        <v/>
      </c>
      <c r="E180" s="10">
        <f>IFERROR(INDEX('Review Items'!$E:$E,MATCH(C180,'Review Items'!$B:$B,0)),IFERROR(INDEX('Rule Updates'!$C:$C,MATCH(C180,'Rule Updates'!$A:$A,0)),"Review"))</f>
        <v/>
      </c>
      <c r="F180" s="12" t="n">
        <v>49000</v>
      </c>
      <c r="G180" s="12" t="n">
        <v>2543.63</v>
      </c>
      <c r="H180" s="10" t="n">
        <v>6</v>
      </c>
      <c r="I180" s="10">
        <f>IF(OR(D180="Uncategorised",E180=""),"Check","")</f>
        <v/>
      </c>
    </row>
    <row r="181">
      <c r="A181" s="10" t="inlineStr">
        <is>
          <t>Amex Dec-2024</t>
        </is>
      </c>
      <c r="B181" s="11" t="n">
        <v>45641</v>
      </c>
      <c r="C181" s="10" t="inlineStr">
        <is>
          <t>TOKYO NIHONKOTSU KYOTO KYOTO</t>
        </is>
      </c>
      <c r="D181" s="10">
        <f>IFERROR(INDEX('Review Items'!$D:$D,MATCH(C181,'Review Items'!$B:$B,0)),IFERROR(INDEX('Rule Updates'!$B:$B,MATCH(C181,'Rule Updates'!$A:$A,0)),"Uncategorised"))</f>
        <v/>
      </c>
      <c r="E181" s="10">
        <f>IFERROR(INDEX('Review Items'!$E:$E,MATCH(C181,'Review Items'!$B:$B,0)),IFERROR(INDEX('Rule Updates'!$C:$C,MATCH(C181,'Rule Updates'!$A:$A,0)),"Review"))</f>
        <v/>
      </c>
      <c r="F181" s="12" t="n">
        <v>1600</v>
      </c>
      <c r="G181" s="12" t="n">
        <v>82.70999999999999</v>
      </c>
      <c r="H181" s="10" t="n">
        <v>4</v>
      </c>
      <c r="I181" s="10">
        <f>IF(OR(D181="Uncategorised",E181=""),"Check","")</f>
        <v/>
      </c>
    </row>
    <row r="182">
      <c r="A182" s="10" t="inlineStr">
        <is>
          <t>Amex Dec-2024</t>
        </is>
      </c>
      <c r="B182" s="11" t="n">
        <v>45642</v>
      </c>
      <c r="C182" s="10" t="inlineStr">
        <is>
          <t>SIX SENSES KYOTO *</t>
        </is>
      </c>
      <c r="D182" s="10">
        <f>IFERROR(INDEX('Review Items'!$D:$D,MATCH(C182,'Review Items'!$B:$B,0)),IFERROR(INDEX('Rule Updates'!$B:$B,MATCH(C182,'Rule Updates'!$A:$A,0)),"Uncategorised"))</f>
        <v/>
      </c>
      <c r="E182" s="10">
        <f>IFERROR(INDEX('Review Items'!$E:$E,MATCH(C182,'Review Items'!$B:$B,0)),IFERROR(INDEX('Rule Updates'!$C:$C,MATCH(C182,'Rule Updates'!$A:$A,0)),"Review"))</f>
        <v/>
      </c>
      <c r="F182" s="12" t="n">
        <v>1120000</v>
      </c>
      <c r="G182" s="12" t="n">
        <v>57889.18</v>
      </c>
      <c r="H182" s="10" t="n">
        <v>6</v>
      </c>
      <c r="I182" s="10">
        <f>IF(OR(D182="Uncategorised",E182=""),"Check","")</f>
        <v/>
      </c>
    </row>
    <row r="183">
      <c r="A183" s="10" t="inlineStr">
        <is>
          <t>Amex Dec-2024</t>
        </is>
      </c>
      <c r="B183" s="11" t="n">
        <v>45642</v>
      </c>
      <c r="C183" s="10" t="inlineStr">
        <is>
          <t>SIX SENSES KYOTO *</t>
        </is>
      </c>
      <c r="D183" s="10">
        <f>IFERROR(INDEX('Review Items'!$D:$D,MATCH(C183,'Review Items'!$B:$B,0)),IFERROR(INDEX('Rule Updates'!$B:$B,MATCH(C183,'Rule Updates'!$A:$A,0)),"Uncategorised"))</f>
        <v/>
      </c>
      <c r="E183" s="10">
        <f>IFERROR(INDEX('Review Items'!$E:$E,MATCH(C183,'Review Items'!$B:$B,0)),IFERROR(INDEX('Rule Updates'!$C:$C,MATCH(C183,'Rule Updates'!$A:$A,0)),"Review"))</f>
        <v/>
      </c>
      <c r="F183" s="12" t="n">
        <v>187735</v>
      </c>
      <c r="G183" s="12" t="n">
        <v>9703.440000000001</v>
      </c>
      <c r="H183" s="10" t="n">
        <v>6</v>
      </c>
      <c r="I183" s="10">
        <f>IF(OR(D183="Uncategorised",E183=""),"Check","")</f>
        <v/>
      </c>
    </row>
    <row r="184">
      <c r="A184" s="10" t="inlineStr">
        <is>
          <t>Amex Dec-2024</t>
        </is>
      </c>
      <c r="B184" s="11" t="n">
        <v>45643</v>
      </c>
      <c r="C184" s="10" t="inlineStr">
        <is>
          <t>45R CENTRAL</t>
        </is>
      </c>
      <c r="D184" s="10">
        <f>IFERROR(INDEX('Review Items'!$D:$D,MATCH(C184,'Review Items'!$B:$B,0)),IFERROR(INDEX('Rule Updates'!$B:$B,MATCH(C184,'Rule Updates'!$A:$A,0)),"Uncategorised"))</f>
        <v/>
      </c>
      <c r="E184" s="10">
        <f>IFERROR(INDEX('Review Items'!$E:$E,MATCH(C184,'Review Items'!$B:$B,0)),IFERROR(INDEX('Rule Updates'!$C:$C,MATCH(C184,'Rule Updates'!$A:$A,0)),"Review"))</f>
        <v/>
      </c>
      <c r="F184" s="10" t="n"/>
      <c r="G184" s="12" t="n">
        <v>5935</v>
      </c>
      <c r="H184" s="10" t="n">
        <v>4</v>
      </c>
      <c r="I184" s="10">
        <f>IF(OR(D184="Uncategorised",E184=""),"Check","")</f>
        <v/>
      </c>
    </row>
    <row r="185">
      <c r="A185" s="10" t="inlineStr">
        <is>
          <t>Amex Dec-2024</t>
        </is>
      </c>
      <c r="B185" s="11" t="n">
        <v>45643</v>
      </c>
      <c r="C185" s="10" t="inlineStr">
        <is>
          <t>APPLE.COM/BILL CUPERTINO</t>
        </is>
      </c>
      <c r="D185" s="10">
        <f>IFERROR(INDEX('Review Items'!$D:$D,MATCH(C185,'Review Items'!$B:$B,0)),IFERROR(INDEX('Rule Updates'!$B:$B,MATCH(C185,'Rule Updates'!$A:$A,0)),"Uncategorised"))</f>
        <v/>
      </c>
      <c r="E185" s="10">
        <f>IFERROR(INDEX('Review Items'!$E:$E,MATCH(C185,'Review Items'!$B:$B,0)),IFERROR(INDEX('Rule Updates'!$C:$C,MATCH(C185,'Rule Updates'!$A:$A,0)),"Review"))</f>
        <v/>
      </c>
      <c r="F185" s="12" t="n">
        <v>9.99</v>
      </c>
      <c r="G185" s="12" t="n">
        <v>79.23999999999999</v>
      </c>
      <c r="H185" s="10" t="n">
        <v>4</v>
      </c>
      <c r="I185" s="10">
        <f>IF(OR(D185="Uncategorised",E185=""),"Check","")</f>
        <v/>
      </c>
    </row>
    <row r="186">
      <c r="A186" s="10" t="inlineStr">
        <is>
          <t>Amex Dec-2024</t>
        </is>
      </c>
      <c r="B186" s="11" t="n">
        <v>45643</v>
      </c>
      <c r="C186" s="10" t="inlineStr">
        <is>
          <t>GLOBAL-E.45R GLOBAL-ENETHERLANDS</t>
        </is>
      </c>
      <c r="D186" s="10">
        <f>IFERROR(INDEX('Review Items'!$D:$D,MATCH(C186,'Review Items'!$B:$B,0)),IFERROR(INDEX('Rule Updates'!$B:$B,MATCH(C186,'Rule Updates'!$A:$A,0)),"Uncategorised"))</f>
        <v/>
      </c>
      <c r="E186" s="10">
        <f>IFERROR(INDEX('Review Items'!$E:$E,MATCH(C186,'Review Items'!$B:$B,0)),IFERROR(INDEX('Rule Updates'!$C:$C,MATCH(C186,'Rule Updates'!$A:$A,0)),"Review"))</f>
        <v/>
      </c>
      <c r="F186" s="10" t="n"/>
      <c r="G186" s="12" t="n">
        <v>29770</v>
      </c>
      <c r="H186" s="10" t="n">
        <v>4</v>
      </c>
      <c r="I186" s="10">
        <f>IF(OR(D186="Uncategorised",E186=""),"Check","")</f>
        <v/>
      </c>
    </row>
    <row r="187">
      <c r="A187" s="10" t="inlineStr">
        <is>
          <t>Amex Dec-2024</t>
        </is>
      </c>
      <c r="B187" s="11" t="n">
        <v>45644</v>
      </c>
      <c r="C187" s="10" t="inlineStr">
        <is>
          <t>GLOBAL-E.45R GLOBAL-EUNITED KINGDOM</t>
        </is>
      </c>
      <c r="D187" s="10">
        <f>IFERROR(INDEX('Review Items'!$D:$D,MATCH(C187,'Review Items'!$B:$B,0)),IFERROR(INDEX('Rule Updates'!$B:$B,MATCH(C187,'Rule Updates'!$A:$A,0)),"Uncategorised"))</f>
        <v/>
      </c>
      <c r="E187" s="10">
        <f>IFERROR(INDEX('Review Items'!$E:$E,MATCH(C187,'Review Items'!$B:$B,0)),IFERROR(INDEX('Rule Updates'!$C:$C,MATCH(C187,'Rule Updates'!$A:$A,0)),"Review"))</f>
        <v/>
      </c>
      <c r="F187" s="10" t="n"/>
      <c r="G187" s="12" t="n">
        <v>7695</v>
      </c>
      <c r="H187" s="10" t="n">
        <v>4</v>
      </c>
      <c r="I187" s="10">
        <f>IF(OR(D187="Uncategorised",E187=""),"Check","")</f>
        <v/>
      </c>
    </row>
    <row r="188">
      <c r="A188" s="10" t="inlineStr">
        <is>
          <t>Amex Dec-2024</t>
        </is>
      </c>
      <c r="B188" s="11" t="n">
        <v>45644</v>
      </c>
      <c r="C188" s="10" t="inlineStr">
        <is>
          <t>KELLY &amp; WALSH LTD ADMIRALTY</t>
        </is>
      </c>
      <c r="D188" s="10">
        <f>IFERROR(INDEX('Review Items'!$D:$D,MATCH(C188,'Review Items'!$B:$B,0)),IFERROR(INDEX('Rule Updates'!$B:$B,MATCH(C188,'Rule Updates'!$A:$A,0)),"Uncategorised"))</f>
        <v/>
      </c>
      <c r="E188" s="10">
        <f>IFERROR(INDEX('Review Items'!$E:$E,MATCH(C188,'Review Items'!$B:$B,0)),IFERROR(INDEX('Rule Updates'!$C:$C,MATCH(C188,'Rule Updates'!$A:$A,0)),"Review"))</f>
        <v/>
      </c>
      <c r="F188" s="10" t="n"/>
      <c r="G188" s="12" t="n">
        <v>351</v>
      </c>
      <c r="H188" s="10" t="n">
        <v>4</v>
      </c>
      <c r="I188" s="10">
        <f>IF(OR(D188="Uncategorised",E188=""),"Check","")</f>
        <v/>
      </c>
    </row>
    <row r="189">
      <c r="A189" s="10" t="inlineStr">
        <is>
          <t>Amex Dec-2024</t>
        </is>
      </c>
      <c r="B189" s="11" t="n">
        <v>45644</v>
      </c>
      <c r="C189" s="10" t="inlineStr">
        <is>
          <t>MOVIE MOVIE PACIFIC PLA ADMIRALTY</t>
        </is>
      </c>
      <c r="D189" s="10">
        <f>IFERROR(INDEX('Review Items'!$D:$D,MATCH(C189,'Review Items'!$B:$B,0)),IFERROR(INDEX('Rule Updates'!$B:$B,MATCH(C189,'Rule Updates'!$A:$A,0)),"Uncategorised"))</f>
        <v/>
      </c>
      <c r="E189" s="10">
        <f>IFERROR(INDEX('Review Items'!$E:$E,MATCH(C189,'Review Items'!$B:$B,0)),IFERROR(INDEX('Rule Updates'!$C:$C,MATCH(C189,'Rule Updates'!$A:$A,0)),"Review"))</f>
        <v/>
      </c>
      <c r="F189" s="10" t="n"/>
      <c r="G189" s="12" t="n">
        <v>204</v>
      </c>
      <c r="H189" s="10" t="n">
        <v>4</v>
      </c>
      <c r="I189" s="10">
        <f>IF(OR(D189="Uncategorised",E189=""),"Check","")</f>
        <v/>
      </c>
    </row>
    <row r="190">
      <c r="A190" s="10" t="inlineStr">
        <is>
          <t>Amex Dec-2024</t>
        </is>
      </c>
      <c r="B190" s="11" t="n">
        <v>45645</v>
      </c>
      <c r="C190" s="10" t="inlineStr">
        <is>
          <t>APITA QUARRY BAY</t>
        </is>
      </c>
      <c r="D190" s="10">
        <f>IFERROR(INDEX('Review Items'!$D:$D,MATCH(C190,'Review Items'!$B:$B,0)),IFERROR(INDEX('Rule Updates'!$B:$B,MATCH(C190,'Rule Updates'!$A:$A,0)),"Uncategorised"))</f>
        <v/>
      </c>
      <c r="E190" s="10">
        <f>IFERROR(INDEX('Review Items'!$E:$E,MATCH(C190,'Review Items'!$B:$B,0)),IFERROR(INDEX('Rule Updates'!$C:$C,MATCH(C190,'Rule Updates'!$A:$A,0)),"Review"))</f>
        <v/>
      </c>
      <c r="F190" s="10" t="n"/>
      <c r="G190" s="12" t="n">
        <v>3087.8</v>
      </c>
      <c r="H190" s="10" t="n">
        <v>5</v>
      </c>
      <c r="I190" s="10">
        <f>IF(OR(D190="Uncategorised",E190=""),"Check","")</f>
        <v/>
      </c>
    </row>
    <row r="191">
      <c r="A191" s="10" t="inlineStr">
        <is>
          <t>Amex Dec-2024</t>
        </is>
      </c>
      <c r="B191" s="11" t="n">
        <v>45645</v>
      </c>
      <c r="C191" s="10" t="inlineStr">
        <is>
          <t>APITA QUARRY BAY</t>
        </is>
      </c>
      <c r="D191" s="10">
        <f>IFERROR(INDEX('Review Items'!$D:$D,MATCH(C191,'Review Items'!$B:$B,0)),IFERROR(INDEX('Rule Updates'!$B:$B,MATCH(C191,'Rule Updates'!$A:$A,0)),"Uncategorised"))</f>
        <v/>
      </c>
      <c r="E191" s="10">
        <f>IFERROR(INDEX('Review Items'!$E:$E,MATCH(C191,'Review Items'!$B:$B,0)),IFERROR(INDEX('Rule Updates'!$C:$C,MATCH(C191,'Rule Updates'!$A:$A,0)),"Review"))</f>
        <v/>
      </c>
      <c r="F191" s="10" t="n"/>
      <c r="G191" s="12" t="n">
        <v>363</v>
      </c>
      <c r="H191" s="10" t="n">
        <v>5</v>
      </c>
      <c r="I191" s="10">
        <f>IF(OR(D191="Uncategorised",E191=""),"Check","")</f>
        <v/>
      </c>
    </row>
    <row r="192">
      <c r="A192" s="10" t="inlineStr">
        <is>
          <t>Amex Dec-2024</t>
        </is>
      </c>
      <c r="B192" s="11" t="n">
        <v>45645</v>
      </c>
      <c r="C192" s="10" t="inlineStr">
        <is>
          <t>APPLE.COM/BILL CUPERTINO</t>
        </is>
      </c>
      <c r="D192" s="10">
        <f>IFERROR(INDEX('Review Items'!$D:$D,MATCH(C192,'Review Items'!$B:$B,0)),IFERROR(INDEX('Rule Updates'!$B:$B,MATCH(C192,'Rule Updates'!$A:$A,0)),"Uncategorised"))</f>
        <v/>
      </c>
      <c r="E192" s="10">
        <f>IFERROR(INDEX('Review Items'!$E:$E,MATCH(C192,'Review Items'!$B:$B,0)),IFERROR(INDEX('Rule Updates'!$C:$C,MATCH(C192,'Rule Updates'!$A:$A,0)),"Review"))</f>
        <v/>
      </c>
      <c r="F192" s="12" t="n">
        <v>4.99</v>
      </c>
      <c r="G192" s="12" t="n">
        <v>39.55</v>
      </c>
      <c r="H192" s="10" t="n">
        <v>4</v>
      </c>
      <c r="I192" s="10">
        <f>IF(OR(D192="Uncategorised",E192=""),"Check","")</f>
        <v/>
      </c>
    </row>
    <row r="193">
      <c r="A193" s="10" t="inlineStr">
        <is>
          <t>Amex Dec-2024</t>
        </is>
      </c>
      <c r="B193" s="11" t="n">
        <v>45645</v>
      </c>
      <c r="C193" s="10" t="inlineStr">
        <is>
          <t>BURGUNDY ETC CENTRAL</t>
        </is>
      </c>
      <c r="D193" s="10">
        <f>IFERROR(INDEX('Review Items'!$D:$D,MATCH(C193,'Review Items'!$B:$B,0)),IFERROR(INDEX('Rule Updates'!$B:$B,MATCH(C193,'Rule Updates'!$A:$A,0)),"Uncategorised"))</f>
        <v/>
      </c>
      <c r="E193" s="10">
        <f>IFERROR(INDEX('Review Items'!$E:$E,MATCH(C193,'Review Items'!$B:$B,0)),IFERROR(INDEX('Rule Updates'!$C:$C,MATCH(C193,'Rule Updates'!$A:$A,0)),"Review"))</f>
        <v/>
      </c>
      <c r="F193" s="10" t="n"/>
      <c r="G193" s="12" t="n">
        <v>14440</v>
      </c>
      <c r="H193" s="10" t="n">
        <v>4</v>
      </c>
      <c r="I193" s="10">
        <f>IF(OR(D193="Uncategorised",E193=""),"Check","")</f>
        <v/>
      </c>
    </row>
    <row r="194">
      <c r="A194" s="10" t="inlineStr">
        <is>
          <t>Amex Dec-2024</t>
        </is>
      </c>
      <c r="B194" s="11" t="n">
        <v>45645</v>
      </c>
      <c r="C194" s="10" t="inlineStr">
        <is>
          <t>JOYCE BEAUTY CAUSEWAY BAY</t>
        </is>
      </c>
      <c r="D194" s="10">
        <f>IFERROR(INDEX('Review Items'!$D:$D,MATCH(C194,'Review Items'!$B:$B,0)),IFERROR(INDEX('Rule Updates'!$B:$B,MATCH(C194,'Rule Updates'!$A:$A,0)),"Uncategorised"))</f>
        <v/>
      </c>
      <c r="E194" s="10">
        <f>IFERROR(INDEX('Review Items'!$E:$E,MATCH(C194,'Review Items'!$B:$B,0)),IFERROR(INDEX('Rule Updates'!$C:$C,MATCH(C194,'Rule Updates'!$A:$A,0)),"Review"))</f>
        <v/>
      </c>
      <c r="F194" s="10" t="n"/>
      <c r="G194" s="12" t="n">
        <v>2535</v>
      </c>
      <c r="H194" s="10" t="n">
        <v>5</v>
      </c>
      <c r="I194" s="10">
        <f>IF(OR(D194="Uncategorised",E194=""),"Check","")</f>
        <v/>
      </c>
    </row>
    <row r="195">
      <c r="A195" s="10" t="inlineStr">
        <is>
          <t>Amex Dec-2024</t>
        </is>
      </c>
      <c r="B195" s="11" t="n">
        <v>45645</v>
      </c>
      <c r="C195" s="10" t="inlineStr">
        <is>
          <t>KPAY*SILK TEA 000000000 HONG KONG</t>
        </is>
      </c>
      <c r="D195" s="10">
        <f>IFERROR(INDEX('Review Items'!$D:$D,MATCH(C195,'Review Items'!$B:$B,0)),IFERROR(INDEX('Rule Updates'!$B:$B,MATCH(C195,'Rule Updates'!$A:$A,0)),"Uncategorised"))</f>
        <v/>
      </c>
      <c r="E195" s="10">
        <f>IFERROR(INDEX('Review Items'!$E:$E,MATCH(C195,'Review Items'!$B:$B,0)),IFERROR(INDEX('Rule Updates'!$C:$C,MATCH(C195,'Rule Updates'!$A:$A,0)),"Review"))</f>
        <v/>
      </c>
      <c r="F195" s="10" t="n"/>
      <c r="G195" s="12" t="n">
        <v>32</v>
      </c>
      <c r="H195" s="10" t="n">
        <v>5</v>
      </c>
      <c r="I195" s="10">
        <f>IF(OR(D195="Uncategorised",E195=""),"Check","")</f>
        <v/>
      </c>
    </row>
    <row r="196">
      <c r="A196" s="10" t="inlineStr">
        <is>
          <t>Amex Dec-2024</t>
        </is>
      </c>
      <c r="B196" s="11" t="n">
        <v>45645</v>
      </c>
      <c r="C196" s="10" t="inlineStr">
        <is>
          <t>NEIGHBORHOOD CENTRAL</t>
        </is>
      </c>
      <c r="D196" s="10">
        <f>IFERROR(INDEX('Review Items'!$D:$D,MATCH(C196,'Review Items'!$B:$B,0)),IFERROR(INDEX('Rule Updates'!$B:$B,MATCH(C196,'Rule Updates'!$A:$A,0)),"Uncategorised"))</f>
        <v/>
      </c>
      <c r="E196" s="10">
        <f>IFERROR(INDEX('Review Items'!$E:$E,MATCH(C196,'Review Items'!$B:$B,0)),IFERROR(INDEX('Rule Updates'!$C:$C,MATCH(C196,'Rule Updates'!$A:$A,0)),"Review"))</f>
        <v/>
      </c>
      <c r="F196" s="10" t="n"/>
      <c r="G196" s="12" t="n">
        <v>15406</v>
      </c>
      <c r="H196" s="10" t="n">
        <v>6</v>
      </c>
      <c r="I196" s="10">
        <f>IF(OR(D196="Uncategorised",E196=""),"Check","")</f>
        <v/>
      </c>
    </row>
    <row r="197">
      <c r="A197" s="10" t="inlineStr">
        <is>
          <t>Amex Dec-2024</t>
        </is>
      </c>
      <c r="B197" s="11" t="n">
        <v>45645</v>
      </c>
      <c r="C197" s="10" t="inlineStr">
        <is>
          <t>OCL* OCTOPUS AD7783729 KOWLOON BAY</t>
        </is>
      </c>
      <c r="D197" s="10">
        <f>IFERROR(INDEX('Review Items'!$D:$D,MATCH(C197,'Review Items'!$B:$B,0)),IFERROR(INDEX('Rule Updates'!$B:$B,MATCH(C197,'Rule Updates'!$A:$A,0)),"Uncategorised"))</f>
        <v/>
      </c>
      <c r="E197" s="10">
        <f>IFERROR(INDEX('Review Items'!$E:$E,MATCH(C197,'Review Items'!$B:$B,0)),IFERROR(INDEX('Rule Updates'!$C:$C,MATCH(C197,'Rule Updates'!$A:$A,0)),"Review"))</f>
        <v/>
      </c>
      <c r="F197" s="10" t="n"/>
      <c r="G197" s="12" t="n">
        <v>1800</v>
      </c>
      <c r="H197" s="10" t="n">
        <v>4</v>
      </c>
      <c r="I197" s="10">
        <f>IF(OR(D197="Uncategorised",E197=""),"Check","")</f>
        <v/>
      </c>
    </row>
    <row r="198">
      <c r="A198" s="10" t="inlineStr">
        <is>
          <t>Amex Dec-2024</t>
        </is>
      </c>
      <c r="B198" s="11" t="n">
        <v>45645</v>
      </c>
      <c r="C198" s="10" t="inlineStr">
        <is>
          <t>SHOPBOP.COM 877-746-7267</t>
        </is>
      </c>
      <c r="D198" s="10">
        <f>IFERROR(INDEX('Review Items'!$D:$D,MATCH(C198,'Review Items'!$B:$B,0)),IFERROR(INDEX('Rule Updates'!$B:$B,MATCH(C198,'Rule Updates'!$A:$A,0)),"Uncategorised"))</f>
        <v/>
      </c>
      <c r="E198" s="10">
        <f>IFERROR(INDEX('Review Items'!$E:$E,MATCH(C198,'Review Items'!$B:$B,0)),IFERROR(INDEX('Rule Updates'!$C:$C,MATCH(C198,'Rule Updates'!$A:$A,0)),"Review"))</f>
        <v/>
      </c>
      <c r="F198" s="12" t="n">
        <v>150</v>
      </c>
      <c r="G198" s="12" t="n">
        <v>1189.22</v>
      </c>
      <c r="H198" s="10" t="n">
        <v>5</v>
      </c>
      <c r="I198" s="10">
        <f>IF(OR(D198="Uncategorised",E198=""),"Check","")</f>
        <v/>
      </c>
    </row>
    <row r="199">
      <c r="A199" s="10" t="inlineStr">
        <is>
          <t>Amex Dec-2024</t>
        </is>
      </c>
      <c r="B199" s="11" t="n">
        <v>45646</v>
      </c>
      <c r="C199" s="10" t="inlineStr">
        <is>
          <t>CITY'SUPER CENTRAL</t>
        </is>
      </c>
      <c r="D199" s="10">
        <f>IFERROR(INDEX('Review Items'!$D:$D,MATCH(C199,'Review Items'!$B:$B,0)),IFERROR(INDEX('Rule Updates'!$B:$B,MATCH(C199,'Rule Updates'!$A:$A,0)),"Uncategorised"))</f>
        <v/>
      </c>
      <c r="E199" s="10">
        <f>IFERROR(INDEX('Review Items'!$E:$E,MATCH(C199,'Review Items'!$B:$B,0)),IFERROR(INDEX('Rule Updates'!$C:$C,MATCH(C199,'Rule Updates'!$A:$A,0)),"Review"))</f>
        <v/>
      </c>
      <c r="F199" s="10" t="n"/>
      <c r="G199" s="12" t="n">
        <v>2442</v>
      </c>
      <c r="H199" s="10" t="n">
        <v>5</v>
      </c>
      <c r="I199" s="10">
        <f>IF(OR(D199="Uncategorised",E199=""),"Check","")</f>
        <v/>
      </c>
    </row>
    <row r="200">
      <c r="A200" s="10" t="inlineStr">
        <is>
          <t>Amex Dec-2024</t>
        </is>
      </c>
      <c r="B200" s="11" t="n">
        <v>45648</v>
      </c>
      <c r="C200" s="10" t="inlineStr">
        <is>
          <t>KATES BREAD OJAI</t>
        </is>
      </c>
      <c r="D200" s="10">
        <f>IFERROR(INDEX('Review Items'!$D:$D,MATCH(C200,'Review Items'!$B:$B,0)),IFERROR(INDEX('Rule Updates'!$B:$B,MATCH(C200,'Rule Updates'!$A:$A,0)),"Uncategorised"))</f>
        <v/>
      </c>
      <c r="E200" s="10">
        <f>IFERROR(INDEX('Review Items'!$E:$E,MATCH(C200,'Review Items'!$B:$B,0)),IFERROR(INDEX('Rule Updates'!$C:$C,MATCH(C200,'Rule Updates'!$A:$A,0)),"Review"))</f>
        <v/>
      </c>
      <c r="F200" s="12" t="n">
        <v>5</v>
      </c>
      <c r="G200" s="12" t="n">
        <v>39.64</v>
      </c>
      <c r="H200" s="10" t="n">
        <v>5</v>
      </c>
      <c r="I200" s="10">
        <f>IF(OR(D200="Uncategorised",E200=""),"Check","")</f>
        <v/>
      </c>
    </row>
    <row r="201">
      <c r="A201" s="10" t="inlineStr">
        <is>
          <t>Amex Dec-2024</t>
        </is>
      </c>
      <c r="B201" s="11" t="n">
        <v>45649</v>
      </c>
      <c r="C201" s="10" t="inlineStr">
        <is>
          <t>GREAT FOOD HALL (GPP-25 ADMIRALTY</t>
        </is>
      </c>
      <c r="D201" s="10">
        <f>IFERROR(INDEX('Review Items'!$D:$D,MATCH(C201,'Review Items'!$B:$B,0)),IFERROR(INDEX('Rule Updates'!$B:$B,MATCH(C201,'Rule Updates'!$A:$A,0)),"Uncategorised"))</f>
        <v/>
      </c>
      <c r="E201" s="10">
        <f>IFERROR(INDEX('Review Items'!$E:$E,MATCH(C201,'Review Items'!$B:$B,0)),IFERROR(INDEX('Rule Updates'!$C:$C,MATCH(C201,'Rule Updates'!$A:$A,0)),"Review"))</f>
        <v/>
      </c>
      <c r="F201" s="10" t="n"/>
      <c r="G201" s="12" t="n">
        <v>457.3</v>
      </c>
      <c r="H201" s="10" t="n">
        <v>5</v>
      </c>
      <c r="I201" s="10">
        <f>IF(OR(D201="Uncategorised",E201=""),"Check","")</f>
        <v/>
      </c>
    </row>
    <row r="202">
      <c r="A202" s="10" t="inlineStr">
        <is>
          <t>Amex Dec-2024</t>
        </is>
      </c>
      <c r="B202" s="11" t="n">
        <v>45649</v>
      </c>
      <c r="C202" s="10" t="inlineStr">
        <is>
          <t>ON HONG KONG LTD. WAN CHAI</t>
        </is>
      </c>
      <c r="D202" s="10">
        <f>IFERROR(INDEX('Review Items'!$D:$D,MATCH(C202,'Review Items'!$B:$B,0)),IFERROR(INDEX('Rule Updates'!$B:$B,MATCH(C202,'Rule Updates'!$A:$A,0)),"Uncategorised"))</f>
        <v/>
      </c>
      <c r="E202" s="10">
        <f>IFERROR(INDEX('Review Items'!$E:$E,MATCH(C202,'Review Items'!$B:$B,0)),IFERROR(INDEX('Rule Updates'!$C:$C,MATCH(C202,'Rule Updates'!$A:$A,0)),"Review"))</f>
        <v/>
      </c>
      <c r="F202" s="10" t="n"/>
      <c r="G202" s="12" t="n">
        <v>3680</v>
      </c>
      <c r="H202" s="10" t="n">
        <v>5</v>
      </c>
      <c r="I202" s="10">
        <f>IF(OR(D202="Uncategorised",E202=""),"Check","")</f>
        <v/>
      </c>
    </row>
    <row r="203">
      <c r="A203" s="10" t="inlineStr">
        <is>
          <t>Amex Dec-2024</t>
        </is>
      </c>
      <c r="B203" s="11" t="n">
        <v>45651</v>
      </c>
      <c r="C203" s="10" t="inlineStr">
        <is>
          <t>MARKET PLACE - MAY ROAD THE PEAK</t>
        </is>
      </c>
      <c r="D203" s="10">
        <f>IFERROR(INDEX('Review Items'!$D:$D,MATCH(C203,'Review Items'!$B:$B,0)),IFERROR(INDEX('Rule Updates'!$B:$B,MATCH(C203,'Rule Updates'!$A:$A,0)),"Uncategorised"))</f>
        <v/>
      </c>
      <c r="E203" s="10">
        <f>IFERROR(INDEX('Review Items'!$E:$E,MATCH(C203,'Review Items'!$B:$B,0)),IFERROR(INDEX('Rule Updates'!$C:$C,MATCH(C203,'Rule Updates'!$A:$A,0)),"Review"))</f>
        <v/>
      </c>
      <c r="F203" s="10" t="n"/>
      <c r="G203" s="12" t="n">
        <v>69</v>
      </c>
      <c r="H203" s="10" t="n">
        <v>6</v>
      </c>
      <c r="I203" s="10">
        <f>IF(OR(D203="Uncategorised",E203=""),"Check","")</f>
        <v/>
      </c>
    </row>
    <row r="204">
      <c r="A204" s="10" t="inlineStr">
        <is>
          <t>Amex Jan-2025</t>
        </is>
      </c>
      <c r="B204" s="11" t="n">
        <v>45653</v>
      </c>
      <c r="C204" s="10" t="inlineStr">
        <is>
          <t>AMV RETAIL ASIA HONG KO ADMIRALTY</t>
        </is>
      </c>
      <c r="D204" s="10">
        <f>IFERROR(INDEX('Review Items'!$D:$D,MATCH(C204,'Review Items'!$B:$B,0)),IFERROR(INDEX('Rule Updates'!$B:$B,MATCH(C204,'Rule Updates'!$A:$A,0)),"Uncategorised"))</f>
        <v/>
      </c>
      <c r="E204" s="10">
        <f>IFERROR(INDEX('Review Items'!$E:$E,MATCH(C204,'Review Items'!$B:$B,0)),IFERROR(INDEX('Rule Updates'!$C:$C,MATCH(C204,'Rule Updates'!$A:$A,0)),"Review"))</f>
        <v/>
      </c>
      <c r="F204" s="10" t="n"/>
      <c r="G204" s="12" t="n">
        <v>1700</v>
      </c>
      <c r="H204" s="10" t="n">
        <v>1</v>
      </c>
      <c r="I204" s="10">
        <f>IF(OR(D204="Uncategorised",E204=""),"Check","")</f>
        <v/>
      </c>
    </row>
    <row r="205">
      <c r="A205" s="10" t="inlineStr">
        <is>
          <t>Amex Jan-2025</t>
        </is>
      </c>
      <c r="B205" s="11" t="n">
        <v>45653</v>
      </c>
      <c r="C205" s="10" t="inlineStr">
        <is>
          <t>HARVEY NICHOLS CENTRAL</t>
        </is>
      </c>
      <c r="D205" s="10">
        <f>IFERROR(INDEX('Review Items'!$D:$D,MATCH(C205,'Review Items'!$B:$B,0)),IFERROR(INDEX('Rule Updates'!$B:$B,MATCH(C205,'Rule Updates'!$A:$A,0)),"Uncategorised"))</f>
        <v/>
      </c>
      <c r="E205" s="10">
        <f>IFERROR(INDEX('Review Items'!$E:$E,MATCH(C205,'Review Items'!$B:$B,0)),IFERROR(INDEX('Rule Updates'!$C:$C,MATCH(C205,'Rule Updates'!$A:$A,0)),"Review"))</f>
        <v/>
      </c>
      <c r="F205" s="10" t="n"/>
      <c r="G205" s="12" t="n">
        <v>13500</v>
      </c>
      <c r="H205" s="10" t="n">
        <v>2</v>
      </c>
      <c r="I205" s="10">
        <f>IF(OR(D205="Uncategorised",E205=""),"Check","")</f>
        <v/>
      </c>
    </row>
    <row r="206">
      <c r="A206" s="10" t="inlineStr">
        <is>
          <t>Amex Jan-2025</t>
        </is>
      </c>
      <c r="B206" s="11" t="n">
        <v>45653</v>
      </c>
      <c r="C206" s="10" t="inlineStr">
        <is>
          <t>IL COLPO PACIFIC PLACE ADMIRALTY</t>
        </is>
      </c>
      <c r="D206" s="10">
        <f>IFERROR(INDEX('Review Items'!$D:$D,MATCH(C206,'Review Items'!$B:$B,0)),IFERROR(INDEX('Rule Updates'!$B:$B,MATCH(C206,'Rule Updates'!$A:$A,0)),"Uncategorised"))</f>
        <v/>
      </c>
      <c r="E206" s="10">
        <f>IFERROR(INDEX('Review Items'!$E:$E,MATCH(C206,'Review Items'!$B:$B,0)),IFERROR(INDEX('Rule Updates'!$C:$C,MATCH(C206,'Rule Updates'!$A:$A,0)),"Review"))</f>
        <v/>
      </c>
      <c r="F206" s="10" t="n"/>
      <c r="G206" s="12" t="n">
        <v>15880</v>
      </c>
      <c r="H206" s="10" t="n">
        <v>1</v>
      </c>
      <c r="I206" s="10">
        <f>IF(OR(D206="Uncategorised",E206=""),"Check","")</f>
        <v/>
      </c>
    </row>
    <row r="207">
      <c r="A207" s="10" t="inlineStr">
        <is>
          <t>Amex Jan-2025</t>
        </is>
      </c>
      <c r="B207" s="11" t="n">
        <v>45653</v>
      </c>
      <c r="C207" s="10" t="inlineStr">
        <is>
          <t>LANE CRAWFORD (IFC) CENTRAL</t>
        </is>
      </c>
      <c r="D207" s="10">
        <f>IFERROR(INDEX('Review Items'!$D:$D,MATCH(C207,'Review Items'!$B:$B,0)),IFERROR(INDEX('Rule Updates'!$B:$B,MATCH(C207,'Rule Updates'!$A:$A,0)),"Uncategorised"))</f>
        <v/>
      </c>
      <c r="E207" s="10">
        <f>IFERROR(INDEX('Review Items'!$E:$E,MATCH(C207,'Review Items'!$B:$B,0)),IFERROR(INDEX('Rule Updates'!$C:$C,MATCH(C207,'Rule Updates'!$A:$A,0)),"Review"))</f>
        <v/>
      </c>
      <c r="F207" s="10" t="n"/>
      <c r="G207" s="12" t="n">
        <v>6134</v>
      </c>
      <c r="H207" s="10" t="n">
        <v>1</v>
      </c>
      <c r="I207" s="10">
        <f>IF(OR(D207="Uncategorised",E207=""),"Check","")</f>
        <v/>
      </c>
    </row>
    <row r="208">
      <c r="A208" s="10" t="inlineStr">
        <is>
          <t>Amex Jan-2025</t>
        </is>
      </c>
      <c r="B208" s="11" t="n">
        <v>45653</v>
      </c>
      <c r="C208" s="10" t="inlineStr">
        <is>
          <t>MUJI (PACIFIC PLACE) ADMIRALTY</t>
        </is>
      </c>
      <c r="D208" s="10">
        <f>IFERROR(INDEX('Review Items'!$D:$D,MATCH(C208,'Review Items'!$B:$B,0)),IFERROR(INDEX('Rule Updates'!$B:$B,MATCH(C208,'Rule Updates'!$A:$A,0)),"Uncategorised"))</f>
        <v/>
      </c>
      <c r="E208" s="10">
        <f>IFERROR(INDEX('Review Items'!$E:$E,MATCH(C208,'Review Items'!$B:$B,0)),IFERROR(INDEX('Rule Updates'!$C:$C,MATCH(C208,'Rule Updates'!$A:$A,0)),"Review"))</f>
        <v/>
      </c>
      <c r="F208" s="10" t="n"/>
      <c r="G208" s="12" t="n">
        <v>88</v>
      </c>
      <c r="H208" s="10" t="n">
        <v>1</v>
      </c>
      <c r="I208" s="10">
        <f>IF(OR(D208="Uncategorised",E208=""),"Check","")</f>
        <v/>
      </c>
    </row>
    <row r="209">
      <c r="A209" s="10" t="inlineStr">
        <is>
          <t>Amex Jan-2025</t>
        </is>
      </c>
      <c r="B209" s="11" t="n">
        <v>45653</v>
      </c>
      <c r="C209" s="10" t="inlineStr">
        <is>
          <t>PONTI FOOD &amp; WINE CELLA CENTRAL</t>
        </is>
      </c>
      <c r="D209" s="10">
        <f>IFERROR(INDEX('Review Items'!$D:$D,MATCH(C209,'Review Items'!$B:$B,0)),IFERROR(INDEX('Rule Updates'!$B:$B,MATCH(C209,'Rule Updates'!$A:$A,0)),"Uncategorised"))</f>
        <v/>
      </c>
      <c r="E209" s="10">
        <f>IFERROR(INDEX('Review Items'!$E:$E,MATCH(C209,'Review Items'!$B:$B,0)),IFERROR(INDEX('Rule Updates'!$C:$C,MATCH(C209,'Rule Updates'!$A:$A,0)),"Review"))</f>
        <v/>
      </c>
      <c r="F209" s="10" t="n"/>
      <c r="G209" s="12" t="n">
        <v>29842</v>
      </c>
      <c r="H209" s="10" t="n">
        <v>1</v>
      </c>
      <c r="I209" s="10">
        <f>IF(OR(D209="Uncategorised",E209=""),"Check","")</f>
        <v/>
      </c>
    </row>
    <row r="210">
      <c r="A210" s="10" t="inlineStr">
        <is>
          <t>Amex Jan-2025</t>
        </is>
      </c>
      <c r="B210" s="11" t="n">
        <v>45653</v>
      </c>
      <c r="C210" s="10" t="inlineStr">
        <is>
          <t>SP ST. ALI SOUTH MELBOURNE</t>
        </is>
      </c>
      <c r="D210" s="10">
        <f>IFERROR(INDEX('Review Items'!$D:$D,MATCH(C210,'Review Items'!$B:$B,0)),IFERROR(INDEX('Rule Updates'!$B:$B,MATCH(C210,'Rule Updates'!$A:$A,0)),"Uncategorised"))</f>
        <v/>
      </c>
      <c r="E210" s="10">
        <f>IFERROR(INDEX('Review Items'!$E:$E,MATCH(C210,'Review Items'!$B:$B,0)),IFERROR(INDEX('Rule Updates'!$C:$C,MATCH(C210,'Rule Updates'!$A:$A,0)),"Review"))</f>
        <v/>
      </c>
      <c r="F210" s="12" t="n">
        <v>238</v>
      </c>
      <c r="G210" s="12" t="n">
        <v>1176.9</v>
      </c>
      <c r="H210" s="10" t="n">
        <v>1</v>
      </c>
      <c r="I210" s="10">
        <f>IF(OR(D210="Uncategorised",E210=""),"Check","")</f>
        <v/>
      </c>
    </row>
    <row r="211">
      <c r="A211" s="10" t="inlineStr">
        <is>
          <t>Amex Jan-2025</t>
        </is>
      </c>
      <c r="B211" s="11" t="n">
        <v>45654</v>
      </c>
      <c r="C211" s="10" t="inlineStr">
        <is>
          <t>CIPRIANI ORIENTAL LIMIT CENTRAL</t>
        </is>
      </c>
      <c r="D211" s="10">
        <f>IFERROR(INDEX('Review Items'!$D:$D,MATCH(C211,'Review Items'!$B:$B,0)),IFERROR(INDEX('Rule Updates'!$B:$B,MATCH(C211,'Rule Updates'!$A:$A,0)),"Uncategorised"))</f>
        <v/>
      </c>
      <c r="E211" s="10">
        <f>IFERROR(INDEX('Review Items'!$E:$E,MATCH(C211,'Review Items'!$B:$B,0)),IFERROR(INDEX('Rule Updates'!$C:$C,MATCH(C211,'Rule Updates'!$A:$A,0)),"Review"))</f>
        <v/>
      </c>
      <c r="F211" s="10" t="n"/>
      <c r="G211" s="12" t="n">
        <v>7788</v>
      </c>
      <c r="H211" s="10" t="n">
        <v>2</v>
      </c>
      <c r="I211" s="10">
        <f>IF(OR(D211="Uncategorised",E211=""),"Check","")</f>
        <v/>
      </c>
    </row>
    <row r="212">
      <c r="A212" s="10" t="inlineStr">
        <is>
          <t>Amex Jan-2025</t>
        </is>
      </c>
      <c r="B212" s="11" t="n">
        <v>45654</v>
      </c>
      <c r="C212" s="10" t="inlineStr">
        <is>
          <t>G.HEYWOOD HILL LTD LONDON</t>
        </is>
      </c>
      <c r="D212" s="10">
        <f>IFERROR(INDEX('Review Items'!$D:$D,MATCH(C212,'Review Items'!$B:$B,0)),IFERROR(INDEX('Rule Updates'!$B:$B,MATCH(C212,'Rule Updates'!$A:$A,0)),"Uncategorised"))</f>
        <v/>
      </c>
      <c r="E212" s="10">
        <f>IFERROR(INDEX('Review Items'!$E:$E,MATCH(C212,'Review Items'!$B:$B,0)),IFERROR(INDEX('Rule Updates'!$C:$C,MATCH(C212,'Rule Updates'!$A:$A,0)),"Review"))</f>
        <v/>
      </c>
      <c r="F212" s="12" t="n">
        <v>1435</v>
      </c>
      <c r="G212" s="12" t="n">
        <v>14310.46</v>
      </c>
      <c r="H212" s="10" t="n">
        <v>2</v>
      </c>
      <c r="I212" s="10">
        <f>IF(OR(D212="Uncategorised",E212=""),"Check","")</f>
        <v/>
      </c>
    </row>
    <row r="213">
      <c r="A213" s="10" t="inlineStr">
        <is>
          <t>Amex Jan-2025</t>
        </is>
      </c>
      <c r="B213" s="11" t="n">
        <v>45654</v>
      </c>
      <c r="C213" s="10" t="inlineStr">
        <is>
          <t>THE DAIRY FARM - MANNIN LANTAU</t>
        </is>
      </c>
      <c r="D213" s="10">
        <f>IFERROR(INDEX('Review Items'!$D:$D,MATCH(C213,'Review Items'!$B:$B,0)),IFERROR(INDEX('Rule Updates'!$B:$B,MATCH(C213,'Rule Updates'!$A:$A,0)),"Uncategorised"))</f>
        <v/>
      </c>
      <c r="E213" s="10">
        <f>IFERROR(INDEX('Review Items'!$E:$E,MATCH(C213,'Review Items'!$B:$B,0)),IFERROR(INDEX('Rule Updates'!$C:$C,MATCH(C213,'Rule Updates'!$A:$A,0)),"Review"))</f>
        <v/>
      </c>
      <c r="F213" s="10" t="n"/>
      <c r="G213" s="12" t="n">
        <v>604.9</v>
      </c>
      <c r="H213" s="10" t="n">
        <v>2</v>
      </c>
      <c r="I213" s="10">
        <f>IF(OR(D213="Uncategorised",E213=""),"Check","")</f>
        <v/>
      </c>
    </row>
    <row r="214">
      <c r="A214" s="10" t="inlineStr">
        <is>
          <t>Amex Jan-2025</t>
        </is>
      </c>
      <c r="B214" s="11" t="n">
        <v>45656</v>
      </c>
      <c r="C214" s="10" t="inlineStr">
        <is>
          <t>GLOBAL-E.45R GLOBAL-ENETHERLANDS</t>
        </is>
      </c>
      <c r="D214" s="10">
        <f>IFERROR(INDEX('Review Items'!$D:$D,MATCH(C214,'Review Items'!$B:$B,0)),IFERROR(INDEX('Rule Updates'!$B:$B,MATCH(C214,'Rule Updates'!$A:$A,0)),"Uncategorised"))</f>
        <v/>
      </c>
      <c r="E214" s="10">
        <f>IFERROR(INDEX('Review Items'!$E:$E,MATCH(C214,'Review Items'!$B:$B,0)),IFERROR(INDEX('Rule Updates'!$C:$C,MATCH(C214,'Rule Updates'!$A:$A,0)),"Review"))</f>
        <v/>
      </c>
      <c r="F214" s="10" t="n"/>
      <c r="G214" s="12" t="n">
        <v>-5495</v>
      </c>
      <c r="H214" s="10" t="n">
        <v>2</v>
      </c>
      <c r="I214" s="10">
        <f>IF(OR(D214="Uncategorised",E214=""),"Check","")</f>
        <v/>
      </c>
    </row>
    <row r="215">
      <c r="A215" s="10" t="inlineStr">
        <is>
          <t>Amex Jan-2025</t>
        </is>
      </c>
      <c r="B215" s="11" t="n">
        <v>45656</v>
      </c>
      <c r="C215" s="10" t="inlineStr">
        <is>
          <t>THE POTTS POINT BOOK SELIZABETH BAY</t>
        </is>
      </c>
      <c r="D215" s="10">
        <f>IFERROR(INDEX('Review Items'!$D:$D,MATCH(C215,'Review Items'!$B:$B,0)),IFERROR(INDEX('Rule Updates'!$B:$B,MATCH(C215,'Rule Updates'!$A:$A,0)),"Uncategorised"))</f>
        <v/>
      </c>
      <c r="E215" s="10">
        <f>IFERROR(INDEX('Review Items'!$E:$E,MATCH(C215,'Review Items'!$B:$B,0)),IFERROR(INDEX('Rule Updates'!$C:$C,MATCH(C215,'Rule Updates'!$A:$A,0)),"Review"))</f>
        <v/>
      </c>
      <c r="F215" s="12" t="n">
        <v>152.95</v>
      </c>
      <c r="G215" s="12" t="n">
        <v>754.26</v>
      </c>
      <c r="H215" s="10" t="n">
        <v>2</v>
      </c>
      <c r="I215" s="10">
        <f>IF(OR(D215="Uncategorised",E215=""),"Check","")</f>
        <v/>
      </c>
    </row>
    <row r="216">
      <c r="A216" s="10" t="inlineStr">
        <is>
          <t>Amex Jan-2025</t>
        </is>
      </c>
      <c r="B216" s="11" t="n">
        <v>45656</v>
      </c>
      <c r="C216" s="10" t="inlineStr">
        <is>
          <t>VICTOR CHURCHILL WOOLLAHRA</t>
        </is>
      </c>
      <c r="D216" s="10">
        <f>IFERROR(INDEX('Review Items'!$D:$D,MATCH(C216,'Review Items'!$B:$B,0)),IFERROR(INDEX('Rule Updates'!$B:$B,MATCH(C216,'Rule Updates'!$A:$A,0)),"Uncategorised"))</f>
        <v/>
      </c>
      <c r="E216" s="10">
        <f>IFERROR(INDEX('Review Items'!$E:$E,MATCH(C216,'Review Items'!$B:$B,0)),IFERROR(INDEX('Rule Updates'!$C:$C,MATCH(C216,'Rule Updates'!$A:$A,0)),"Review"))</f>
        <v/>
      </c>
      <c r="F216" s="12" t="n">
        <v>154.05</v>
      </c>
      <c r="G216" s="12" t="n">
        <v>759.72</v>
      </c>
      <c r="H216" s="10" t="n">
        <v>2</v>
      </c>
      <c r="I216" s="10">
        <f>IF(OR(D216="Uncategorised",E216=""),"Check","")</f>
        <v/>
      </c>
    </row>
    <row r="217">
      <c r="A217" s="10" t="inlineStr">
        <is>
          <t>Amex Jan-2025</t>
        </is>
      </c>
      <c r="B217" s="11" t="n">
        <v>45657</v>
      </c>
      <c r="C217" s="10" t="inlineStr">
        <is>
          <t>THIS WAY CANTEEN SYDNEY</t>
        </is>
      </c>
      <c r="D217" s="10">
        <f>IFERROR(INDEX('Review Items'!$D:$D,MATCH(C217,'Review Items'!$B:$B,0)),IFERROR(INDEX('Rule Updates'!$B:$B,MATCH(C217,'Rule Updates'!$A:$A,0)),"Uncategorised"))</f>
        <v/>
      </c>
      <c r="E217" s="10">
        <f>IFERROR(INDEX('Review Items'!$E:$E,MATCH(C217,'Review Items'!$B:$B,0)),IFERROR(INDEX('Rule Updates'!$C:$C,MATCH(C217,'Rule Updates'!$A:$A,0)),"Review"))</f>
        <v/>
      </c>
      <c r="F217" s="12" t="n">
        <v>10.3</v>
      </c>
      <c r="G217" s="12" t="n">
        <v>50.89</v>
      </c>
      <c r="H217" s="10" t="n">
        <v>2</v>
      </c>
      <c r="I217" s="10">
        <f>IF(OR(D217="Uncategorised",E217=""),"Check","")</f>
        <v/>
      </c>
    </row>
    <row r="218">
      <c r="A218" s="10" t="inlineStr">
        <is>
          <t>Amex Jan-2025</t>
        </is>
      </c>
      <c r="B218" s="11" t="n">
        <v>45658</v>
      </c>
      <c r="C218" s="10" t="inlineStr">
        <is>
          <t>AMAZON PRIME*ZE5M342X1 AMZN.COM/BILL</t>
        </is>
      </c>
      <c r="D218" s="10">
        <f>IFERROR(INDEX('Review Items'!$D:$D,MATCH(C218,'Review Items'!$B:$B,0)),IFERROR(INDEX('Rule Updates'!$B:$B,MATCH(C218,'Rule Updates'!$A:$A,0)),"Uncategorised"))</f>
        <v/>
      </c>
      <c r="E218" s="10">
        <f>IFERROR(INDEX('Review Items'!$E:$E,MATCH(C218,'Review Items'!$B:$B,0)),IFERROR(INDEX('Rule Updates'!$C:$C,MATCH(C218,'Rule Updates'!$A:$A,0)),"Review"))</f>
        <v/>
      </c>
      <c r="F218" s="12" t="n">
        <v>14.99</v>
      </c>
      <c r="G218" s="12" t="n">
        <v>118.77</v>
      </c>
      <c r="H218" s="10" t="n">
        <v>2</v>
      </c>
      <c r="I218" s="10">
        <f>IF(OR(D218="Uncategorised",E218=""),"Check","")</f>
        <v/>
      </c>
    </row>
    <row r="219">
      <c r="A219" s="10" t="inlineStr">
        <is>
          <t>Amex Jan-2025</t>
        </is>
      </c>
      <c r="B219" s="11" t="n">
        <v>45658</v>
      </c>
      <c r="C219" s="10" t="inlineStr">
        <is>
          <t>PLATYPUS SHOES AUSTRALI CRENORNE</t>
        </is>
      </c>
      <c r="D219" s="10">
        <f>IFERROR(INDEX('Review Items'!$D:$D,MATCH(C219,'Review Items'!$B:$B,0)),IFERROR(INDEX('Rule Updates'!$B:$B,MATCH(C219,'Rule Updates'!$A:$A,0)),"Uncategorised"))</f>
        <v/>
      </c>
      <c r="E219" s="10">
        <f>IFERROR(INDEX('Review Items'!$E:$E,MATCH(C219,'Review Items'!$B:$B,0)),IFERROR(INDEX('Rule Updates'!$C:$C,MATCH(C219,'Rule Updates'!$A:$A,0)),"Review"))</f>
        <v/>
      </c>
      <c r="F219" s="12" t="n">
        <v>271.99</v>
      </c>
      <c r="G219" s="12" t="n">
        <v>1340.93</v>
      </c>
      <c r="H219" s="10" t="n">
        <v>2</v>
      </c>
      <c r="I219" s="10">
        <f>IF(OR(D219="Uncategorised",E219=""),"Check","")</f>
        <v/>
      </c>
    </row>
    <row r="220">
      <c r="A220" s="10" t="inlineStr">
        <is>
          <t>Amex Jan-2025</t>
        </is>
      </c>
      <c r="B220" s="11" t="n">
        <v>45660</v>
      </c>
      <c r="C220" s="10" t="inlineStr">
        <is>
          <t>AMAZON PRIME*PC0399TR5 AMZN.CO.UK/PM</t>
        </is>
      </c>
      <c r="D220" s="10">
        <f>IFERROR(INDEX('Review Items'!$D:$D,MATCH(C220,'Review Items'!$B:$B,0)),IFERROR(INDEX('Rule Updates'!$B:$B,MATCH(C220,'Rule Updates'!$A:$A,0)),"Uncategorised"))</f>
        <v/>
      </c>
      <c r="E220" s="10">
        <f>IFERROR(INDEX('Review Items'!$E:$E,MATCH(C220,'Review Items'!$B:$B,0)),IFERROR(INDEX('Rule Updates'!$C:$C,MATCH(C220,'Rule Updates'!$A:$A,0)),"Review"))</f>
        <v/>
      </c>
      <c r="F220" s="12" t="n">
        <v>8.99</v>
      </c>
      <c r="G220" s="12" t="n">
        <v>89.31</v>
      </c>
      <c r="H220" s="10" t="n">
        <v>2</v>
      </c>
      <c r="I220" s="10">
        <f>IF(OR(D220="Uncategorised",E220=""),"Check","")</f>
        <v/>
      </c>
    </row>
    <row r="221">
      <c r="A221" s="10" t="inlineStr">
        <is>
          <t>Amex Jan-2025</t>
        </is>
      </c>
      <c r="B221" s="11" t="n">
        <v>45660</v>
      </c>
      <c r="C221" s="10" t="inlineStr">
        <is>
          <t>APPLE.COM/BILL CUPERTINO</t>
        </is>
      </c>
      <c r="D221" s="10">
        <f>IFERROR(INDEX('Review Items'!$D:$D,MATCH(C221,'Review Items'!$B:$B,0)),IFERROR(INDEX('Rule Updates'!$B:$B,MATCH(C221,'Rule Updates'!$A:$A,0)),"Uncategorised"))</f>
        <v/>
      </c>
      <c r="E221" s="10">
        <f>IFERROR(INDEX('Review Items'!$E:$E,MATCH(C221,'Review Items'!$B:$B,0)),IFERROR(INDEX('Rule Updates'!$C:$C,MATCH(C221,'Rule Updates'!$A:$A,0)),"Review"))</f>
        <v/>
      </c>
      <c r="F221" s="12" t="n">
        <v>11.99</v>
      </c>
      <c r="G221" s="12" t="n">
        <v>95.14</v>
      </c>
      <c r="H221" s="10" t="n">
        <v>2</v>
      </c>
      <c r="I221" s="10">
        <f>IF(OR(D221="Uncategorised",E221=""),"Check","")</f>
        <v/>
      </c>
    </row>
    <row r="222">
      <c r="A222" s="10" t="inlineStr">
        <is>
          <t>Amex Jan-2025</t>
        </is>
      </c>
      <c r="B222" s="11" t="n">
        <v>45660</v>
      </c>
      <c r="C222" s="10" t="inlineStr">
        <is>
          <t>PAYPAL *LARQ 5106769438</t>
        </is>
      </c>
      <c r="D222" s="10">
        <f>IFERROR(INDEX('Review Items'!$D:$D,MATCH(C222,'Review Items'!$B:$B,0)),IFERROR(INDEX('Rule Updates'!$B:$B,MATCH(C222,'Rule Updates'!$A:$A,0)),"Uncategorised"))</f>
        <v/>
      </c>
      <c r="E222" s="10">
        <f>IFERROR(INDEX('Review Items'!$E:$E,MATCH(C222,'Review Items'!$B:$B,0)),IFERROR(INDEX('Rule Updates'!$C:$C,MATCH(C222,'Rule Updates'!$A:$A,0)),"Review"))</f>
        <v/>
      </c>
      <c r="F222" s="12" t="n">
        <v>28.48</v>
      </c>
      <c r="G222" s="12" t="n">
        <v>226.02</v>
      </c>
      <c r="H222" s="10" t="n">
        <v>3</v>
      </c>
      <c r="I222" s="10">
        <f>IF(OR(D222="Uncategorised",E222=""),"Check","")</f>
        <v/>
      </c>
    </row>
    <row r="223">
      <c r="A223" s="10" t="inlineStr">
        <is>
          <t>Amex Jan-2025</t>
        </is>
      </c>
      <c r="B223" s="11" t="n">
        <v>45662</v>
      </c>
      <c r="C223" s="10" t="inlineStr">
        <is>
          <t>FISHBUTCHERY WATERLOO 1 WATERLOO</t>
        </is>
      </c>
      <c r="D223" s="10">
        <f>IFERROR(INDEX('Review Items'!$D:$D,MATCH(C223,'Review Items'!$B:$B,0)),IFERROR(INDEX('Rule Updates'!$B:$B,MATCH(C223,'Rule Updates'!$A:$A,0)),"Uncategorised"))</f>
        <v/>
      </c>
      <c r="E223" s="10">
        <f>IFERROR(INDEX('Review Items'!$E:$E,MATCH(C223,'Review Items'!$B:$B,0)),IFERROR(INDEX('Rule Updates'!$C:$C,MATCH(C223,'Rule Updates'!$A:$A,0)),"Review"))</f>
        <v/>
      </c>
      <c r="F223" s="12" t="n">
        <v>34.44</v>
      </c>
      <c r="G223" s="12" t="n">
        <v>170.21</v>
      </c>
      <c r="H223" s="10" t="n">
        <v>3</v>
      </c>
      <c r="I223" s="10">
        <f>IF(OR(D223="Uncategorised",E223=""),"Check","")</f>
        <v/>
      </c>
    </row>
    <row r="224">
      <c r="A224" s="10" t="inlineStr">
        <is>
          <t>Amex Jan-2025</t>
        </is>
      </c>
      <c r="B224" s="11" t="n">
        <v>45663</v>
      </c>
      <c r="C224" s="10" t="inlineStr">
        <is>
          <t>ABUNDANCE 10X COMPOUNDI DOUBLE BAY</t>
        </is>
      </c>
      <c r="D224" s="10">
        <f>IFERROR(INDEX('Review Items'!$D:$D,MATCH(C224,'Review Items'!$B:$B,0)),IFERROR(INDEX('Rule Updates'!$B:$B,MATCH(C224,'Rule Updates'!$A:$A,0)),"Uncategorised"))</f>
        <v/>
      </c>
      <c r="E224" s="10">
        <f>IFERROR(INDEX('Review Items'!$E:$E,MATCH(C224,'Review Items'!$B:$B,0)),IFERROR(INDEX('Rule Updates'!$C:$C,MATCH(C224,'Rule Updates'!$A:$A,0)),"Review"))</f>
        <v/>
      </c>
      <c r="F224" s="12" t="n">
        <v>421.87</v>
      </c>
      <c r="G224" s="12" t="n">
        <v>2109.13</v>
      </c>
      <c r="H224" s="10" t="n">
        <v>3</v>
      </c>
      <c r="I224" s="10">
        <f>IF(OR(D224="Uncategorised",E224=""),"Check","")</f>
        <v/>
      </c>
    </row>
    <row r="225">
      <c r="A225" s="10" t="inlineStr">
        <is>
          <t>Amex Jan-2025</t>
        </is>
      </c>
      <c r="B225" s="11" t="n">
        <v>45663</v>
      </c>
      <c r="C225" s="10" t="inlineStr">
        <is>
          <t>APPLE STORE R238 R238 SYDNEY</t>
        </is>
      </c>
      <c r="D225" s="10">
        <f>IFERROR(INDEX('Review Items'!$D:$D,MATCH(C225,'Review Items'!$B:$B,0)),IFERROR(INDEX('Rule Updates'!$B:$B,MATCH(C225,'Rule Updates'!$A:$A,0)),"Uncategorised"))</f>
        <v/>
      </c>
      <c r="E225" s="10">
        <f>IFERROR(INDEX('Review Items'!$E:$E,MATCH(C225,'Review Items'!$B:$B,0)),IFERROR(INDEX('Rule Updates'!$C:$C,MATCH(C225,'Rule Updates'!$A:$A,0)),"Review"))</f>
        <v/>
      </c>
      <c r="F225" s="12" t="n">
        <v>649</v>
      </c>
      <c r="G225" s="12" t="n">
        <v>3207.96</v>
      </c>
      <c r="H225" s="10" t="n">
        <v>6</v>
      </c>
      <c r="I225" s="10">
        <f>IF(OR(D225="Uncategorised",E225=""),"Check","")</f>
        <v/>
      </c>
    </row>
    <row r="226">
      <c r="A226" s="10" t="inlineStr">
        <is>
          <t>Amex Jan-2025</t>
        </is>
      </c>
      <c r="B226" s="11" t="n">
        <v>45663</v>
      </c>
      <c r="C226" s="10" t="inlineStr">
        <is>
          <t>BAKER BLEU DOUBLE BAY Double Bay</t>
        </is>
      </c>
      <c r="D226" s="10">
        <f>IFERROR(INDEX('Review Items'!$D:$D,MATCH(C226,'Review Items'!$B:$B,0)),IFERROR(INDEX('Rule Updates'!$B:$B,MATCH(C226,'Rule Updates'!$A:$A,0)),"Uncategorised"))</f>
        <v/>
      </c>
      <c r="E226" s="10">
        <f>IFERROR(INDEX('Review Items'!$E:$E,MATCH(C226,'Review Items'!$B:$B,0)),IFERROR(INDEX('Rule Updates'!$C:$C,MATCH(C226,'Rule Updates'!$A:$A,0)),"Review"))</f>
        <v/>
      </c>
      <c r="F226" s="12" t="n">
        <v>10</v>
      </c>
      <c r="G226" s="12" t="n">
        <v>49.43</v>
      </c>
      <c r="H226" s="10" t="n">
        <v>3</v>
      </c>
      <c r="I226" s="10">
        <f>IF(OR(D226="Uncategorised",E226=""),"Check","")</f>
        <v/>
      </c>
    </row>
    <row r="227">
      <c r="A227" s="10" t="inlineStr">
        <is>
          <t>Amex Jan-2025</t>
        </is>
      </c>
      <c r="B227" s="11" t="n">
        <v>45663</v>
      </c>
      <c r="C227" s="10" t="inlineStr">
        <is>
          <t>BAKER BLEU DOUBLE BAY Double Bay</t>
        </is>
      </c>
      <c r="D227" s="10">
        <f>IFERROR(INDEX('Review Items'!$D:$D,MATCH(C227,'Review Items'!$B:$B,0)),IFERROR(INDEX('Rule Updates'!$B:$B,MATCH(C227,'Rule Updates'!$A:$A,0)),"Uncategorised"))</f>
        <v/>
      </c>
      <c r="E227" s="10">
        <f>IFERROR(INDEX('Review Items'!$E:$E,MATCH(C227,'Review Items'!$B:$B,0)),IFERROR(INDEX('Rule Updates'!$C:$C,MATCH(C227,'Rule Updates'!$A:$A,0)),"Review"))</f>
        <v/>
      </c>
      <c r="F227" s="12" t="n">
        <v>7</v>
      </c>
      <c r="G227" s="12" t="n">
        <v>34.59</v>
      </c>
      <c r="H227" s="10" t="n">
        <v>3</v>
      </c>
      <c r="I227" s="10">
        <f>IF(OR(D227="Uncategorised",E227=""),"Check","")</f>
        <v/>
      </c>
    </row>
    <row r="228">
      <c r="A228" s="10" t="inlineStr">
        <is>
          <t>Amex Jan-2025</t>
        </is>
      </c>
      <c r="B228" s="11" t="n">
        <v>45663</v>
      </c>
      <c r="C228" s="10" t="inlineStr">
        <is>
          <t>BASSIKE RETAIL PTY LTD DOUBLE BAY</t>
        </is>
      </c>
      <c r="D228" s="10">
        <f>IFERROR(INDEX('Review Items'!$D:$D,MATCH(C228,'Review Items'!$B:$B,0)),IFERROR(INDEX('Rule Updates'!$B:$B,MATCH(C228,'Rule Updates'!$A:$A,0)),"Uncategorised"))</f>
        <v/>
      </c>
      <c r="E228" s="10">
        <f>IFERROR(INDEX('Review Items'!$E:$E,MATCH(C228,'Review Items'!$B:$B,0)),IFERROR(INDEX('Rule Updates'!$C:$C,MATCH(C228,'Rule Updates'!$A:$A,0)),"Review"))</f>
        <v/>
      </c>
      <c r="F228" s="12" t="n">
        <v>695</v>
      </c>
      <c r="G228" s="12" t="n">
        <v>3435.39</v>
      </c>
      <c r="H228" s="10" t="n">
        <v>3</v>
      </c>
      <c r="I228" s="10">
        <f>IF(OR(D228="Uncategorised",E228=""),"Check","")</f>
        <v/>
      </c>
    </row>
    <row r="229">
      <c r="A229" s="10" t="inlineStr">
        <is>
          <t>Amex Jan-2025</t>
        </is>
      </c>
      <c r="B229" s="11" t="n">
        <v>45663</v>
      </c>
      <c r="C229" s="10" t="inlineStr">
        <is>
          <t>LS NEPTUNE'SGROTTO SYDNEY</t>
        </is>
      </c>
      <c r="D229" s="10">
        <f>IFERROR(INDEX('Review Items'!$D:$D,MATCH(C229,'Review Items'!$B:$B,0)),IFERROR(INDEX('Rule Updates'!$B:$B,MATCH(C229,'Rule Updates'!$A:$A,0)),"Uncategorised"))</f>
        <v/>
      </c>
      <c r="E229" s="10">
        <f>IFERROR(INDEX('Review Items'!$E:$E,MATCH(C229,'Review Items'!$B:$B,0)),IFERROR(INDEX('Rule Updates'!$C:$C,MATCH(C229,'Rule Updates'!$A:$A,0)),"Review"))</f>
        <v/>
      </c>
      <c r="F229" s="12" t="n">
        <v>539.3099999999999</v>
      </c>
      <c r="G229" s="12" t="n">
        <v>2665.82</v>
      </c>
      <c r="H229" s="10" t="n">
        <v>6</v>
      </c>
      <c r="I229" s="10">
        <f>IF(OR(D229="Uncategorised",E229=""),"Check","")</f>
        <v/>
      </c>
    </row>
    <row r="230">
      <c r="A230" s="10" t="inlineStr">
        <is>
          <t>Amex Jan-2025</t>
        </is>
      </c>
      <c r="B230" s="11" t="n">
        <v>45663</v>
      </c>
      <c r="C230" s="10" t="inlineStr">
        <is>
          <t>PAYMENT RECEIVED THROUGH AUTOPAY</t>
        </is>
      </c>
      <c r="D230" s="10">
        <f>IFERROR(INDEX('Review Items'!$D:$D,MATCH(C230,'Review Items'!$B:$B,0)),IFERROR(INDEX('Rule Updates'!$B:$B,MATCH(C230,'Rule Updates'!$A:$A,0)),"Uncategorised"))</f>
        <v/>
      </c>
      <c r="E230" s="10">
        <f>IFERROR(INDEX('Review Items'!$E:$E,MATCH(C230,'Review Items'!$B:$B,0)),IFERROR(INDEX('Rule Updates'!$C:$C,MATCH(C230,'Rule Updates'!$A:$A,0)),"Review"))</f>
        <v/>
      </c>
      <c r="F230" s="10" t="n"/>
      <c r="G230" s="12" t="n">
        <v>-217955.71</v>
      </c>
      <c r="H230" s="10" t="n">
        <v>1</v>
      </c>
      <c r="I230" s="10">
        <f>IF(OR(D230="Uncategorised",E230=""),"Check","")</f>
        <v/>
      </c>
    </row>
    <row r="231">
      <c r="A231" s="10" t="inlineStr">
        <is>
          <t>Amex Jan-2025</t>
        </is>
      </c>
      <c r="B231" s="11" t="n">
        <v>45663</v>
      </c>
      <c r="C231" s="10" t="inlineStr">
        <is>
          <t>SKITTLE LANE Circular Quay</t>
        </is>
      </c>
      <c r="D231" s="10">
        <f>IFERROR(INDEX('Review Items'!$D:$D,MATCH(C231,'Review Items'!$B:$B,0)),IFERROR(INDEX('Rule Updates'!$B:$B,MATCH(C231,'Rule Updates'!$A:$A,0)),"Uncategorised"))</f>
        <v/>
      </c>
      <c r="E231" s="10">
        <f>IFERROR(INDEX('Review Items'!$E:$E,MATCH(C231,'Review Items'!$B:$B,0)),IFERROR(INDEX('Rule Updates'!$C:$C,MATCH(C231,'Rule Updates'!$A:$A,0)),"Review"))</f>
        <v/>
      </c>
      <c r="F231" s="12" t="n">
        <v>5.58</v>
      </c>
      <c r="G231" s="12" t="n">
        <v>27.61</v>
      </c>
      <c r="H231" s="10" t="n">
        <v>3</v>
      </c>
      <c r="I231" s="10">
        <f>IF(OR(D231="Uncategorised",E231=""),"Check","")</f>
        <v/>
      </c>
    </row>
    <row r="232">
      <c r="A232" s="10" t="inlineStr">
        <is>
          <t>Amex Jan-2025</t>
        </is>
      </c>
      <c r="B232" s="11" t="n">
        <v>45664</v>
      </c>
      <c r="C232" s="10" t="inlineStr">
        <is>
          <t>BASSIKE RETAIL PTY LTD PADDINGTON</t>
        </is>
      </c>
      <c r="D232" s="10">
        <f>IFERROR(INDEX('Review Items'!$D:$D,MATCH(C232,'Review Items'!$B:$B,0)),IFERROR(INDEX('Rule Updates'!$B:$B,MATCH(C232,'Rule Updates'!$A:$A,0)),"Uncategorised"))</f>
        <v/>
      </c>
      <c r="E232" s="10">
        <f>IFERROR(INDEX('Review Items'!$E:$E,MATCH(C232,'Review Items'!$B:$B,0)),IFERROR(INDEX('Rule Updates'!$C:$C,MATCH(C232,'Rule Updates'!$A:$A,0)),"Review"))</f>
        <v/>
      </c>
      <c r="F232" s="12" t="n">
        <v>1990</v>
      </c>
      <c r="G232" s="12" t="n">
        <v>9948.98</v>
      </c>
      <c r="H232" s="10" t="n">
        <v>3</v>
      </c>
      <c r="I232" s="10">
        <f>IF(OR(D232="Uncategorised",E232=""),"Check","")</f>
        <v/>
      </c>
    </row>
    <row r="233">
      <c r="A233" s="10" t="inlineStr">
        <is>
          <t>Amex Jan-2025</t>
        </is>
      </c>
      <c r="B233" s="11" t="n">
        <v>45664</v>
      </c>
      <c r="C233" s="10" t="inlineStr">
        <is>
          <t>BENNELONG SYDNEY</t>
        </is>
      </c>
      <c r="D233" s="10">
        <f>IFERROR(INDEX('Review Items'!$D:$D,MATCH(C233,'Review Items'!$B:$B,0)),IFERROR(INDEX('Rule Updates'!$B:$B,MATCH(C233,'Rule Updates'!$A:$A,0)),"Uncategorised"))</f>
        <v/>
      </c>
      <c r="E233" s="10">
        <f>IFERROR(INDEX('Review Items'!$E:$E,MATCH(C233,'Review Items'!$B:$B,0)),IFERROR(INDEX('Rule Updates'!$C:$C,MATCH(C233,'Rule Updates'!$A:$A,0)),"Review"))</f>
        <v/>
      </c>
      <c r="F233" s="12" t="n">
        <v>1198.86</v>
      </c>
      <c r="G233" s="12" t="n">
        <v>5980.56</v>
      </c>
      <c r="H233" s="10" t="n">
        <v>6</v>
      </c>
      <c r="I233" s="10">
        <f>IF(OR(D233="Uncategorised",E233=""),"Check","")</f>
        <v/>
      </c>
    </row>
    <row r="234">
      <c r="A234" s="10" t="inlineStr">
        <is>
          <t>Amex Jan-2025</t>
        </is>
      </c>
      <c r="B234" s="11" t="n">
        <v>45664</v>
      </c>
      <c r="C234" s="10" t="inlineStr">
        <is>
          <t>BONIIK HILTON 100370 SYDNEY</t>
        </is>
      </c>
      <c r="D234" s="10">
        <f>IFERROR(INDEX('Review Items'!$D:$D,MATCH(C234,'Review Items'!$B:$B,0)),IFERROR(INDEX('Rule Updates'!$B:$B,MATCH(C234,'Rule Updates'!$A:$A,0)),"Uncategorised"))</f>
        <v/>
      </c>
      <c r="E234" s="10">
        <f>IFERROR(INDEX('Review Items'!$E:$E,MATCH(C234,'Review Items'!$B:$B,0)),IFERROR(INDEX('Rule Updates'!$C:$C,MATCH(C234,'Rule Updates'!$A:$A,0)),"Review"))</f>
        <v/>
      </c>
      <c r="F234" s="12" t="n">
        <v>61.8</v>
      </c>
      <c r="G234" s="12" t="n">
        <v>308.92</v>
      </c>
      <c r="H234" s="10" t="n">
        <v>3</v>
      </c>
      <c r="I234" s="10">
        <f>IF(OR(D234="Uncategorised",E234=""),"Check","")</f>
        <v/>
      </c>
    </row>
    <row r="235">
      <c r="A235" s="10" t="inlineStr">
        <is>
          <t>Amex Jan-2025</t>
        </is>
      </c>
      <c r="B235" s="11" t="n">
        <v>45664</v>
      </c>
      <c r="C235" s="10" t="inlineStr">
        <is>
          <t>FOOT LOCKER AUSTALIA IN MURARRIE</t>
        </is>
      </c>
      <c r="D235" s="10">
        <f>IFERROR(INDEX('Review Items'!$D:$D,MATCH(C235,'Review Items'!$B:$B,0)),IFERROR(INDEX('Rule Updates'!$B:$B,MATCH(C235,'Rule Updates'!$A:$A,0)),"Uncategorised"))</f>
        <v/>
      </c>
      <c r="E235" s="10">
        <f>IFERROR(INDEX('Review Items'!$E:$E,MATCH(C235,'Review Items'!$B:$B,0)),IFERROR(INDEX('Rule Updates'!$C:$C,MATCH(C235,'Rule Updates'!$A:$A,0)),"Review"))</f>
        <v/>
      </c>
      <c r="F235" s="12" t="n">
        <v>190</v>
      </c>
      <c r="G235" s="12" t="n">
        <v>949.9299999999999</v>
      </c>
      <c r="H235" s="10" t="n">
        <v>3</v>
      </c>
      <c r="I235" s="10">
        <f>IF(OR(D235="Uncategorised",E235=""),"Check","")</f>
        <v/>
      </c>
    </row>
    <row r="236">
      <c r="A236" s="10" t="inlineStr">
        <is>
          <t>Amex Jan-2025</t>
        </is>
      </c>
      <c r="B236" s="11" t="n">
        <v>45664</v>
      </c>
      <c r="C236" s="10" t="inlineStr">
        <is>
          <t>LS LUNE CROISSANTERIE ROSEBERY</t>
        </is>
      </c>
      <c r="D236" s="10">
        <f>IFERROR(INDEX('Review Items'!$D:$D,MATCH(C236,'Review Items'!$B:$B,0)),IFERROR(INDEX('Rule Updates'!$B:$B,MATCH(C236,'Rule Updates'!$A:$A,0)),"Uncategorised"))</f>
        <v/>
      </c>
      <c r="E236" s="10">
        <f>IFERROR(INDEX('Review Items'!$E:$E,MATCH(C236,'Review Items'!$B:$B,0)),IFERROR(INDEX('Rule Updates'!$C:$C,MATCH(C236,'Rule Updates'!$A:$A,0)),"Review"))</f>
        <v/>
      </c>
      <c r="F236" s="12" t="n">
        <v>21.76</v>
      </c>
      <c r="G236" s="12" t="n">
        <v>108.79</v>
      </c>
      <c r="H236" s="10" t="n">
        <v>3</v>
      </c>
      <c r="I236" s="10">
        <f>IF(OR(D236="Uncategorised",E236=""),"Check","")</f>
        <v/>
      </c>
    </row>
    <row r="237">
      <c r="A237" s="10" t="inlineStr">
        <is>
          <t>Amex Jan-2025</t>
        </is>
      </c>
      <c r="B237" s="11" t="n">
        <v>45664</v>
      </c>
      <c r="C237" s="10" t="inlineStr">
        <is>
          <t>PINA EATERY POTTS POINT</t>
        </is>
      </c>
      <c r="D237" s="10">
        <f>IFERROR(INDEX('Review Items'!$D:$D,MATCH(C237,'Review Items'!$B:$B,0)),IFERROR(INDEX('Rule Updates'!$B:$B,MATCH(C237,'Rule Updates'!$A:$A,0)),"Uncategorised"))</f>
        <v/>
      </c>
      <c r="E237" s="10">
        <f>IFERROR(INDEX('Review Items'!$E:$E,MATCH(C237,'Review Items'!$B:$B,0)),IFERROR(INDEX('Rule Updates'!$C:$C,MATCH(C237,'Rule Updates'!$A:$A,0)),"Review"))</f>
        <v/>
      </c>
      <c r="F237" s="12" t="n">
        <v>80.88</v>
      </c>
      <c r="G237" s="12" t="n">
        <v>404.31</v>
      </c>
      <c r="H237" s="10" t="n">
        <v>6</v>
      </c>
      <c r="I237" s="10">
        <f>IF(OR(D237="Uncategorised",E237=""),"Check","")</f>
        <v/>
      </c>
    </row>
    <row r="238">
      <c r="A238" s="10" t="inlineStr">
        <is>
          <t>Amex Jan-2025</t>
        </is>
      </c>
      <c r="B238" s="11" t="n">
        <v>45664</v>
      </c>
      <c r="C238" s="10" t="inlineStr">
        <is>
          <t>SP JULY AU MELBOURNE</t>
        </is>
      </c>
      <c r="D238" s="10">
        <f>IFERROR(INDEX('Review Items'!$D:$D,MATCH(C238,'Review Items'!$B:$B,0)),IFERROR(INDEX('Rule Updates'!$B:$B,MATCH(C238,'Rule Updates'!$A:$A,0)),"Uncategorised"))</f>
        <v/>
      </c>
      <c r="E238" s="10">
        <f>IFERROR(INDEX('Review Items'!$E:$E,MATCH(C238,'Review Items'!$B:$B,0)),IFERROR(INDEX('Rule Updates'!$C:$C,MATCH(C238,'Rule Updates'!$A:$A,0)),"Review"))</f>
        <v/>
      </c>
      <c r="F238" s="12" t="n">
        <v>560</v>
      </c>
      <c r="G238" s="12" t="n">
        <v>2799.7</v>
      </c>
      <c r="H238" s="10" t="n">
        <v>6</v>
      </c>
      <c r="I238" s="10">
        <f>IF(OR(D238="Uncategorised",E238=""),"Check","")</f>
        <v/>
      </c>
    </row>
    <row r="239">
      <c r="A239" s="10" t="inlineStr">
        <is>
          <t>Amex Jan-2025</t>
        </is>
      </c>
      <c r="B239" s="11" t="n">
        <v>45664</v>
      </c>
      <c r="C239" s="10" t="inlineStr">
        <is>
          <t>TRANSPORTFORNSWTRAVEL SYDNEY</t>
        </is>
      </c>
      <c r="D239" s="10">
        <f>IFERROR(INDEX('Review Items'!$D:$D,MATCH(C239,'Review Items'!$B:$B,0)),IFERROR(INDEX('Rule Updates'!$B:$B,MATCH(C239,'Rule Updates'!$A:$A,0)),"Uncategorised"))</f>
        <v/>
      </c>
      <c r="E239" s="10">
        <f>IFERROR(INDEX('Review Items'!$E:$E,MATCH(C239,'Review Items'!$B:$B,0)),IFERROR(INDEX('Rule Updates'!$C:$C,MATCH(C239,'Rule Updates'!$A:$A,0)),"Review"))</f>
        <v/>
      </c>
      <c r="F239" s="12" t="n">
        <v>3.2</v>
      </c>
      <c r="G239" s="12" t="n">
        <v>16.01</v>
      </c>
      <c r="H239" s="10" t="n">
        <v>3</v>
      </c>
      <c r="I239" s="10">
        <f>IF(OR(D239="Uncategorised",E239=""),"Check","")</f>
        <v/>
      </c>
    </row>
    <row r="240">
      <c r="A240" s="10" t="inlineStr">
        <is>
          <t>Amex Jan-2025</t>
        </is>
      </c>
      <c r="B240" s="11" t="n">
        <v>45665</v>
      </c>
      <c r="C240" s="10" t="inlineStr">
        <is>
          <t>BAYSIDE NATURAL HEALTH DOUBLE BAY</t>
        </is>
      </c>
      <c r="D240" s="10">
        <f>IFERROR(INDEX('Review Items'!$D:$D,MATCH(C240,'Review Items'!$B:$B,0)),IFERROR(INDEX('Rule Updates'!$B:$B,MATCH(C240,'Rule Updates'!$A:$A,0)),"Uncategorised"))</f>
        <v/>
      </c>
      <c r="E240" s="10">
        <f>IFERROR(INDEX('Review Items'!$E:$E,MATCH(C240,'Review Items'!$B:$B,0)),IFERROR(INDEX('Rule Updates'!$C:$C,MATCH(C240,'Rule Updates'!$A:$A,0)),"Review"))</f>
        <v/>
      </c>
      <c r="F240" s="12" t="n">
        <v>191.34</v>
      </c>
      <c r="G240" s="12" t="n">
        <v>954.49</v>
      </c>
      <c r="H240" s="10" t="n">
        <v>3</v>
      </c>
      <c r="I240" s="10">
        <f>IF(OR(D240="Uncategorised",E240=""),"Check","")</f>
        <v/>
      </c>
    </row>
    <row r="241">
      <c r="A241" s="10" t="inlineStr">
        <is>
          <t>Amex Jan-2025</t>
        </is>
      </c>
      <c r="B241" s="11" t="n">
        <v>45665</v>
      </c>
      <c r="C241" s="10" t="inlineStr">
        <is>
          <t>HARRIS FARM MARKETS RED REDFERN</t>
        </is>
      </c>
      <c r="D241" s="10">
        <f>IFERROR(INDEX('Review Items'!$D:$D,MATCH(C241,'Review Items'!$B:$B,0)),IFERROR(INDEX('Rule Updates'!$B:$B,MATCH(C241,'Rule Updates'!$A:$A,0)),"Uncategorised"))</f>
        <v/>
      </c>
      <c r="E241" s="10">
        <f>IFERROR(INDEX('Review Items'!$E:$E,MATCH(C241,'Review Items'!$B:$B,0)),IFERROR(INDEX('Rule Updates'!$C:$C,MATCH(C241,'Rule Updates'!$A:$A,0)),"Review"))</f>
        <v/>
      </c>
      <c r="F241" s="12" t="n">
        <v>208.95</v>
      </c>
      <c r="G241" s="12" t="n">
        <v>1042.35</v>
      </c>
      <c r="H241" s="10" t="n">
        <v>3</v>
      </c>
      <c r="I241" s="10">
        <f>IF(OR(D241="Uncategorised",E241=""),"Check","")</f>
        <v/>
      </c>
    </row>
    <row r="242">
      <c r="A242" s="10" t="inlineStr">
        <is>
          <t>Amex Jan-2025</t>
        </is>
      </c>
      <c r="B242" s="11" t="n">
        <v>45665</v>
      </c>
      <c r="C242" s="10" t="inlineStr">
        <is>
          <t>KARPATI SKIN CLINIC DOUBLE BAY</t>
        </is>
      </c>
      <c r="D242" s="10">
        <f>IFERROR(INDEX('Review Items'!$D:$D,MATCH(C242,'Review Items'!$B:$B,0)),IFERROR(INDEX('Rule Updates'!$B:$B,MATCH(C242,'Rule Updates'!$A:$A,0)),"Uncategorised"))</f>
        <v/>
      </c>
      <c r="E242" s="10">
        <f>IFERROR(INDEX('Review Items'!$E:$E,MATCH(C242,'Review Items'!$B:$B,0)),IFERROR(INDEX('Rule Updates'!$C:$C,MATCH(C242,'Rule Updates'!$A:$A,0)),"Review"))</f>
        <v/>
      </c>
      <c r="F242" s="12" t="n">
        <v>83</v>
      </c>
      <c r="G242" s="12" t="n">
        <v>414.08</v>
      </c>
      <c r="H242" s="10" t="n">
        <v>3</v>
      </c>
      <c r="I242" s="10">
        <f>IF(OR(D242="Uncategorised",E242=""),"Check","")</f>
        <v/>
      </c>
    </row>
    <row r="243">
      <c r="A243" s="10" t="inlineStr">
        <is>
          <t>Amex Jan-2025</t>
        </is>
      </c>
      <c r="B243" s="11" t="n">
        <v>45665</v>
      </c>
      <c r="C243" s="10" t="inlineStr">
        <is>
          <t>KARPATI SKIN CLINIC DOUBLE BAY</t>
        </is>
      </c>
      <c r="D243" s="10">
        <f>IFERROR(INDEX('Review Items'!$D:$D,MATCH(C243,'Review Items'!$B:$B,0)),IFERROR(INDEX('Rule Updates'!$B:$B,MATCH(C243,'Rule Updates'!$A:$A,0)),"Uncategorised"))</f>
        <v/>
      </c>
      <c r="E243" s="10">
        <f>IFERROR(INDEX('Review Items'!$E:$E,MATCH(C243,'Review Items'!$B:$B,0)),IFERROR(INDEX('Rule Updates'!$C:$C,MATCH(C243,'Rule Updates'!$A:$A,0)),"Review"))</f>
        <v/>
      </c>
      <c r="F243" s="12" t="n">
        <v>422.5</v>
      </c>
      <c r="G243" s="12" t="n">
        <v>2107.62</v>
      </c>
      <c r="H243" s="10" t="n">
        <v>3</v>
      </c>
      <c r="I243" s="10">
        <f>IF(OR(D243="Uncategorised",E243=""),"Check","")</f>
        <v/>
      </c>
    </row>
    <row r="244">
      <c r="A244" s="10" t="inlineStr">
        <is>
          <t>Amex Jan-2025</t>
        </is>
      </c>
      <c r="B244" s="11" t="n">
        <v>45665</v>
      </c>
      <c r="C244" s="10" t="inlineStr">
        <is>
          <t>SKITTLE LANE Circular Quay</t>
        </is>
      </c>
      <c r="D244" s="10">
        <f>IFERROR(INDEX('Review Items'!$D:$D,MATCH(C244,'Review Items'!$B:$B,0)),IFERROR(INDEX('Rule Updates'!$B:$B,MATCH(C244,'Rule Updates'!$A:$A,0)),"Uncategorised"))</f>
        <v/>
      </c>
      <c r="E244" s="10">
        <f>IFERROR(INDEX('Review Items'!$E:$E,MATCH(C244,'Review Items'!$B:$B,0)),IFERROR(INDEX('Rule Updates'!$C:$C,MATCH(C244,'Rule Updates'!$A:$A,0)),"Review"))</f>
        <v/>
      </c>
      <c r="F244" s="12" t="n">
        <v>11.15</v>
      </c>
      <c r="G244" s="12" t="n">
        <v>55.59</v>
      </c>
      <c r="H244" s="10" t="n">
        <v>4</v>
      </c>
      <c r="I244" s="10">
        <f>IF(OR(D244="Uncategorised",E244=""),"Check","")</f>
        <v/>
      </c>
    </row>
    <row r="245">
      <c r="A245" s="10" t="inlineStr">
        <is>
          <t>Amex Jan-2025</t>
        </is>
      </c>
      <c r="B245" s="11" t="n">
        <v>45665</v>
      </c>
      <c r="C245" s="10" t="inlineStr">
        <is>
          <t>SOUL DINING Sydney</t>
        </is>
      </c>
      <c r="D245" s="10">
        <f>IFERROR(INDEX('Review Items'!$D:$D,MATCH(C245,'Review Items'!$B:$B,0)),IFERROR(INDEX('Rule Updates'!$B:$B,MATCH(C245,'Rule Updates'!$A:$A,0)),"Uncategorised"))</f>
        <v/>
      </c>
      <c r="E245" s="10">
        <f>IFERROR(INDEX('Review Items'!$E:$E,MATCH(C245,'Review Items'!$B:$B,0)),IFERROR(INDEX('Rule Updates'!$C:$C,MATCH(C245,'Rule Updates'!$A:$A,0)),"Review"))</f>
        <v/>
      </c>
      <c r="F245" s="12" t="n">
        <v>387.55</v>
      </c>
      <c r="G245" s="12" t="n">
        <v>1933.33</v>
      </c>
      <c r="H245" s="10" t="n">
        <v>4</v>
      </c>
      <c r="I245" s="10">
        <f>IF(OR(D245="Uncategorised",E245=""),"Check","")</f>
        <v/>
      </c>
    </row>
    <row r="246">
      <c r="A246" s="10" t="inlineStr">
        <is>
          <t>Amex Jan-2025</t>
        </is>
      </c>
      <c r="B246" s="11" t="n">
        <v>45665</v>
      </c>
      <c r="C246" s="10" t="inlineStr">
        <is>
          <t>TRANSPORTFORNSWTRAVEL SYDNEY</t>
        </is>
      </c>
      <c r="D246" s="10">
        <f>IFERROR(INDEX('Review Items'!$D:$D,MATCH(C246,'Review Items'!$B:$B,0)),IFERROR(INDEX('Rule Updates'!$B:$B,MATCH(C246,'Rule Updates'!$A:$A,0)),"Uncategorised"))</f>
        <v/>
      </c>
      <c r="E246" s="10">
        <f>IFERROR(INDEX('Review Items'!$E:$E,MATCH(C246,'Review Items'!$B:$B,0)),IFERROR(INDEX('Rule Updates'!$C:$C,MATCH(C246,'Rule Updates'!$A:$A,0)),"Review"))</f>
        <v/>
      </c>
      <c r="F246" s="12" t="n">
        <v>3.92</v>
      </c>
      <c r="G246" s="12" t="n">
        <v>19.58</v>
      </c>
      <c r="H246" s="10" t="n">
        <v>4</v>
      </c>
      <c r="I246" s="10">
        <f>IF(OR(D246="Uncategorised",E246=""),"Check","")</f>
        <v/>
      </c>
    </row>
    <row r="247">
      <c r="A247" s="10" t="inlineStr">
        <is>
          <t>Amex Jan-2025</t>
        </is>
      </c>
      <c r="B247" s="11" t="n">
        <v>45665</v>
      </c>
      <c r="C247" s="10" t="inlineStr">
        <is>
          <t>UBER TRIP HELP.UBER.COM</t>
        </is>
      </c>
      <c r="D247" s="10">
        <f>IFERROR(INDEX('Review Items'!$D:$D,MATCH(C247,'Review Items'!$B:$B,0)),IFERROR(INDEX('Rule Updates'!$B:$B,MATCH(C247,'Rule Updates'!$A:$A,0)),"Uncategorised"))</f>
        <v/>
      </c>
      <c r="E247" s="10">
        <f>IFERROR(INDEX('Review Items'!$E:$E,MATCH(C247,'Review Items'!$B:$B,0)),IFERROR(INDEX('Rule Updates'!$C:$C,MATCH(C247,'Rule Updates'!$A:$A,0)),"Review"))</f>
        <v/>
      </c>
      <c r="F247" s="12" t="n">
        <v>23.32</v>
      </c>
      <c r="G247" s="12" t="n">
        <v>116.33</v>
      </c>
      <c r="H247" s="10" t="n">
        <v>4</v>
      </c>
      <c r="I247" s="10">
        <f>IF(OR(D247="Uncategorised",E247=""),"Check","")</f>
        <v/>
      </c>
    </row>
    <row r="248">
      <c r="A248" s="10" t="inlineStr">
        <is>
          <t>Amex Jan-2025</t>
        </is>
      </c>
      <c r="B248" s="11" t="n">
        <v>45666</v>
      </c>
      <c r="C248" s="10" t="inlineStr">
        <is>
          <t>RESTAURANT AZUMA SYDNEY</t>
        </is>
      </c>
      <c r="D248" s="10">
        <f>IFERROR(INDEX('Review Items'!$D:$D,MATCH(C248,'Review Items'!$B:$B,0)),IFERROR(INDEX('Rule Updates'!$B:$B,MATCH(C248,'Rule Updates'!$A:$A,0)),"Uncategorised"))</f>
        <v/>
      </c>
      <c r="E248" s="10">
        <f>IFERROR(INDEX('Review Items'!$E:$E,MATCH(C248,'Review Items'!$B:$B,0)),IFERROR(INDEX('Rule Updates'!$C:$C,MATCH(C248,'Rule Updates'!$A:$A,0)),"Review"))</f>
        <v/>
      </c>
      <c r="F248" s="12" t="n">
        <v>609.6</v>
      </c>
      <c r="G248" s="12" t="n">
        <v>3003.52</v>
      </c>
      <c r="H248" s="10" t="n">
        <v>4</v>
      </c>
      <c r="I248" s="10">
        <f>IF(OR(D248="Uncategorised",E248=""),"Check","")</f>
        <v/>
      </c>
    </row>
    <row r="249">
      <c r="A249" s="10" t="inlineStr">
        <is>
          <t>Amex Jan-2025</t>
        </is>
      </c>
      <c r="B249" s="11" t="n">
        <v>45666</v>
      </c>
      <c r="C249" s="10" t="inlineStr">
        <is>
          <t>WOOLWORTHS 1416 DOUBLE DOUBLE BAY</t>
        </is>
      </c>
      <c r="D249" s="10">
        <f>IFERROR(INDEX('Review Items'!$D:$D,MATCH(C249,'Review Items'!$B:$B,0)),IFERROR(INDEX('Rule Updates'!$B:$B,MATCH(C249,'Rule Updates'!$A:$A,0)),"Uncategorised"))</f>
        <v/>
      </c>
      <c r="E249" s="10">
        <f>IFERROR(INDEX('Review Items'!$E:$E,MATCH(C249,'Review Items'!$B:$B,0)),IFERROR(INDEX('Rule Updates'!$C:$C,MATCH(C249,'Rule Updates'!$A:$A,0)),"Review"))</f>
        <v/>
      </c>
      <c r="F249" s="12" t="n">
        <v>29.49</v>
      </c>
      <c r="G249" s="12" t="n">
        <v>145.8</v>
      </c>
      <c r="H249" s="10" t="n">
        <v>4</v>
      </c>
      <c r="I249" s="10">
        <f>IF(OR(D249="Uncategorised",E249=""),"Check","")</f>
        <v/>
      </c>
    </row>
    <row r="250">
      <c r="A250" s="10" t="inlineStr">
        <is>
          <t>Amex Jan-2025</t>
        </is>
      </c>
      <c r="B250" s="11" t="n">
        <v>45666</v>
      </c>
      <c r="C250" s="10" t="inlineStr">
        <is>
          <t>WW METRO 1527 THE KITCH DOUBLE BAY</t>
        </is>
      </c>
      <c r="D250" s="10">
        <f>IFERROR(INDEX('Review Items'!$D:$D,MATCH(C250,'Review Items'!$B:$B,0)),IFERROR(INDEX('Rule Updates'!$B:$B,MATCH(C250,'Rule Updates'!$A:$A,0)),"Uncategorised"))</f>
        <v/>
      </c>
      <c r="E250" s="10">
        <f>IFERROR(INDEX('Review Items'!$E:$E,MATCH(C250,'Review Items'!$B:$B,0)),IFERROR(INDEX('Rule Updates'!$C:$C,MATCH(C250,'Rule Updates'!$A:$A,0)),"Review"))</f>
        <v/>
      </c>
      <c r="F250" s="12" t="n">
        <v>6</v>
      </c>
      <c r="G250" s="12" t="n">
        <v>29.67</v>
      </c>
      <c r="H250" s="10" t="n">
        <v>4</v>
      </c>
      <c r="I250" s="10">
        <f>IF(OR(D250="Uncategorised",E250=""),"Check","")</f>
        <v/>
      </c>
    </row>
    <row r="251">
      <c r="A251" s="10" t="inlineStr">
        <is>
          <t>Amex Jan-2025</t>
        </is>
      </c>
      <c r="B251" s="11" t="n">
        <v>45667</v>
      </c>
      <c r="C251" s="10" t="inlineStr">
        <is>
          <t>AMAZON PRIME*SO37B7S55 AMZN.CO.UK/PM</t>
        </is>
      </c>
      <c r="D251" s="10">
        <f>IFERROR(INDEX('Review Items'!$D:$D,MATCH(C251,'Review Items'!$B:$B,0)),IFERROR(INDEX('Rule Updates'!$B:$B,MATCH(C251,'Rule Updates'!$A:$A,0)),"Uncategorised"))</f>
        <v/>
      </c>
      <c r="E251" s="10">
        <f>IFERROR(INDEX('Review Items'!$E:$E,MATCH(C251,'Review Items'!$B:$B,0)),IFERROR(INDEX('Rule Updates'!$C:$C,MATCH(C251,'Rule Updates'!$A:$A,0)),"Review"))</f>
        <v/>
      </c>
      <c r="F251" s="12" t="n">
        <v>8.99</v>
      </c>
      <c r="G251" s="12" t="n">
        <v>87.95</v>
      </c>
      <c r="H251" s="10" t="n">
        <v>4</v>
      </c>
      <c r="I251" s="10">
        <f>IF(OR(D251="Uncategorised",E251=""),"Check","")</f>
        <v/>
      </c>
    </row>
    <row r="252">
      <c r="A252" s="10" t="inlineStr">
        <is>
          <t>Amex Jan-2025</t>
        </is>
      </c>
      <c r="B252" s="11" t="n">
        <v>45667</v>
      </c>
      <c r="C252" s="10" t="inlineStr">
        <is>
          <t>AMV RETAIL ASIA HONG KO ADMIRALTY</t>
        </is>
      </c>
      <c r="D252" s="10">
        <f>IFERROR(INDEX('Review Items'!$D:$D,MATCH(C252,'Review Items'!$B:$B,0)),IFERROR(INDEX('Rule Updates'!$B:$B,MATCH(C252,'Rule Updates'!$A:$A,0)),"Uncategorised"))</f>
        <v/>
      </c>
      <c r="E252" s="10">
        <f>IFERROR(INDEX('Review Items'!$E:$E,MATCH(C252,'Review Items'!$B:$B,0)),IFERROR(INDEX('Rule Updates'!$C:$C,MATCH(C252,'Rule Updates'!$A:$A,0)),"Review"))</f>
        <v/>
      </c>
      <c r="F252" s="10" t="n"/>
      <c r="G252" s="12" t="n">
        <v>3560</v>
      </c>
      <c r="H252" s="10" t="n">
        <v>4</v>
      </c>
      <c r="I252" s="10">
        <f>IF(OR(D252="Uncategorised",E252=""),"Check","")</f>
        <v/>
      </c>
    </row>
    <row r="253">
      <c r="A253" s="10" t="inlineStr">
        <is>
          <t>Amex Jan-2025</t>
        </is>
      </c>
      <c r="B253" s="11" t="n">
        <v>45667</v>
      </c>
      <c r="C253" s="10" t="inlineStr">
        <is>
          <t>CITY'SUPER CENTRAL</t>
        </is>
      </c>
      <c r="D253" s="10">
        <f>IFERROR(INDEX('Review Items'!$D:$D,MATCH(C253,'Review Items'!$B:$B,0)),IFERROR(INDEX('Rule Updates'!$B:$B,MATCH(C253,'Rule Updates'!$A:$A,0)),"Uncategorised"))</f>
        <v/>
      </c>
      <c r="E253" s="10">
        <f>IFERROR(INDEX('Review Items'!$E:$E,MATCH(C253,'Review Items'!$B:$B,0)),IFERROR(INDEX('Rule Updates'!$C:$C,MATCH(C253,'Rule Updates'!$A:$A,0)),"Review"))</f>
        <v/>
      </c>
      <c r="F253" s="10" t="n"/>
      <c r="G253" s="12" t="n">
        <v>3477.2</v>
      </c>
      <c r="H253" s="10" t="n">
        <v>4</v>
      </c>
      <c r="I253" s="10">
        <f>IF(OR(D253="Uncategorised",E253=""),"Check","")</f>
        <v/>
      </c>
    </row>
    <row r="254">
      <c r="A254" s="10" t="inlineStr">
        <is>
          <t>Amex Jan-2025</t>
        </is>
      </c>
      <c r="B254" s="11" t="n">
        <v>45667</v>
      </c>
      <c r="C254" s="10" t="inlineStr">
        <is>
          <t>XOPP 62109 HAYMARKET</t>
        </is>
      </c>
      <c r="D254" s="10">
        <f>IFERROR(INDEX('Review Items'!$D:$D,MATCH(C254,'Review Items'!$B:$B,0)),IFERROR(INDEX('Rule Updates'!$B:$B,MATCH(C254,'Rule Updates'!$A:$A,0)),"Uncategorised"))</f>
        <v/>
      </c>
      <c r="E254" s="10">
        <f>IFERROR(INDEX('Review Items'!$E:$E,MATCH(C254,'Review Items'!$B:$B,0)),IFERROR(INDEX('Rule Updates'!$C:$C,MATCH(C254,'Rule Updates'!$A:$A,0)),"Review"))</f>
        <v/>
      </c>
      <c r="F254" s="12" t="n">
        <v>609.95</v>
      </c>
      <c r="G254" s="12" t="n">
        <v>3002.92</v>
      </c>
      <c r="H254" s="10" t="n">
        <v>6</v>
      </c>
      <c r="I254" s="10">
        <f>IF(OR(D254="Uncategorised",E254=""),"Check","")</f>
        <v/>
      </c>
    </row>
    <row r="255">
      <c r="A255" s="10" t="inlineStr">
        <is>
          <t>Amex Jan-2025</t>
        </is>
      </c>
      <c r="B255" s="11" t="n">
        <v>45668</v>
      </c>
      <c r="C255" s="10" t="inlineStr">
        <is>
          <t>ARIA RESTAURANT SYDNEY</t>
        </is>
      </c>
      <c r="D255" s="10">
        <f>IFERROR(INDEX('Review Items'!$D:$D,MATCH(C255,'Review Items'!$B:$B,0)),IFERROR(INDEX('Rule Updates'!$B:$B,MATCH(C255,'Rule Updates'!$A:$A,0)),"Uncategorised"))</f>
        <v/>
      </c>
      <c r="E255" s="10">
        <f>IFERROR(INDEX('Review Items'!$E:$E,MATCH(C255,'Review Items'!$B:$B,0)),IFERROR(INDEX('Rule Updates'!$C:$C,MATCH(C255,'Rule Updates'!$A:$A,0)),"Review"))</f>
        <v/>
      </c>
      <c r="F255" s="12" t="n">
        <v>791.4299999999999</v>
      </c>
      <c r="G255" s="12" t="n">
        <v>3896.38</v>
      </c>
      <c r="H255" s="10" t="n">
        <v>6</v>
      </c>
      <c r="I255" s="10">
        <f>IF(OR(D255="Uncategorised",E255=""),"Check","")</f>
        <v/>
      </c>
    </row>
    <row r="256">
      <c r="A256" s="10" t="inlineStr">
        <is>
          <t>Amex Jan-2025</t>
        </is>
      </c>
      <c r="B256" s="11" t="n">
        <v>45668</v>
      </c>
      <c r="C256" s="10" t="inlineStr">
        <is>
          <t>GARMIN (EUROPE) LIMITED SOUTHAMPTON</t>
        </is>
      </c>
      <c r="D256" s="10">
        <f>IFERROR(INDEX('Review Items'!$D:$D,MATCH(C256,'Review Items'!$B:$B,0)),IFERROR(INDEX('Rule Updates'!$B:$B,MATCH(C256,'Rule Updates'!$A:$A,0)),"Uncategorised"))</f>
        <v/>
      </c>
      <c r="E256" s="10">
        <f>IFERROR(INDEX('Review Items'!$E:$E,MATCH(C256,'Review Items'!$B:$B,0)),IFERROR(INDEX('Rule Updates'!$C:$C,MATCH(C256,'Rule Updates'!$A:$A,0)),"Review"))</f>
        <v/>
      </c>
      <c r="F256" s="12" t="n">
        <v>9.99</v>
      </c>
      <c r="G256" s="12" t="n">
        <v>79.34999999999999</v>
      </c>
      <c r="H256" s="10" t="n">
        <v>4</v>
      </c>
      <c r="I256" s="10">
        <f>IF(OR(D256="Uncategorised",E256=""),"Check","")</f>
        <v/>
      </c>
    </row>
    <row r="257">
      <c r="A257" s="10" t="inlineStr">
        <is>
          <t>Amex Jan-2025</t>
        </is>
      </c>
      <c r="B257" s="11" t="n">
        <v>45668</v>
      </c>
      <c r="C257" s="10" t="inlineStr">
        <is>
          <t>SP IPPODOTEAGLOBAL KIYOUTOSHI NAKA</t>
        </is>
      </c>
      <c r="D257" s="10">
        <f>IFERROR(INDEX('Review Items'!$D:$D,MATCH(C257,'Review Items'!$B:$B,0)),IFERROR(INDEX('Rule Updates'!$B:$B,MATCH(C257,'Rule Updates'!$A:$A,0)),"Uncategorised"))</f>
        <v/>
      </c>
      <c r="E257" s="10">
        <f>IFERROR(INDEX('Review Items'!$E:$E,MATCH(C257,'Review Items'!$B:$B,0)),IFERROR(INDEX('Rule Updates'!$C:$C,MATCH(C257,'Rule Updates'!$A:$A,0)),"Review"))</f>
        <v/>
      </c>
      <c r="F257" s="12" t="n">
        <v>8210</v>
      </c>
      <c r="G257" s="12" t="n">
        <v>414.73</v>
      </c>
      <c r="H257" s="10" t="n">
        <v>4</v>
      </c>
      <c r="I257" s="10">
        <f>IF(OR(D257="Uncategorised",E257=""),"Check","")</f>
        <v/>
      </c>
    </row>
    <row r="258">
      <c r="A258" s="10" t="inlineStr">
        <is>
          <t>Amex Jan-2025</t>
        </is>
      </c>
      <c r="B258" s="11" t="n">
        <v>45669</v>
      </c>
      <c r="C258" s="10" t="inlineStr">
        <is>
          <t>52 GAGE CENTRAL</t>
        </is>
      </c>
      <c r="D258" s="10">
        <f>IFERROR(INDEX('Review Items'!$D:$D,MATCH(C258,'Review Items'!$B:$B,0)),IFERROR(INDEX('Rule Updates'!$B:$B,MATCH(C258,'Rule Updates'!$A:$A,0)),"Uncategorised"))</f>
        <v/>
      </c>
      <c r="E258" s="10">
        <f>IFERROR(INDEX('Review Items'!$E:$E,MATCH(C258,'Review Items'!$B:$B,0)),IFERROR(INDEX('Rule Updates'!$C:$C,MATCH(C258,'Rule Updates'!$A:$A,0)),"Review"))</f>
        <v/>
      </c>
      <c r="F258" s="10" t="n"/>
      <c r="G258" s="12" t="n">
        <v>11500</v>
      </c>
      <c r="H258" s="10" t="n">
        <v>4</v>
      </c>
      <c r="I258" s="10">
        <f>IF(OR(D258="Uncategorised",E258=""),"Check","")</f>
        <v/>
      </c>
    </row>
    <row r="259">
      <c r="A259" s="10" t="inlineStr">
        <is>
          <t>Amex Jan-2025</t>
        </is>
      </c>
      <c r="B259" s="11" t="n">
        <v>45669</v>
      </c>
      <c r="C259" s="10" t="inlineStr">
        <is>
          <t>HARRIS FARM MARKETS RED REDFERN</t>
        </is>
      </c>
      <c r="D259" s="10">
        <f>IFERROR(INDEX('Review Items'!$D:$D,MATCH(C259,'Review Items'!$B:$B,0)),IFERROR(INDEX('Rule Updates'!$B:$B,MATCH(C259,'Rule Updates'!$A:$A,0)),"Uncategorised"))</f>
        <v/>
      </c>
      <c r="E259" s="10">
        <f>IFERROR(INDEX('Review Items'!$E:$E,MATCH(C259,'Review Items'!$B:$B,0)),IFERROR(INDEX('Rule Updates'!$C:$C,MATCH(C259,'Rule Updates'!$A:$A,0)),"Review"))</f>
        <v/>
      </c>
      <c r="F259" s="12" t="n">
        <v>83.88</v>
      </c>
      <c r="G259" s="12" t="n">
        <v>412.97</v>
      </c>
      <c r="H259" s="10" t="n">
        <v>6</v>
      </c>
      <c r="I259" s="10">
        <f>IF(OR(D259="Uncategorised",E259=""),"Check","")</f>
        <v/>
      </c>
    </row>
    <row r="260">
      <c r="A260" s="10" t="inlineStr">
        <is>
          <t>Amex Jan-2025</t>
        </is>
      </c>
      <c r="B260" s="11" t="n">
        <v>45670</v>
      </c>
      <c r="C260" s="10" t="inlineStr">
        <is>
          <t>APPLE STORE R238 R238 SYDNEY</t>
        </is>
      </c>
      <c r="D260" s="10">
        <f>IFERROR(INDEX('Review Items'!$D:$D,MATCH(C260,'Review Items'!$B:$B,0)),IFERROR(INDEX('Rule Updates'!$B:$B,MATCH(C260,'Rule Updates'!$A:$A,0)),"Uncategorised"))</f>
        <v/>
      </c>
      <c r="E260" s="10">
        <f>IFERROR(INDEX('Review Items'!$E:$E,MATCH(C260,'Review Items'!$B:$B,0)),IFERROR(INDEX('Rule Updates'!$C:$C,MATCH(C260,'Rule Updates'!$A:$A,0)),"Review"))</f>
        <v/>
      </c>
      <c r="F260" s="12" t="n">
        <v>50</v>
      </c>
      <c r="G260" s="12" t="n">
        <v>246.19</v>
      </c>
      <c r="H260" s="10" t="n">
        <v>6</v>
      </c>
      <c r="I260" s="10">
        <f>IF(OR(D260="Uncategorised",E260=""),"Check","")</f>
        <v/>
      </c>
    </row>
    <row r="261">
      <c r="A261" s="10" t="inlineStr">
        <is>
          <t>Amex Jan-2025</t>
        </is>
      </c>
      <c r="B261" s="11" t="n">
        <v>45670</v>
      </c>
      <c r="C261" s="10" t="inlineStr">
        <is>
          <t>APPLE.COM/BILL CUPERTINO</t>
        </is>
      </c>
      <c r="D261" s="10">
        <f>IFERROR(INDEX('Review Items'!$D:$D,MATCH(C261,'Review Items'!$B:$B,0)),IFERROR(INDEX('Rule Updates'!$B:$B,MATCH(C261,'Rule Updates'!$A:$A,0)),"Uncategorised"))</f>
        <v/>
      </c>
      <c r="E261" s="10">
        <f>IFERROR(INDEX('Review Items'!$E:$E,MATCH(C261,'Review Items'!$B:$B,0)),IFERROR(INDEX('Rule Updates'!$C:$C,MATCH(C261,'Rule Updates'!$A:$A,0)),"Review"))</f>
        <v/>
      </c>
      <c r="F261" s="12" t="n">
        <v>11.99</v>
      </c>
      <c r="G261" s="12" t="n">
        <v>95.23999999999999</v>
      </c>
      <c r="H261" s="10" t="n">
        <v>4</v>
      </c>
      <c r="I261" s="10">
        <f>IF(OR(D261="Uncategorised",E261=""),"Check","")</f>
        <v/>
      </c>
    </row>
    <row r="262">
      <c r="A262" s="10" t="inlineStr">
        <is>
          <t>Amex Jan-2025</t>
        </is>
      </c>
      <c r="B262" s="11" t="n">
        <v>45670</v>
      </c>
      <c r="C262" s="10" t="inlineStr">
        <is>
          <t>APPLE.COM/BILL CUPERTINO</t>
        </is>
      </c>
      <c r="D262" s="10">
        <f>IFERROR(INDEX('Review Items'!$D:$D,MATCH(C262,'Review Items'!$B:$B,0)),IFERROR(INDEX('Rule Updates'!$B:$B,MATCH(C262,'Rule Updates'!$A:$A,0)),"Uncategorised"))</f>
        <v/>
      </c>
      <c r="E262" s="10">
        <f>IFERROR(INDEX('Review Items'!$E:$E,MATCH(C262,'Review Items'!$B:$B,0)),IFERROR(INDEX('Rule Updates'!$C:$C,MATCH(C262,'Rule Updates'!$A:$A,0)),"Review"))</f>
        <v/>
      </c>
      <c r="F262" s="12" t="n">
        <v>37.95</v>
      </c>
      <c r="G262" s="12" t="n">
        <v>301.47</v>
      </c>
      <c r="H262" s="10" t="n">
        <v>4</v>
      </c>
      <c r="I262" s="10">
        <f>IF(OR(D262="Uncategorised",E262=""),"Check","")</f>
        <v/>
      </c>
    </row>
    <row r="263">
      <c r="A263" s="10" t="inlineStr">
        <is>
          <t>Amex Jan-2025</t>
        </is>
      </c>
      <c r="B263" s="11" t="n">
        <v>45671</v>
      </c>
      <c r="C263" s="10" t="inlineStr">
        <is>
          <t>LANE CRAWFORD (IFC) CENTRAL</t>
        </is>
      </c>
      <c r="D263" s="10">
        <f>IFERROR(INDEX('Review Items'!$D:$D,MATCH(C263,'Review Items'!$B:$B,0)),IFERROR(INDEX('Rule Updates'!$B:$B,MATCH(C263,'Rule Updates'!$A:$A,0)),"Uncategorised"))</f>
        <v/>
      </c>
      <c r="E263" s="10">
        <f>IFERROR(INDEX('Review Items'!$E:$E,MATCH(C263,'Review Items'!$B:$B,0)),IFERROR(INDEX('Rule Updates'!$C:$C,MATCH(C263,'Rule Updates'!$A:$A,0)),"Review"))</f>
        <v/>
      </c>
      <c r="F263" s="10" t="n"/>
      <c r="G263" s="12" t="n">
        <v>1140</v>
      </c>
      <c r="H263" s="10" t="n">
        <v>4</v>
      </c>
      <c r="I263" s="10">
        <f>IF(OR(D263="Uncategorised",E263=""),"Check","")</f>
        <v/>
      </c>
    </row>
    <row r="264">
      <c r="A264" s="10" t="inlineStr">
        <is>
          <t>Amex Jan-2025</t>
        </is>
      </c>
      <c r="B264" s="11" t="n">
        <v>45672</v>
      </c>
      <c r="C264" s="10" t="inlineStr">
        <is>
          <t>AESOP GOUGH STREET CENTRAL</t>
        </is>
      </c>
      <c r="D264" s="10">
        <f>IFERROR(INDEX('Review Items'!$D:$D,MATCH(C264,'Review Items'!$B:$B,0)),IFERROR(INDEX('Rule Updates'!$B:$B,MATCH(C264,'Rule Updates'!$A:$A,0)),"Uncategorised"))</f>
        <v/>
      </c>
      <c r="E264" s="10">
        <f>IFERROR(INDEX('Review Items'!$E:$E,MATCH(C264,'Review Items'!$B:$B,0)),IFERROR(INDEX('Rule Updates'!$C:$C,MATCH(C264,'Rule Updates'!$A:$A,0)),"Review"))</f>
        <v/>
      </c>
      <c r="F264" s="10" t="n"/>
      <c r="G264" s="12" t="n">
        <v>770</v>
      </c>
      <c r="H264" s="10" t="n">
        <v>4</v>
      </c>
      <c r="I264" s="10">
        <f>IF(OR(D264="Uncategorised",E264=""),"Check","")</f>
        <v/>
      </c>
    </row>
    <row r="265">
      <c r="A265" s="10" t="inlineStr">
        <is>
          <t>Amex Jan-2025</t>
        </is>
      </c>
      <c r="B265" s="11" t="n">
        <v>45672</v>
      </c>
      <c r="C265" s="10" t="inlineStr">
        <is>
          <t>APPLE.COM/BILL CUPERTINO</t>
        </is>
      </c>
      <c r="D265" s="10">
        <f>IFERROR(INDEX('Review Items'!$D:$D,MATCH(C265,'Review Items'!$B:$B,0)),IFERROR(INDEX('Rule Updates'!$B:$B,MATCH(C265,'Rule Updates'!$A:$A,0)),"Uncategorised"))</f>
        <v/>
      </c>
      <c r="E265" s="10">
        <f>IFERROR(INDEX('Review Items'!$E:$E,MATCH(C265,'Review Items'!$B:$B,0)),IFERROR(INDEX('Rule Updates'!$C:$C,MATCH(C265,'Rule Updates'!$A:$A,0)),"Review"))</f>
        <v/>
      </c>
      <c r="F265" s="12" t="n">
        <v>3.49</v>
      </c>
      <c r="G265" s="12" t="n">
        <v>27.72</v>
      </c>
      <c r="H265" s="10" t="n">
        <v>4</v>
      </c>
      <c r="I265" s="10">
        <f>IF(OR(D265="Uncategorised",E265=""),"Check","")</f>
        <v/>
      </c>
    </row>
    <row r="266">
      <c r="A266" s="10" t="inlineStr">
        <is>
          <t>Amex Jan-2025</t>
        </is>
      </c>
      <c r="B266" s="11" t="n">
        <v>45673</v>
      </c>
      <c r="C266" s="10" t="inlineStr">
        <is>
          <t>AUSTRALIA CUSTOMS 60800 CANBERRA</t>
        </is>
      </c>
      <c r="D266" s="10">
        <f>IFERROR(INDEX('Review Items'!$D:$D,MATCH(C266,'Review Items'!$B:$B,0)),IFERROR(INDEX('Rule Updates'!$B:$B,MATCH(C266,'Rule Updates'!$A:$A,0)),"Uncategorised"))</f>
        <v/>
      </c>
      <c r="E266" s="10">
        <f>IFERROR(INDEX('Review Items'!$E:$E,MATCH(C266,'Review Items'!$B:$B,0)),IFERROR(INDEX('Rule Updates'!$C:$C,MATCH(C266,'Rule Updates'!$A:$A,0)),"Review"))</f>
        <v/>
      </c>
      <c r="F266" s="12" t="n">
        <v>59</v>
      </c>
      <c r="G266" s="12" t="n">
        <v>-287.08</v>
      </c>
      <c r="H266" s="10" t="n">
        <v>6</v>
      </c>
      <c r="I266" s="10">
        <f>IF(OR(D266="Uncategorised",E266=""),"Check","")</f>
        <v/>
      </c>
    </row>
    <row r="267">
      <c r="A267" s="10" t="inlineStr">
        <is>
          <t>Amex Jan-2025</t>
        </is>
      </c>
      <c r="B267" s="11" t="n">
        <v>45673</v>
      </c>
      <c r="C267" s="10" t="inlineStr">
        <is>
          <t>CITY'SUPER CENTRAL</t>
        </is>
      </c>
      <c r="D267" s="10">
        <f>IFERROR(INDEX('Review Items'!$D:$D,MATCH(C267,'Review Items'!$B:$B,0)),IFERROR(INDEX('Rule Updates'!$B:$B,MATCH(C267,'Rule Updates'!$A:$A,0)),"Uncategorised"))</f>
        <v/>
      </c>
      <c r="E267" s="10">
        <f>IFERROR(INDEX('Review Items'!$E:$E,MATCH(C267,'Review Items'!$B:$B,0)),IFERROR(INDEX('Rule Updates'!$C:$C,MATCH(C267,'Rule Updates'!$A:$A,0)),"Review"))</f>
        <v/>
      </c>
      <c r="F267" s="10" t="n"/>
      <c r="G267" s="12" t="n">
        <v>1676.6</v>
      </c>
      <c r="H267" s="10" t="n">
        <v>5</v>
      </c>
      <c r="I267" s="10">
        <f>IF(OR(D267="Uncategorised",E267=""),"Check","")</f>
        <v/>
      </c>
    </row>
    <row r="268">
      <c r="A268" s="10" t="inlineStr">
        <is>
          <t>Amex Jan-2025</t>
        </is>
      </c>
      <c r="B268" s="11" t="n">
        <v>45675</v>
      </c>
      <c r="C268" s="10" t="inlineStr">
        <is>
          <t>THE NET-A-PORTER GROUP HONG KONG</t>
        </is>
      </c>
      <c r="D268" s="10">
        <f>IFERROR(INDEX('Review Items'!$D:$D,MATCH(C268,'Review Items'!$B:$B,0)),IFERROR(INDEX('Rule Updates'!$B:$B,MATCH(C268,'Rule Updates'!$A:$A,0)),"Uncategorised"))</f>
        <v/>
      </c>
      <c r="E268" s="10">
        <f>IFERROR(INDEX('Review Items'!$E:$E,MATCH(C268,'Review Items'!$B:$B,0)),IFERROR(INDEX('Rule Updates'!$C:$C,MATCH(C268,'Rule Updates'!$A:$A,0)),"Review"))</f>
        <v/>
      </c>
      <c r="F268" s="10" t="n"/>
      <c r="G268" s="12" t="n">
        <v>76746.08</v>
      </c>
      <c r="H268" s="10" t="n">
        <v>5</v>
      </c>
      <c r="I268" s="10">
        <f>IF(OR(D268="Uncategorised",E268=""),"Check","")</f>
        <v/>
      </c>
    </row>
    <row r="269">
      <c r="A269" s="10" t="inlineStr">
        <is>
          <t>Amex Jan-2025</t>
        </is>
      </c>
      <c r="B269" s="11" t="n">
        <v>45676</v>
      </c>
      <c r="C269" s="10" t="inlineStr">
        <is>
          <t>APPLE.COM/BILL CUPERTINO</t>
        </is>
      </c>
      <c r="D269" s="10">
        <f>IFERROR(INDEX('Review Items'!$D:$D,MATCH(C269,'Review Items'!$B:$B,0)),IFERROR(INDEX('Rule Updates'!$B:$B,MATCH(C269,'Rule Updates'!$A:$A,0)),"Uncategorised"))</f>
        <v/>
      </c>
      <c r="E269" s="10">
        <f>IFERROR(INDEX('Review Items'!$E:$E,MATCH(C269,'Review Items'!$B:$B,0)),IFERROR(INDEX('Rule Updates'!$C:$C,MATCH(C269,'Rule Updates'!$A:$A,0)),"Review"))</f>
        <v/>
      </c>
      <c r="F269" s="12" t="n">
        <v>4.99</v>
      </c>
      <c r="G269" s="12" t="n">
        <v>39.63</v>
      </c>
      <c r="H269" s="10" t="n">
        <v>5</v>
      </c>
      <c r="I269" s="10">
        <f>IF(OR(D269="Uncategorised",E269=""),"Check","")</f>
        <v/>
      </c>
    </row>
    <row r="270">
      <c r="A270" s="10" t="inlineStr">
        <is>
          <t>Amex Jan-2025</t>
        </is>
      </c>
      <c r="B270" s="11" t="n">
        <v>45676</v>
      </c>
      <c r="C270" s="10" t="inlineStr">
        <is>
          <t>Apple Store 9815038161 HongKong</t>
        </is>
      </c>
      <c r="D270" s="10">
        <f>IFERROR(INDEX('Review Items'!$D:$D,MATCH(C270,'Review Items'!$B:$B,0)),IFERROR(INDEX('Rule Updates'!$B:$B,MATCH(C270,'Rule Updates'!$A:$A,0)),"Uncategorised"))</f>
        <v/>
      </c>
      <c r="E270" s="10">
        <f>IFERROR(INDEX('Review Items'!$E:$E,MATCH(C270,'Review Items'!$B:$B,0)),IFERROR(INDEX('Rule Updates'!$C:$C,MATCH(C270,'Rule Updates'!$A:$A,0)),"Review"))</f>
        <v/>
      </c>
      <c r="F270" s="10" t="n"/>
      <c r="G270" s="12" t="n">
        <v>1599</v>
      </c>
      <c r="H270" s="10" t="n">
        <v>6</v>
      </c>
      <c r="I270" s="10">
        <f>IF(OR(D270="Uncategorised",E270=""),"Check","")</f>
        <v/>
      </c>
    </row>
    <row r="271">
      <c r="A271" s="10" t="inlineStr">
        <is>
          <t>Amex Jan-2025</t>
        </is>
      </c>
      <c r="B271" s="11" t="n">
        <v>45676</v>
      </c>
      <c r="C271" s="10" t="inlineStr">
        <is>
          <t>ST REGIS MACAO - HOTEL MACAU</t>
        </is>
      </c>
      <c r="D271" s="10">
        <f>IFERROR(INDEX('Review Items'!$D:$D,MATCH(C271,'Review Items'!$B:$B,0)),IFERROR(INDEX('Rule Updates'!$B:$B,MATCH(C271,'Rule Updates'!$A:$A,0)),"Uncategorised"))</f>
        <v/>
      </c>
      <c r="E271" s="10">
        <f>IFERROR(INDEX('Review Items'!$E:$E,MATCH(C271,'Review Items'!$B:$B,0)),IFERROR(INDEX('Rule Updates'!$C:$C,MATCH(C271,'Rule Updates'!$A:$A,0)),"Review"))</f>
        <v/>
      </c>
      <c r="F271" s="12" t="n">
        <v>6.076</v>
      </c>
      <c r="G271" s="12" t="n">
        <v>5904.96</v>
      </c>
      <c r="H271" s="10" t="n">
        <v>6</v>
      </c>
      <c r="I271" s="10">
        <f>IF(OR(D271="Uncategorised",E271=""),"Check","")</f>
        <v/>
      </c>
    </row>
    <row r="272">
      <c r="A272" s="10" t="inlineStr">
        <is>
          <t>Amex Jan-2025</t>
        </is>
      </c>
      <c r="B272" s="11" t="n">
        <v>45676</v>
      </c>
      <c r="C272" s="10" t="inlineStr">
        <is>
          <t>THE DAIRY FARM - MANNIN CENTRAL</t>
        </is>
      </c>
      <c r="D272" s="10">
        <f>IFERROR(INDEX('Review Items'!$D:$D,MATCH(C272,'Review Items'!$B:$B,0)),IFERROR(INDEX('Rule Updates'!$B:$B,MATCH(C272,'Rule Updates'!$A:$A,0)),"Uncategorised"))</f>
        <v/>
      </c>
      <c r="E272" s="10">
        <f>IFERROR(INDEX('Review Items'!$E:$E,MATCH(C272,'Review Items'!$B:$B,0)),IFERROR(INDEX('Rule Updates'!$C:$C,MATCH(C272,'Rule Updates'!$A:$A,0)),"Review"))</f>
        <v/>
      </c>
      <c r="F272" s="10" t="n"/>
      <c r="G272" s="12" t="n">
        <v>914</v>
      </c>
      <c r="H272" s="10" t="n">
        <v>6</v>
      </c>
      <c r="I272" s="10">
        <f>IF(OR(D272="Uncategorised",E272=""),"Check","")</f>
        <v/>
      </c>
    </row>
    <row r="273">
      <c r="A273" s="10" t="inlineStr">
        <is>
          <t>Amex Jan-2025</t>
        </is>
      </c>
      <c r="B273" s="11" t="n">
        <v>45676</v>
      </c>
      <c r="C273" s="10" t="inlineStr">
        <is>
          <t>THE DAIRY FARM - MANNIN CENTRAL</t>
        </is>
      </c>
      <c r="D273" s="10">
        <f>IFERROR(INDEX('Review Items'!$D:$D,MATCH(C273,'Review Items'!$B:$B,0)),IFERROR(INDEX('Rule Updates'!$B:$B,MATCH(C273,'Rule Updates'!$A:$A,0)),"Uncategorised"))</f>
        <v/>
      </c>
      <c r="E273" s="10">
        <f>IFERROR(INDEX('Review Items'!$E:$E,MATCH(C273,'Review Items'!$B:$B,0)),IFERROR(INDEX('Rule Updates'!$C:$C,MATCH(C273,'Rule Updates'!$A:$A,0)),"Review"))</f>
        <v/>
      </c>
      <c r="F273" s="10" t="n"/>
      <c r="G273" s="12" t="n">
        <v>899.6</v>
      </c>
      <c r="H273" s="10" t="n">
        <v>6</v>
      </c>
      <c r="I273" s="10">
        <f>IF(OR(D273="Uncategorised",E273=""),"Check","")</f>
        <v/>
      </c>
    </row>
    <row r="274">
      <c r="A274" s="10" t="inlineStr">
        <is>
          <t>Amex Jan-2025</t>
        </is>
      </c>
      <c r="B274" s="11" t="n">
        <v>45679</v>
      </c>
      <c r="C274" s="10" t="inlineStr">
        <is>
          <t>KATES BREAD OJAI</t>
        </is>
      </c>
      <c r="D274" s="10">
        <f>IFERROR(INDEX('Review Items'!$D:$D,MATCH(C274,'Review Items'!$B:$B,0)),IFERROR(INDEX('Rule Updates'!$B:$B,MATCH(C274,'Rule Updates'!$A:$A,0)),"Uncategorised"))</f>
        <v/>
      </c>
      <c r="E274" s="10">
        <f>IFERROR(INDEX('Review Items'!$E:$E,MATCH(C274,'Review Items'!$B:$B,0)),IFERROR(INDEX('Rule Updates'!$C:$C,MATCH(C274,'Rule Updates'!$A:$A,0)),"Review"))</f>
        <v/>
      </c>
      <c r="F274" s="12" t="n">
        <v>5</v>
      </c>
      <c r="G274" s="12" t="n">
        <v>39.71</v>
      </c>
      <c r="H274" s="10" t="n">
        <v>5</v>
      </c>
      <c r="I274" s="10">
        <f>IF(OR(D274="Uncategorised",E274=""),"Check","")</f>
        <v/>
      </c>
    </row>
    <row r="275">
      <c r="A275" s="10" t="inlineStr">
        <is>
          <t>Amex Jan-2025</t>
        </is>
      </c>
      <c r="B275" s="11" t="n">
        <v>45679</v>
      </c>
      <c r="C275" s="10" t="inlineStr">
        <is>
          <t>NEIGHBORHOOD CENTRAL</t>
        </is>
      </c>
      <c r="D275" s="10">
        <f>IFERROR(INDEX('Review Items'!$D:$D,MATCH(C275,'Review Items'!$B:$B,0)),IFERROR(INDEX('Rule Updates'!$B:$B,MATCH(C275,'Rule Updates'!$A:$A,0)),"Uncategorised"))</f>
        <v/>
      </c>
      <c r="E275" s="10">
        <f>IFERROR(INDEX('Review Items'!$E:$E,MATCH(C275,'Review Items'!$B:$B,0)),IFERROR(INDEX('Rule Updates'!$C:$C,MATCH(C275,'Rule Updates'!$A:$A,0)),"Review"))</f>
        <v/>
      </c>
      <c r="F275" s="10" t="n"/>
      <c r="G275" s="12" t="n">
        <v>21800</v>
      </c>
      <c r="H275" s="10" t="n">
        <v>5</v>
      </c>
      <c r="I275" s="10">
        <f>IF(OR(D275="Uncategorised",E275=""),"Check","")</f>
        <v/>
      </c>
    </row>
    <row r="276">
      <c r="A276" s="10" t="inlineStr">
        <is>
          <t>Amex Jan-2025</t>
        </is>
      </c>
      <c r="B276" s="11" t="n">
        <v>45679</v>
      </c>
      <c r="C276" s="10" t="inlineStr">
        <is>
          <t>UNIQLO HONG KONG LIMITE TSIM SHA TSUI</t>
        </is>
      </c>
      <c r="D276" s="10">
        <f>IFERROR(INDEX('Review Items'!$D:$D,MATCH(C276,'Review Items'!$B:$B,0)),IFERROR(INDEX('Rule Updates'!$B:$B,MATCH(C276,'Rule Updates'!$A:$A,0)),"Uncategorised"))</f>
        <v/>
      </c>
      <c r="E276" s="10">
        <f>IFERROR(INDEX('Review Items'!$E:$E,MATCH(C276,'Review Items'!$B:$B,0)),IFERROR(INDEX('Rule Updates'!$C:$C,MATCH(C276,'Rule Updates'!$A:$A,0)),"Review"))</f>
        <v/>
      </c>
      <c r="F276" s="10" t="n"/>
      <c r="G276" s="12" t="n">
        <v>793</v>
      </c>
      <c r="H276" s="10" t="n">
        <v>5</v>
      </c>
      <c r="I276" s="10">
        <f>IF(OR(D276="Uncategorised",E276=""),"Check","")</f>
        <v/>
      </c>
    </row>
    <row r="277">
      <c r="A277" s="10" t="inlineStr">
        <is>
          <t>Amex Jan-2025</t>
        </is>
      </c>
      <c r="B277" s="11" t="n">
        <v>45680</v>
      </c>
      <c r="C277" s="10" t="inlineStr">
        <is>
          <t>CITY'SUPER CENTRAL</t>
        </is>
      </c>
      <c r="D277" s="10">
        <f>IFERROR(INDEX('Review Items'!$D:$D,MATCH(C277,'Review Items'!$B:$B,0)),IFERROR(INDEX('Rule Updates'!$B:$B,MATCH(C277,'Rule Updates'!$A:$A,0)),"Uncategorised"))</f>
        <v/>
      </c>
      <c r="E277" s="10">
        <f>IFERROR(INDEX('Review Items'!$E:$E,MATCH(C277,'Review Items'!$B:$B,0)),IFERROR(INDEX('Rule Updates'!$C:$C,MATCH(C277,'Rule Updates'!$A:$A,0)),"Review"))</f>
        <v/>
      </c>
      <c r="F277" s="10" t="n"/>
      <c r="G277" s="12" t="n">
        <v>3505</v>
      </c>
      <c r="H277" s="10" t="n">
        <v>5</v>
      </c>
      <c r="I277" s="10">
        <f>IF(OR(D277="Uncategorised",E277=""),"Check","")</f>
        <v/>
      </c>
    </row>
    <row r="278">
      <c r="A278" s="10" t="inlineStr">
        <is>
          <t>Amex Jan-2025</t>
        </is>
      </c>
      <c r="B278" s="11" t="n">
        <v>45680</v>
      </c>
      <c r="C278" s="10" t="inlineStr">
        <is>
          <t>IL COLPO PACIFIC PLACE ADMIRALTY</t>
        </is>
      </c>
      <c r="D278" s="10">
        <f>IFERROR(INDEX('Review Items'!$D:$D,MATCH(C278,'Review Items'!$B:$B,0)),IFERROR(INDEX('Rule Updates'!$B:$B,MATCH(C278,'Rule Updates'!$A:$A,0)),"Uncategorised"))</f>
        <v/>
      </c>
      <c r="E278" s="10">
        <f>IFERROR(INDEX('Review Items'!$E:$E,MATCH(C278,'Review Items'!$B:$B,0)),IFERROR(INDEX('Rule Updates'!$C:$C,MATCH(C278,'Rule Updates'!$A:$A,0)),"Review"))</f>
        <v/>
      </c>
      <c r="F278" s="10" t="n"/>
      <c r="G278" s="12" t="n">
        <v>4680</v>
      </c>
      <c r="H278" s="10" t="n">
        <v>5</v>
      </c>
      <c r="I278" s="10">
        <f>IF(OR(D278="Uncategorised",E278=""),"Check","")</f>
        <v/>
      </c>
    </row>
    <row r="279">
      <c r="A279" s="10" t="inlineStr">
        <is>
          <t>Amex Jan-2025</t>
        </is>
      </c>
      <c r="B279" s="11" t="n">
        <v>45680</v>
      </c>
      <c r="C279" s="10" t="inlineStr">
        <is>
          <t>ON HONG KONG LTD. WAN CHAI</t>
        </is>
      </c>
      <c r="D279" s="10">
        <f>IFERROR(INDEX('Review Items'!$D:$D,MATCH(C279,'Review Items'!$B:$B,0)),IFERROR(INDEX('Rule Updates'!$B:$B,MATCH(C279,'Rule Updates'!$A:$A,0)),"Uncategorised"))</f>
        <v/>
      </c>
      <c r="E279" s="10">
        <f>IFERROR(INDEX('Review Items'!$E:$E,MATCH(C279,'Review Items'!$B:$B,0)),IFERROR(INDEX('Rule Updates'!$C:$C,MATCH(C279,'Rule Updates'!$A:$A,0)),"Review"))</f>
        <v/>
      </c>
      <c r="F279" s="10" t="n"/>
      <c r="G279" s="12" t="n">
        <v>1290</v>
      </c>
      <c r="H279" s="10" t="n">
        <v>5</v>
      </c>
      <c r="I279" s="10">
        <f>IF(OR(D279="Uncategorised",E279=""),"Check","")</f>
        <v/>
      </c>
    </row>
    <row r="280">
      <c r="A280" s="10" t="inlineStr">
        <is>
          <t>Amex Jan-2025</t>
        </is>
      </c>
      <c r="B280" s="11" t="n">
        <v>45680</v>
      </c>
      <c r="C280" s="10" t="inlineStr">
        <is>
          <t>STOCKXX*14576436151932 PHILADELPHIA</t>
        </is>
      </c>
      <c r="D280" s="10">
        <f>IFERROR(INDEX('Review Items'!$D:$D,MATCH(C280,'Review Items'!$B:$B,0)),IFERROR(INDEX('Rule Updates'!$B:$B,MATCH(C280,'Rule Updates'!$A:$A,0)),"Uncategorised"))</f>
        <v/>
      </c>
      <c r="E280" s="10">
        <f>IFERROR(INDEX('Review Items'!$E:$E,MATCH(C280,'Review Items'!$B:$B,0)),IFERROR(INDEX('Rule Updates'!$C:$C,MATCH(C280,'Rule Updates'!$A:$A,0)),"Review"))</f>
        <v/>
      </c>
      <c r="F280" s="12" t="n">
        <v>139.15</v>
      </c>
      <c r="G280" s="12" t="n">
        <v>1105.61</v>
      </c>
      <c r="H280" s="10" t="n">
        <v>5</v>
      </c>
      <c r="I280" s="10">
        <f>IF(OR(D280="Uncategorised",E280=""),"Check","")</f>
        <v/>
      </c>
    </row>
    <row r="281">
      <c r="A281" s="10" t="inlineStr">
        <is>
          <t>Amex Jan-2025</t>
        </is>
      </c>
      <c r="B281" s="11" t="n">
        <v>45681</v>
      </c>
      <c r="C281" s="10" t="inlineStr">
        <is>
          <t>KPAY*LEMON KING 0000000 HONG KONG</t>
        </is>
      </c>
      <c r="D281" s="10">
        <f>IFERROR(INDEX('Review Items'!$D:$D,MATCH(C281,'Review Items'!$B:$B,0)),IFERROR(INDEX('Rule Updates'!$B:$B,MATCH(C281,'Rule Updates'!$A:$A,0)),"Uncategorised"))</f>
        <v/>
      </c>
      <c r="E281" s="10">
        <f>IFERROR(INDEX('Review Items'!$E:$E,MATCH(C281,'Review Items'!$B:$B,0)),IFERROR(INDEX('Rule Updates'!$C:$C,MATCH(C281,'Rule Updates'!$A:$A,0)),"Review"))</f>
        <v/>
      </c>
      <c r="F281" s="10" t="n"/>
      <c r="G281" s="12" t="n">
        <v>731</v>
      </c>
      <c r="H281" s="10" t="n">
        <v>5</v>
      </c>
      <c r="I281" s="10">
        <f>IF(OR(D281="Uncategorised",E281=""),"Check","")</f>
        <v/>
      </c>
    </row>
    <row r="282">
      <c r="A282" s="10" t="inlineStr">
        <is>
          <t>Amex Jan-2025</t>
        </is>
      </c>
      <c r="B282" s="11" t="n">
        <v>45681</v>
      </c>
      <c r="C282" s="10" t="inlineStr">
        <is>
          <t>SHANGHAI FOOD LIMITED CENTRAL</t>
        </is>
      </c>
      <c r="D282" s="10">
        <f>IFERROR(INDEX('Review Items'!$D:$D,MATCH(C282,'Review Items'!$B:$B,0)),IFERROR(INDEX('Rule Updates'!$B:$B,MATCH(C282,'Rule Updates'!$A:$A,0)),"Uncategorised"))</f>
        <v/>
      </c>
      <c r="E282" s="10">
        <f>IFERROR(INDEX('Review Items'!$E:$E,MATCH(C282,'Review Items'!$B:$B,0)),IFERROR(INDEX('Rule Updates'!$C:$C,MATCH(C282,'Rule Updates'!$A:$A,0)),"Review"))</f>
        <v/>
      </c>
      <c r="F282" s="10" t="n"/>
      <c r="G282" s="12" t="n">
        <v>1252</v>
      </c>
      <c r="H282" s="10" t="n">
        <v>5</v>
      </c>
      <c r="I282" s="10">
        <f>IF(OR(D282="Uncategorised",E282=""),"Check","")</f>
        <v/>
      </c>
    </row>
    <row r="283">
      <c r="A283" s="10" t="inlineStr">
        <is>
          <t>Amex Jan-2025</t>
        </is>
      </c>
      <c r="B283" s="11" t="n">
        <v>45683</v>
      </c>
      <c r="C283" s="10" t="inlineStr">
        <is>
          <t>CITY'SUPER CENTRAL</t>
        </is>
      </c>
      <c r="D283" s="10">
        <f>IFERROR(INDEX('Review Items'!$D:$D,MATCH(C283,'Review Items'!$B:$B,0)),IFERROR(INDEX('Rule Updates'!$B:$B,MATCH(C283,'Rule Updates'!$A:$A,0)),"Uncategorised"))</f>
        <v/>
      </c>
      <c r="E283" s="10">
        <f>IFERROR(INDEX('Review Items'!$E:$E,MATCH(C283,'Review Items'!$B:$B,0)),IFERROR(INDEX('Rule Updates'!$C:$C,MATCH(C283,'Rule Updates'!$A:$A,0)),"Review"))</f>
        <v/>
      </c>
      <c r="F283" s="10" t="n"/>
      <c r="G283" s="12" t="n">
        <v>1640.3</v>
      </c>
      <c r="H283" s="10" t="n">
        <v>6</v>
      </c>
      <c r="I283" s="10">
        <f>IF(OR(D283="Uncategorised",E283=""),"Check","")</f>
        <v/>
      </c>
    </row>
    <row r="284">
      <c r="A284" s="10" t="inlineStr">
        <is>
          <t>Amex Jan-2025</t>
        </is>
      </c>
      <c r="B284" s="11" t="n">
        <v>45683</v>
      </c>
      <c r="C284" s="10" t="inlineStr">
        <is>
          <t>FARFETCH LONDON</t>
        </is>
      </c>
      <c r="D284" s="10">
        <f>IFERROR(INDEX('Review Items'!$D:$D,MATCH(C284,'Review Items'!$B:$B,0)),IFERROR(INDEX('Rule Updates'!$B:$B,MATCH(C284,'Rule Updates'!$A:$A,0)),"Uncategorised"))</f>
        <v/>
      </c>
      <c r="E284" s="10">
        <f>IFERROR(INDEX('Review Items'!$E:$E,MATCH(C284,'Review Items'!$B:$B,0)),IFERROR(INDEX('Rule Updates'!$C:$C,MATCH(C284,'Rule Updates'!$A:$A,0)),"Review"))</f>
        <v/>
      </c>
      <c r="F284" s="10" t="n"/>
      <c r="G284" s="12" t="n">
        <v>20753</v>
      </c>
      <c r="H284" s="10" t="n">
        <v>5</v>
      </c>
      <c r="I284" s="10">
        <f>IF(OR(D284="Uncategorised",E284=""),"Check","")</f>
        <v/>
      </c>
    </row>
    <row r="285">
      <c r="A285" s="10" t="inlineStr">
        <is>
          <t>Amex Mar-2025</t>
        </is>
      </c>
      <c r="B285" s="11" t="n">
        <v>45714</v>
      </c>
      <c r="C285" s="10" t="inlineStr">
        <is>
          <t>AMV RETAIL ASIA HONG KO ADMIRALTY</t>
        </is>
      </c>
      <c r="D285" s="10">
        <f>IFERROR(INDEX('Review Items'!$D:$D,MATCH(C285,'Review Items'!$B:$B,0)),IFERROR(INDEX('Rule Updates'!$B:$B,MATCH(C285,'Rule Updates'!$A:$A,0)),"Uncategorised"))</f>
        <v/>
      </c>
      <c r="E285" s="10">
        <f>IFERROR(INDEX('Review Items'!$E:$E,MATCH(C285,'Review Items'!$B:$B,0)),IFERROR(INDEX('Rule Updates'!$C:$C,MATCH(C285,'Rule Updates'!$A:$A,0)),"Review"))</f>
        <v/>
      </c>
      <c r="F285" s="10" t="n"/>
      <c r="G285" s="12" t="n">
        <v>1800</v>
      </c>
      <c r="H285" s="10" t="n">
        <v>1</v>
      </c>
      <c r="I285" s="10">
        <f>IF(OR(D285="Uncategorised",E285=""),"Check","")</f>
        <v/>
      </c>
    </row>
    <row r="286">
      <c r="A286" s="10" t="inlineStr">
        <is>
          <t>Amex Mar-2025</t>
        </is>
      </c>
      <c r="B286" s="11" t="n">
        <v>45714</v>
      </c>
      <c r="C286" s="10" t="inlineStr">
        <is>
          <t>PONTI WINE CELLARS 0000 HONG KONG</t>
        </is>
      </c>
      <c r="D286" s="10">
        <f>IFERROR(INDEX('Review Items'!$D:$D,MATCH(C286,'Review Items'!$B:$B,0)),IFERROR(INDEX('Rule Updates'!$B:$B,MATCH(C286,'Rule Updates'!$A:$A,0)),"Uncategorised"))</f>
        <v/>
      </c>
      <c r="E286" s="10">
        <f>IFERROR(INDEX('Review Items'!$E:$E,MATCH(C286,'Review Items'!$B:$B,0)),IFERROR(INDEX('Rule Updates'!$C:$C,MATCH(C286,'Rule Updates'!$A:$A,0)),"Review"))</f>
        <v/>
      </c>
      <c r="F286" s="10" t="n"/>
      <c r="G286" s="12" t="n">
        <v>14742</v>
      </c>
      <c r="H286" s="10" t="n">
        <v>1</v>
      </c>
      <c r="I286" s="10">
        <f>IF(OR(D286="Uncategorised",E286=""),"Check","")</f>
        <v/>
      </c>
    </row>
    <row r="287">
      <c r="A287" s="10" t="inlineStr">
        <is>
          <t>Amex Mar-2025</t>
        </is>
      </c>
      <c r="B287" s="11" t="n">
        <v>45714</v>
      </c>
      <c r="C287" s="10" t="inlineStr">
        <is>
          <t>WHALE Club HK</t>
        </is>
      </c>
      <c r="D287" s="10">
        <f>IFERROR(INDEX('Review Items'!$D:$D,MATCH(C287,'Review Items'!$B:$B,0)),IFERROR(INDEX('Rule Updates'!$B:$B,MATCH(C287,'Rule Updates'!$A:$A,0)),"Uncategorised"))</f>
        <v/>
      </c>
      <c r="E287" s="10">
        <f>IFERROR(INDEX('Review Items'!$E:$E,MATCH(C287,'Review Items'!$B:$B,0)),IFERROR(INDEX('Rule Updates'!$C:$C,MATCH(C287,'Rule Updates'!$A:$A,0)),"Review"))</f>
        <v/>
      </c>
      <c r="F287" s="10" t="n"/>
      <c r="G287" s="12" t="n">
        <v>7379</v>
      </c>
      <c r="H287" s="10" t="n">
        <v>1</v>
      </c>
      <c r="I287" s="10">
        <f>IF(OR(D287="Uncategorised",E287=""),"Check","")</f>
        <v/>
      </c>
    </row>
    <row r="288">
      <c r="A288" s="10" t="inlineStr">
        <is>
          <t>Amex Mar-2025</t>
        </is>
      </c>
      <c r="B288" s="11" t="n">
        <v>45717</v>
      </c>
      <c r="C288" s="10" t="inlineStr">
        <is>
          <t>AMAZON PRIME*0F9FD4PG3 AMZN.COM/BILL</t>
        </is>
      </c>
      <c r="D288" s="10">
        <f>IFERROR(INDEX('Review Items'!$D:$D,MATCH(C288,'Review Items'!$B:$B,0)),IFERROR(INDEX('Rule Updates'!$B:$B,MATCH(C288,'Rule Updates'!$A:$A,0)),"Uncategorised"))</f>
        <v/>
      </c>
      <c r="E288" s="10">
        <f>IFERROR(INDEX('Review Items'!$E:$E,MATCH(C288,'Review Items'!$B:$B,0)),IFERROR(INDEX('Rule Updates'!$C:$C,MATCH(C288,'Rule Updates'!$A:$A,0)),"Review"))</f>
        <v/>
      </c>
      <c r="F288" s="12" t="n">
        <v>14.99</v>
      </c>
      <c r="G288" s="12" t="n">
        <v>118.95</v>
      </c>
      <c r="H288" s="10" t="n">
        <v>1</v>
      </c>
      <c r="I288" s="10">
        <f>IF(OR(D288="Uncategorised",E288=""),"Check","")</f>
        <v/>
      </c>
    </row>
    <row r="289">
      <c r="A289" s="10" t="inlineStr">
        <is>
          <t>Amex Mar-2025</t>
        </is>
      </c>
      <c r="B289" s="11" t="n">
        <v>45717</v>
      </c>
      <c r="C289" s="10" t="inlineStr">
        <is>
          <t>LAWSON *</t>
        </is>
      </c>
      <c r="D289" s="10">
        <f>IFERROR(INDEX('Review Items'!$D:$D,MATCH(C289,'Review Items'!$B:$B,0)),IFERROR(INDEX('Rule Updates'!$B:$B,MATCH(C289,'Rule Updates'!$A:$A,0)),"Uncategorised"))</f>
        <v/>
      </c>
      <c r="E289" s="10">
        <f>IFERROR(INDEX('Review Items'!$E:$E,MATCH(C289,'Review Items'!$B:$B,0)),IFERROR(INDEX('Rule Updates'!$C:$C,MATCH(C289,'Rule Updates'!$A:$A,0)),"Review"))</f>
        <v/>
      </c>
      <c r="F289" s="12" t="n">
        <v>3682</v>
      </c>
      <c r="G289" s="12" t="n">
        <v>194.54</v>
      </c>
      <c r="H289" s="10" t="n">
        <v>1</v>
      </c>
      <c r="I289" s="10">
        <f>IF(OR(D289="Uncategorised",E289=""),"Check","")</f>
        <v/>
      </c>
    </row>
    <row r="290">
      <c r="A290" s="10" t="inlineStr">
        <is>
          <t>Amex Mar-2025</t>
        </is>
      </c>
      <c r="B290" s="11" t="n">
        <v>45717</v>
      </c>
      <c r="C290" s="10" t="inlineStr">
        <is>
          <t>LAWSON *</t>
        </is>
      </c>
      <c r="D290" s="10">
        <f>IFERROR(INDEX('Review Items'!$D:$D,MATCH(C290,'Review Items'!$B:$B,0)),IFERROR(INDEX('Rule Updates'!$B:$B,MATCH(C290,'Rule Updates'!$A:$A,0)),"Uncategorised"))</f>
        <v/>
      </c>
      <c r="E290" s="10">
        <f>IFERROR(INDEX('Review Items'!$E:$E,MATCH(C290,'Review Items'!$B:$B,0)),IFERROR(INDEX('Rule Updates'!$C:$C,MATCH(C290,'Rule Updates'!$A:$A,0)),"Review"))</f>
        <v/>
      </c>
      <c r="F290" s="12" t="n">
        <v>976</v>
      </c>
      <c r="G290" s="12" t="n">
        <v>51.57</v>
      </c>
      <c r="H290" s="10" t="n">
        <v>2</v>
      </c>
      <c r="I290" s="10">
        <f>IF(OR(D290="Uncategorised",E290=""),"Check","")</f>
        <v/>
      </c>
    </row>
    <row r="291">
      <c r="A291" s="10" t="inlineStr">
        <is>
          <t>Amex Mar-2025</t>
        </is>
      </c>
      <c r="B291" s="11" t="n">
        <v>45717</v>
      </c>
      <c r="C291" s="10" t="inlineStr">
        <is>
          <t>Rhythm Japan Base meng tian jun</t>
        </is>
      </c>
      <c r="D291" s="10">
        <f>IFERROR(INDEX('Review Items'!$D:$D,MATCH(C291,'Review Items'!$B:$B,0)),IFERROR(INDEX('Rule Updates'!$B:$B,MATCH(C291,'Rule Updates'!$A:$A,0)),"Uncategorised"))</f>
        <v/>
      </c>
      <c r="E291" s="10">
        <f>IFERROR(INDEX('Review Items'!$E:$E,MATCH(C291,'Review Items'!$B:$B,0)),IFERROR(INDEX('Rule Updates'!$C:$C,MATCH(C291,'Rule Updates'!$A:$A,0)),"Review"))</f>
        <v/>
      </c>
      <c r="F291" s="12" t="n">
        <v>28930</v>
      </c>
      <c r="G291" s="12" t="n">
        <v>1528.58</v>
      </c>
      <c r="H291" s="10" t="n">
        <v>1</v>
      </c>
      <c r="I291" s="10">
        <f>IF(OR(D291="Uncategorised",E291=""),"Check","")</f>
        <v/>
      </c>
    </row>
    <row r="292">
      <c r="A292" s="10" t="inlineStr">
        <is>
          <t>Amex Mar-2025</t>
        </is>
      </c>
      <c r="B292" s="11" t="n">
        <v>45717</v>
      </c>
      <c r="C292" s="10" t="inlineStr">
        <is>
          <t>Rhythm Niseko Setsu meng tian jun</t>
        </is>
      </c>
      <c r="D292" s="10">
        <f>IFERROR(INDEX('Review Items'!$D:$D,MATCH(C292,'Review Items'!$B:$B,0)),IFERROR(INDEX('Rule Updates'!$B:$B,MATCH(C292,'Rule Updates'!$A:$A,0)),"Uncategorised"))</f>
        <v/>
      </c>
      <c r="E292" s="10">
        <f>IFERROR(INDEX('Review Items'!$E:$E,MATCH(C292,'Review Items'!$B:$B,0)),IFERROR(INDEX('Rule Updates'!$C:$C,MATCH(C292,'Rule Updates'!$A:$A,0)),"Review"))</f>
        <v/>
      </c>
      <c r="F292" s="12" t="n">
        <v>37500</v>
      </c>
      <c r="G292" s="12" t="n">
        <v>1981.37</v>
      </c>
      <c r="H292" s="10" t="n">
        <v>1</v>
      </c>
      <c r="I292" s="10">
        <f>IF(OR(D292="Uncategorised",E292=""),"Check","")</f>
        <v/>
      </c>
    </row>
    <row r="293">
      <c r="A293" s="10" t="inlineStr">
        <is>
          <t>Amex Mar-2025</t>
        </is>
      </c>
      <c r="B293" s="11" t="n">
        <v>45718</v>
      </c>
      <c r="C293" s="10" t="inlineStr">
        <is>
          <t>NISEKOVILLA HOKKAIDO</t>
        </is>
      </c>
      <c r="D293" s="10">
        <f>IFERROR(INDEX('Review Items'!$D:$D,MATCH(C293,'Review Items'!$B:$B,0)),IFERROR(INDEX('Rule Updates'!$B:$B,MATCH(C293,'Rule Updates'!$A:$A,0)),"Uncategorised"))</f>
        <v/>
      </c>
      <c r="E293" s="10">
        <f>IFERROR(INDEX('Review Items'!$E:$E,MATCH(C293,'Review Items'!$B:$B,0)),IFERROR(INDEX('Rule Updates'!$C:$C,MATCH(C293,'Rule Updates'!$A:$A,0)),"Review"))</f>
        <v/>
      </c>
      <c r="F293" s="12" t="n">
        <v>7000</v>
      </c>
      <c r="G293" s="12" t="n">
        <v>370.34</v>
      </c>
      <c r="H293" s="10" t="n">
        <v>2</v>
      </c>
      <c r="I293" s="10">
        <f>IF(OR(D293="Uncategorised",E293=""),"Check","")</f>
        <v/>
      </c>
    </row>
    <row r="294">
      <c r="A294" s="10" t="inlineStr">
        <is>
          <t>Amex Mar-2025</t>
        </is>
      </c>
      <c r="B294" s="11" t="n">
        <v>45718</v>
      </c>
      <c r="C294" s="10" t="inlineStr">
        <is>
          <t>NisekoBion meng tian jun</t>
        </is>
      </c>
      <c r="D294" s="10">
        <f>IFERROR(INDEX('Review Items'!$D:$D,MATCH(C294,'Review Items'!$B:$B,0)),IFERROR(INDEX('Rule Updates'!$B:$B,MATCH(C294,'Rule Updates'!$A:$A,0)),"Uncategorised"))</f>
        <v/>
      </c>
      <c r="E294" s="10">
        <f>IFERROR(INDEX('Review Items'!$E:$E,MATCH(C294,'Review Items'!$B:$B,0)),IFERROR(INDEX('Rule Updates'!$C:$C,MATCH(C294,'Rule Updates'!$A:$A,0)),"Review"))</f>
        <v/>
      </c>
      <c r="F294" s="12" t="n">
        <v>108900</v>
      </c>
      <c r="G294" s="12" t="n">
        <v>5754.02</v>
      </c>
      <c r="H294" s="10" t="n">
        <v>2</v>
      </c>
      <c r="I294" s="10">
        <f>IF(OR(D294="Uncategorised",E294=""),"Check","")</f>
        <v/>
      </c>
    </row>
    <row r="295">
      <c r="A295" s="10" t="inlineStr">
        <is>
          <t>Amex Mar-2025</t>
        </is>
      </c>
      <c r="B295" s="11" t="n">
        <v>45718</v>
      </c>
      <c r="C295" s="10" t="inlineStr">
        <is>
          <t>RAKUTENPAY BARISTART CO HOKKAIDO</t>
        </is>
      </c>
      <c r="D295" s="10">
        <f>IFERROR(INDEX('Review Items'!$D:$D,MATCH(C295,'Review Items'!$B:$B,0)),IFERROR(INDEX('Rule Updates'!$B:$B,MATCH(C295,'Rule Updates'!$A:$A,0)),"Uncategorised"))</f>
        <v/>
      </c>
      <c r="E295" s="10">
        <f>IFERROR(INDEX('Review Items'!$E:$E,MATCH(C295,'Review Items'!$B:$B,0)),IFERROR(INDEX('Rule Updates'!$C:$C,MATCH(C295,'Rule Updates'!$A:$A,0)),"Review"))</f>
        <v/>
      </c>
      <c r="F295" s="12" t="n">
        <v>1200</v>
      </c>
      <c r="G295" s="12" t="n">
        <v>64.14</v>
      </c>
      <c r="H295" s="10" t="n">
        <v>2</v>
      </c>
      <c r="I295" s="10">
        <f>IF(OR(D295="Uncategorised",E295=""),"Check","")</f>
        <v/>
      </c>
    </row>
    <row r="296">
      <c r="A296" s="10" t="inlineStr">
        <is>
          <t>Amex Mar-2025</t>
        </is>
      </c>
      <c r="B296" s="11" t="n">
        <v>45719</v>
      </c>
      <c r="C296" s="10" t="inlineStr">
        <is>
          <t>AMAZON PRIME*R222J4AJ4 AMZN.CO.UK/PM</t>
        </is>
      </c>
      <c r="D296" s="10">
        <f>IFERROR(INDEX('Review Items'!$D:$D,MATCH(C296,'Review Items'!$B:$B,0)),IFERROR(INDEX('Rule Updates'!$B:$B,MATCH(C296,'Rule Updates'!$A:$A,0)),"Uncategorised"))</f>
        <v/>
      </c>
      <c r="E296" s="10">
        <f>IFERROR(INDEX('Review Items'!$E:$E,MATCH(C296,'Review Items'!$B:$B,0)),IFERROR(INDEX('Rule Updates'!$C:$C,MATCH(C296,'Rule Updates'!$A:$A,0)),"Review"))</f>
        <v/>
      </c>
      <c r="F296" s="12" t="n">
        <v>8.99</v>
      </c>
      <c r="G296" s="12" t="n">
        <v>90.05</v>
      </c>
      <c r="H296" s="10" t="n">
        <v>2</v>
      </c>
      <c r="I296" s="10">
        <f>IF(OR(D296="Uncategorised",E296=""),"Check","")</f>
        <v/>
      </c>
    </row>
    <row r="297">
      <c r="A297" s="10" t="inlineStr">
        <is>
          <t>Amex Mar-2025</t>
        </is>
      </c>
      <c r="B297" s="11" t="n">
        <v>45719</v>
      </c>
      <c r="C297" s="10" t="inlineStr">
        <is>
          <t>DELSOLE Niseko, K.K. meng tian jun</t>
        </is>
      </c>
      <c r="D297" s="10">
        <f>IFERROR(INDEX('Review Items'!$D:$D,MATCH(C297,'Review Items'!$B:$B,0)),IFERROR(INDEX('Rule Updates'!$B:$B,MATCH(C297,'Rule Updates'!$A:$A,0)),"Uncategorised"))</f>
        <v/>
      </c>
      <c r="E297" s="10">
        <f>IFERROR(INDEX('Review Items'!$E:$E,MATCH(C297,'Review Items'!$B:$B,0)),IFERROR(INDEX('Rule Updates'!$C:$C,MATCH(C297,'Rule Updates'!$A:$A,0)),"Review"))</f>
        <v/>
      </c>
      <c r="F297" s="12" t="n">
        <v>12815</v>
      </c>
      <c r="G297" s="12" t="n">
        <v>677.09</v>
      </c>
      <c r="H297" s="10" t="n">
        <v>2</v>
      </c>
      <c r="I297" s="10">
        <f>IF(OR(D297="Uncategorised",E297=""),"Check","")</f>
        <v/>
      </c>
    </row>
    <row r="298">
      <c r="A298" s="10" t="inlineStr">
        <is>
          <t>Amex Mar-2025</t>
        </is>
      </c>
      <c r="B298" s="11" t="n">
        <v>45719</v>
      </c>
      <c r="C298" s="10" t="inlineStr">
        <is>
          <t>HACHIRIKI TAXI HOKKAIDO</t>
        </is>
      </c>
      <c r="D298" s="10">
        <f>IFERROR(INDEX('Review Items'!$D:$D,MATCH(C298,'Review Items'!$B:$B,0)),IFERROR(INDEX('Rule Updates'!$B:$B,MATCH(C298,'Rule Updates'!$A:$A,0)),"Uncategorised"))</f>
        <v/>
      </c>
      <c r="E298" s="10">
        <f>IFERROR(INDEX('Review Items'!$E:$E,MATCH(C298,'Review Items'!$B:$B,0)),IFERROR(INDEX('Rule Updates'!$C:$C,MATCH(C298,'Rule Updates'!$A:$A,0)),"Review"))</f>
        <v/>
      </c>
      <c r="F298" s="12" t="n">
        <v>4700</v>
      </c>
      <c r="G298" s="12" t="n">
        <v>251.66</v>
      </c>
      <c r="H298" s="10" t="n">
        <v>3</v>
      </c>
      <c r="I298" s="10">
        <f>IF(OR(D298="Uncategorised",E298=""),"Check","")</f>
        <v/>
      </c>
    </row>
    <row r="299">
      <c r="A299" s="10" t="inlineStr">
        <is>
          <t>Amex Mar-2025</t>
        </is>
      </c>
      <c r="B299" s="11" t="n">
        <v>45719</v>
      </c>
      <c r="C299" s="10" t="inlineStr">
        <is>
          <t>HACHIRIKI TAXI HOKKAIDO</t>
        </is>
      </c>
      <c r="D299" s="10">
        <f>IFERROR(INDEX('Review Items'!$D:$D,MATCH(C299,'Review Items'!$B:$B,0)),IFERROR(INDEX('Rule Updates'!$B:$B,MATCH(C299,'Rule Updates'!$A:$A,0)),"Uncategorised"))</f>
        <v/>
      </c>
      <c r="E299" s="10">
        <f>IFERROR(INDEX('Review Items'!$E:$E,MATCH(C299,'Review Items'!$B:$B,0)),IFERROR(INDEX('Rule Updates'!$C:$C,MATCH(C299,'Rule Updates'!$A:$A,0)),"Review"))</f>
        <v/>
      </c>
      <c r="F299" s="12" t="n">
        <v>4700</v>
      </c>
      <c r="G299" s="12" t="n">
        <v>251.66</v>
      </c>
      <c r="H299" s="10" t="n">
        <v>3</v>
      </c>
      <c r="I299" s="10">
        <f>IF(OR(D299="Uncategorised",E299=""),"Check","")</f>
        <v/>
      </c>
    </row>
    <row r="300">
      <c r="A300" s="10" t="inlineStr">
        <is>
          <t>Amex Mar-2025</t>
        </is>
      </c>
      <c r="B300" s="11" t="n">
        <v>45719</v>
      </c>
      <c r="C300" s="10" t="inlineStr">
        <is>
          <t>NISEKOVILLA HOKKAIDO</t>
        </is>
      </c>
      <c r="D300" s="10">
        <f>IFERROR(INDEX('Review Items'!$D:$D,MATCH(C300,'Review Items'!$B:$B,0)),IFERROR(INDEX('Rule Updates'!$B:$B,MATCH(C300,'Rule Updates'!$A:$A,0)),"Uncategorised"))</f>
        <v/>
      </c>
      <c r="E300" s="10">
        <f>IFERROR(INDEX('Review Items'!$E:$E,MATCH(C300,'Review Items'!$B:$B,0)),IFERROR(INDEX('Rule Updates'!$C:$C,MATCH(C300,'Rule Updates'!$A:$A,0)),"Review"))</f>
        <v/>
      </c>
      <c r="F300" s="12" t="n">
        <v>9500</v>
      </c>
      <c r="G300" s="12" t="n">
        <v>508.72</v>
      </c>
      <c r="H300" s="10" t="n">
        <v>2</v>
      </c>
      <c r="I300" s="10">
        <f>IF(OR(D300="Uncategorised",E300=""),"Check","")</f>
        <v/>
      </c>
    </row>
    <row r="301">
      <c r="A301" s="10" t="inlineStr">
        <is>
          <t>Amex Mar-2025</t>
        </is>
      </c>
      <c r="B301" s="11" t="n">
        <v>45719</v>
      </c>
      <c r="C301" s="10" t="inlineStr">
        <is>
          <t>PARK HYATT Niseko CHINA *</t>
        </is>
      </c>
      <c r="D301" s="10">
        <f>IFERROR(INDEX('Review Items'!$D:$D,MATCH(C301,'Review Items'!$B:$B,0)),IFERROR(INDEX('Rule Updates'!$B:$B,MATCH(C301,'Rule Updates'!$A:$A,0)),"Uncategorised"))</f>
        <v/>
      </c>
      <c r="E301" s="10">
        <f>IFERROR(INDEX('Review Items'!$E:$E,MATCH(C301,'Review Items'!$B:$B,0)),IFERROR(INDEX('Rule Updates'!$C:$C,MATCH(C301,'Rule Updates'!$A:$A,0)),"Review"))</f>
        <v/>
      </c>
      <c r="F301" s="12" t="n">
        <v>15902</v>
      </c>
      <c r="G301" s="12" t="n">
        <v>841.33</v>
      </c>
      <c r="H301" s="10" t="n">
        <v>2</v>
      </c>
      <c r="I301" s="10">
        <f>IF(OR(D301="Uncategorised",E301=""),"Check","")</f>
        <v/>
      </c>
    </row>
    <row r="302">
      <c r="A302" s="10" t="inlineStr">
        <is>
          <t>Amex Mar-2025</t>
        </is>
      </c>
      <c r="B302" s="11" t="n">
        <v>45719</v>
      </c>
      <c r="C302" s="10" t="inlineStr">
        <is>
          <t>PAYPAL *LARQ 5106769438</t>
        </is>
      </c>
      <c r="D302" s="10">
        <f>IFERROR(INDEX('Review Items'!$D:$D,MATCH(C302,'Review Items'!$B:$B,0)),IFERROR(INDEX('Rule Updates'!$B:$B,MATCH(C302,'Rule Updates'!$A:$A,0)),"Uncategorised"))</f>
        <v/>
      </c>
      <c r="E302" s="10">
        <f>IFERROR(INDEX('Review Items'!$E:$E,MATCH(C302,'Review Items'!$B:$B,0)),IFERROR(INDEX('Rule Updates'!$C:$C,MATCH(C302,'Rule Updates'!$A:$A,0)),"Review"))</f>
        <v/>
      </c>
      <c r="F302" s="12" t="n">
        <v>28.48</v>
      </c>
      <c r="G302" s="12" t="n">
        <v>225.8</v>
      </c>
      <c r="H302" s="10" t="n">
        <v>3</v>
      </c>
      <c r="I302" s="10">
        <f>IF(OR(D302="Uncategorised",E302=""),"Check","")</f>
        <v/>
      </c>
    </row>
    <row r="303">
      <c r="A303" s="10" t="inlineStr">
        <is>
          <t>Amex Mar-2025</t>
        </is>
      </c>
      <c r="B303" s="11" t="n">
        <v>45719</v>
      </c>
      <c r="C303" s="10" t="inlineStr">
        <is>
          <t>Rhythm Niseko Setsu meng tian jun</t>
        </is>
      </c>
      <c r="D303" s="10">
        <f>IFERROR(INDEX('Review Items'!$D:$D,MATCH(C303,'Review Items'!$B:$B,0)),IFERROR(INDEX('Rule Updates'!$B:$B,MATCH(C303,'Rule Updates'!$A:$A,0)),"Uncategorised"))</f>
        <v/>
      </c>
      <c r="E303" s="10">
        <f>IFERROR(INDEX('Review Items'!$E:$E,MATCH(C303,'Review Items'!$B:$B,0)),IFERROR(INDEX('Rule Updates'!$C:$C,MATCH(C303,'Rule Updates'!$A:$A,0)),"Review"))</f>
        <v/>
      </c>
      <c r="F303" s="12" t="n">
        <v>4900</v>
      </c>
      <c r="G303" s="12" t="n">
        <v>258.88</v>
      </c>
      <c r="H303" s="10" t="n">
        <v>2</v>
      </c>
      <c r="I303" s="10">
        <f>IF(OR(D303="Uncategorised",E303=""),"Check","")</f>
        <v/>
      </c>
    </row>
    <row r="304">
      <c r="A304" s="10" t="inlineStr">
        <is>
          <t>Amex Mar-2025</t>
        </is>
      </c>
      <c r="B304" s="11" t="n">
        <v>45719</v>
      </c>
      <c r="C304" s="10" t="inlineStr">
        <is>
          <t>Rhythm Niseko Setsu meng tian jun</t>
        </is>
      </c>
      <c r="D304" s="10">
        <f>IFERROR(INDEX('Review Items'!$D:$D,MATCH(C304,'Review Items'!$B:$B,0)),IFERROR(INDEX('Rule Updates'!$B:$B,MATCH(C304,'Rule Updates'!$A:$A,0)),"Uncategorised"))</f>
        <v/>
      </c>
      <c r="E304" s="10">
        <f>IFERROR(INDEX('Review Items'!$E:$E,MATCH(C304,'Review Items'!$B:$B,0)),IFERROR(INDEX('Rule Updates'!$C:$C,MATCH(C304,'Rule Updates'!$A:$A,0)),"Review"))</f>
        <v/>
      </c>
      <c r="F304" s="12" t="n">
        <v>2900</v>
      </c>
      <c r="G304" s="12" t="n">
        <v>153.2</v>
      </c>
      <c r="H304" s="10" t="n">
        <v>2</v>
      </c>
      <c r="I304" s="10">
        <f>IF(OR(D304="Uncategorised",E304=""),"Check","")</f>
        <v/>
      </c>
    </row>
    <row r="305">
      <c r="A305" s="10" t="inlineStr">
        <is>
          <t>Amex Mar-2025</t>
        </is>
      </c>
      <c r="B305" s="11" t="n">
        <v>45720</v>
      </c>
      <c r="C305" s="10" t="inlineStr">
        <is>
          <t>LAWSON *</t>
        </is>
      </c>
      <c r="D305" s="10">
        <f>IFERROR(INDEX('Review Items'!$D:$D,MATCH(C305,'Review Items'!$B:$B,0)),IFERROR(INDEX('Rule Updates'!$B:$B,MATCH(C305,'Rule Updates'!$A:$A,0)),"Uncategorised"))</f>
        <v/>
      </c>
      <c r="E305" s="10">
        <f>IFERROR(INDEX('Review Items'!$E:$E,MATCH(C305,'Review Items'!$B:$B,0)),IFERROR(INDEX('Rule Updates'!$C:$C,MATCH(C305,'Rule Updates'!$A:$A,0)),"Review"))</f>
        <v/>
      </c>
      <c r="F305" s="12" t="n">
        <v>3591</v>
      </c>
      <c r="G305" s="12" t="n">
        <v>192.28</v>
      </c>
      <c r="H305" s="10" t="n">
        <v>3</v>
      </c>
      <c r="I305" s="10">
        <f>IF(OR(D305="Uncategorised",E305=""),"Check","")</f>
        <v/>
      </c>
    </row>
    <row r="306">
      <c r="A306" s="10" t="inlineStr">
        <is>
          <t>Amex Mar-2025</t>
        </is>
      </c>
      <c r="B306" s="11" t="n">
        <v>45720</v>
      </c>
      <c r="C306" s="10" t="inlineStr">
        <is>
          <t>Luke's Alpine Club meng tian jun</t>
        </is>
      </c>
      <c r="D306" s="10">
        <f>IFERROR(INDEX('Review Items'!$D:$D,MATCH(C306,'Review Items'!$B:$B,0)),IFERROR(INDEX('Rule Updates'!$B:$B,MATCH(C306,'Rule Updates'!$A:$A,0)),"Uncategorised"))</f>
        <v/>
      </c>
      <c r="E306" s="10">
        <f>IFERROR(INDEX('Review Items'!$E:$E,MATCH(C306,'Review Items'!$B:$B,0)),IFERROR(INDEX('Rule Updates'!$C:$C,MATCH(C306,'Rule Updates'!$A:$A,0)),"Review"))</f>
        <v/>
      </c>
      <c r="F306" s="12" t="n">
        <v>12100</v>
      </c>
      <c r="G306" s="12" t="n">
        <v>640.1799999999999</v>
      </c>
      <c r="H306" s="10" t="n">
        <v>3</v>
      </c>
      <c r="I306" s="10">
        <f>IF(OR(D306="Uncategorised",E306=""),"Check","")</f>
        <v/>
      </c>
    </row>
    <row r="307">
      <c r="A307" s="10" t="inlineStr">
        <is>
          <t>Amex Mar-2025</t>
        </is>
      </c>
      <c r="B307" s="11" t="n">
        <v>45720</v>
      </c>
      <c r="C307" s="10" t="inlineStr">
        <is>
          <t>RAKUTENPAY BARISTART CO HOKKAIDO</t>
        </is>
      </c>
      <c r="D307" s="10">
        <f>IFERROR(INDEX('Review Items'!$D:$D,MATCH(C307,'Review Items'!$B:$B,0)),IFERROR(INDEX('Rule Updates'!$B:$B,MATCH(C307,'Rule Updates'!$A:$A,0)),"Uncategorised"))</f>
        <v/>
      </c>
      <c r="E307" s="10">
        <f>IFERROR(INDEX('Review Items'!$E:$E,MATCH(C307,'Review Items'!$B:$B,0)),IFERROR(INDEX('Rule Updates'!$C:$C,MATCH(C307,'Rule Updates'!$A:$A,0)),"Review"))</f>
        <v/>
      </c>
      <c r="F307" s="12" t="n">
        <v>1000</v>
      </c>
      <c r="G307" s="12" t="n">
        <v>53.44</v>
      </c>
      <c r="H307" s="10" t="n">
        <v>3</v>
      </c>
      <c r="I307" s="10">
        <f>IF(OR(D307="Uncategorised",E307=""),"Check","")</f>
        <v/>
      </c>
    </row>
    <row r="308">
      <c r="A308" s="10" t="inlineStr">
        <is>
          <t>Amex Mar-2025</t>
        </is>
      </c>
      <c r="B308" s="11" t="n">
        <v>45720</v>
      </c>
      <c r="C308" s="10" t="inlineStr">
        <is>
          <t>RAKUTENPAY BARISTART CO HOKKAIDO</t>
        </is>
      </c>
      <c r="D308" s="10">
        <f>IFERROR(INDEX('Review Items'!$D:$D,MATCH(C308,'Review Items'!$B:$B,0)),IFERROR(INDEX('Rule Updates'!$B:$B,MATCH(C308,'Rule Updates'!$A:$A,0)),"Uncategorised"))</f>
        <v/>
      </c>
      <c r="E308" s="10">
        <f>IFERROR(INDEX('Review Items'!$E:$E,MATCH(C308,'Review Items'!$B:$B,0)),IFERROR(INDEX('Rule Updates'!$C:$C,MATCH(C308,'Rule Updates'!$A:$A,0)),"Review"))</f>
        <v/>
      </c>
      <c r="F308" s="12" t="n">
        <v>1100</v>
      </c>
      <c r="G308" s="12" t="n">
        <v>58.83</v>
      </c>
      <c r="H308" s="10" t="n">
        <v>3</v>
      </c>
      <c r="I308" s="10">
        <f>IF(OR(D308="Uncategorised",E308=""),"Check","")</f>
        <v/>
      </c>
    </row>
    <row r="309">
      <c r="A309" s="10" t="inlineStr">
        <is>
          <t>Amex Mar-2025</t>
        </is>
      </c>
      <c r="B309" s="11" t="n">
        <v>45720</v>
      </c>
      <c r="C309" s="10" t="inlineStr">
        <is>
          <t>RAKUTENPAY BARISTART CO HOKKAIDO</t>
        </is>
      </c>
      <c r="D309" s="10">
        <f>IFERROR(INDEX('Review Items'!$D:$D,MATCH(C309,'Review Items'!$B:$B,0)),IFERROR(INDEX('Rule Updates'!$B:$B,MATCH(C309,'Rule Updates'!$A:$A,0)),"Uncategorised"))</f>
        <v/>
      </c>
      <c r="E309" s="10">
        <f>IFERROR(INDEX('Review Items'!$E:$E,MATCH(C309,'Review Items'!$B:$B,0)),IFERROR(INDEX('Rule Updates'!$C:$C,MATCH(C309,'Rule Updates'!$A:$A,0)),"Review"))</f>
        <v/>
      </c>
      <c r="F309" s="12" t="n">
        <v>2100</v>
      </c>
      <c r="G309" s="12" t="n">
        <v>112.28</v>
      </c>
      <c r="H309" s="10" t="n">
        <v>3</v>
      </c>
      <c r="I309" s="10">
        <f>IF(OR(D309="Uncategorised",E309=""),"Check","")</f>
        <v/>
      </c>
    </row>
    <row r="310">
      <c r="A310" s="10" t="inlineStr">
        <is>
          <t>Amex Mar-2025</t>
        </is>
      </c>
      <c r="B310" s="11" t="n">
        <v>45720</v>
      </c>
      <c r="C310" s="10" t="inlineStr">
        <is>
          <t>RAKUTENPAY YUKARANISEKO HOKKAIDO</t>
        </is>
      </c>
      <c r="D310" s="10">
        <f>IFERROR(INDEX('Review Items'!$D:$D,MATCH(C310,'Review Items'!$B:$B,0)),IFERROR(INDEX('Rule Updates'!$B:$B,MATCH(C310,'Rule Updates'!$A:$A,0)),"Uncategorised"))</f>
        <v/>
      </c>
      <c r="E310" s="10">
        <f>IFERROR(INDEX('Review Items'!$E:$E,MATCH(C310,'Review Items'!$B:$B,0)),IFERROR(INDEX('Rule Updates'!$C:$C,MATCH(C310,'Rule Updates'!$A:$A,0)),"Review"))</f>
        <v/>
      </c>
      <c r="F310" s="12" t="n">
        <v>1130</v>
      </c>
      <c r="G310" s="12" t="n">
        <v>60.42</v>
      </c>
      <c r="H310" s="10" t="n">
        <v>3</v>
      </c>
      <c r="I310" s="10">
        <f>IF(OR(D310="Uncategorised",E310=""),"Check","")</f>
        <v/>
      </c>
    </row>
    <row r="311">
      <c r="A311" s="10" t="inlineStr">
        <is>
          <t>Amex Mar-2025</t>
        </is>
      </c>
      <c r="B311" s="11" t="n">
        <v>45720</v>
      </c>
      <c r="C311" s="10" t="inlineStr">
        <is>
          <t>Rhythm Niseko Setsu meng tian jun</t>
        </is>
      </c>
      <c r="D311" s="10">
        <f>IFERROR(INDEX('Review Items'!$D:$D,MATCH(C311,'Review Items'!$B:$B,0)),IFERROR(INDEX('Rule Updates'!$B:$B,MATCH(C311,'Rule Updates'!$A:$A,0)),"Uncategorised"))</f>
        <v/>
      </c>
      <c r="E311" s="10">
        <f>IFERROR(INDEX('Review Items'!$E:$E,MATCH(C311,'Review Items'!$B:$B,0)),IFERROR(INDEX('Rule Updates'!$C:$C,MATCH(C311,'Rule Updates'!$A:$A,0)),"Review"))</f>
        <v/>
      </c>
      <c r="F311" s="12" t="n">
        <v>41200</v>
      </c>
      <c r="G311" s="12" t="n">
        <v>2176.87</v>
      </c>
      <c r="H311" s="10" t="n">
        <v>3</v>
      </c>
      <c r="I311" s="10">
        <f>IF(OR(D311="Uncategorised",E311=""),"Check","")</f>
        <v/>
      </c>
    </row>
    <row r="312">
      <c r="A312" s="10" t="inlineStr">
        <is>
          <t>Amex Mar-2025</t>
        </is>
      </c>
      <c r="B312" s="11" t="n">
        <v>45720</v>
      </c>
      <c r="C312" s="10" t="inlineStr">
        <is>
          <t>Rikka Spa meng tian jun</t>
        </is>
      </c>
      <c r="D312" s="10">
        <f>IFERROR(INDEX('Review Items'!$D:$D,MATCH(C312,'Review Items'!$B:$B,0)),IFERROR(INDEX('Rule Updates'!$B:$B,MATCH(C312,'Rule Updates'!$A:$A,0)),"Uncategorised"))</f>
        <v/>
      </c>
      <c r="E312" s="10">
        <f>IFERROR(INDEX('Review Items'!$E:$E,MATCH(C312,'Review Items'!$B:$B,0)),IFERROR(INDEX('Rule Updates'!$C:$C,MATCH(C312,'Rule Updates'!$A:$A,0)),"Review"))</f>
        <v/>
      </c>
      <c r="F312" s="12" t="n">
        <v>2600</v>
      </c>
      <c r="G312" s="12" t="n">
        <v>137.53</v>
      </c>
      <c r="H312" s="10" t="n">
        <v>3</v>
      </c>
      <c r="I312" s="10">
        <f>IF(OR(D312="Uncategorised",E312=""),"Check","")</f>
        <v/>
      </c>
    </row>
    <row r="313">
      <c r="A313" s="10" t="inlineStr">
        <is>
          <t>Amex Mar-2025</t>
        </is>
      </c>
      <c r="B313" s="11" t="n">
        <v>45720</v>
      </c>
      <c r="C313" s="10" t="inlineStr">
        <is>
          <t>Rikka Spa meng tian jun</t>
        </is>
      </c>
      <c r="D313" s="10">
        <f>IFERROR(INDEX('Review Items'!$D:$D,MATCH(C313,'Review Items'!$B:$B,0)),IFERROR(INDEX('Rule Updates'!$B:$B,MATCH(C313,'Rule Updates'!$A:$A,0)),"Uncategorised"))</f>
        <v/>
      </c>
      <c r="E313" s="10">
        <f>IFERROR(INDEX('Review Items'!$E:$E,MATCH(C313,'Review Items'!$B:$B,0)),IFERROR(INDEX('Rule Updates'!$C:$C,MATCH(C313,'Rule Updates'!$A:$A,0)),"Review"))</f>
        <v/>
      </c>
      <c r="F313" s="12" t="n">
        <v>2600</v>
      </c>
      <c r="G313" s="12" t="n">
        <v>137.53</v>
      </c>
      <c r="H313" s="10" t="n">
        <v>3</v>
      </c>
      <c r="I313" s="10">
        <f>IF(OR(D313="Uncategorised",E313=""),"Check","")</f>
        <v/>
      </c>
    </row>
    <row r="314">
      <c r="A314" s="10" t="inlineStr">
        <is>
          <t>Amex Mar-2025</t>
        </is>
      </c>
      <c r="B314" s="11" t="n">
        <v>45720</v>
      </c>
      <c r="C314" s="10" t="inlineStr">
        <is>
          <t>SATSUDORA NISEKOHIRAHUT HOKKAIDO</t>
        </is>
      </c>
      <c r="D314" s="10">
        <f>IFERROR(INDEX('Review Items'!$D:$D,MATCH(C314,'Review Items'!$B:$B,0)),IFERROR(INDEX('Rule Updates'!$B:$B,MATCH(C314,'Rule Updates'!$A:$A,0)),"Uncategorised"))</f>
        <v/>
      </c>
      <c r="E314" s="10">
        <f>IFERROR(INDEX('Review Items'!$E:$E,MATCH(C314,'Review Items'!$B:$B,0)),IFERROR(INDEX('Rule Updates'!$C:$C,MATCH(C314,'Rule Updates'!$A:$A,0)),"Review"))</f>
        <v/>
      </c>
      <c r="F314" s="12" t="n">
        <v>437</v>
      </c>
      <c r="G314" s="12" t="n">
        <v>23.38</v>
      </c>
      <c r="H314" s="10" t="n">
        <v>3</v>
      </c>
      <c r="I314" s="10">
        <f>IF(OR(D314="Uncategorised",E314=""),"Check","")</f>
        <v/>
      </c>
    </row>
    <row r="315">
      <c r="A315" s="10" t="inlineStr">
        <is>
          <t>Amex Mar-2025</t>
        </is>
      </c>
      <c r="B315" s="11" t="n">
        <v>45720</v>
      </c>
      <c r="C315" s="10" t="inlineStr">
        <is>
          <t>SATSUDORA NISEKOHIRAHUT HOKKAIDO</t>
        </is>
      </c>
      <c r="D315" s="10">
        <f>IFERROR(INDEX('Review Items'!$D:$D,MATCH(C315,'Review Items'!$B:$B,0)),IFERROR(INDEX('Rule Updates'!$B:$B,MATCH(C315,'Rule Updates'!$A:$A,0)),"Uncategorised"))</f>
        <v/>
      </c>
      <c r="E315" s="10">
        <f>IFERROR(INDEX('Review Items'!$E:$E,MATCH(C315,'Review Items'!$B:$B,0)),IFERROR(INDEX('Rule Updates'!$C:$C,MATCH(C315,'Rule Updates'!$A:$A,0)),"Review"))</f>
        <v/>
      </c>
      <c r="F315" s="12" t="n">
        <v>4045</v>
      </c>
      <c r="G315" s="12" t="n">
        <v>216.08</v>
      </c>
      <c r="H315" s="10" t="n">
        <v>3</v>
      </c>
      <c r="I315" s="10">
        <f>IF(OR(D315="Uncategorised",E315=""),"Check","")</f>
        <v/>
      </c>
    </row>
    <row r="316">
      <c r="A316" s="10" t="inlineStr">
        <is>
          <t>Amex Mar-2025</t>
        </is>
      </c>
      <c r="B316" s="11" t="n">
        <v>45720</v>
      </c>
      <c r="C316" s="10" t="inlineStr">
        <is>
          <t>Skye Cafe meng tian jun</t>
        </is>
      </c>
      <c r="D316" s="10">
        <f>IFERROR(INDEX('Review Items'!$D:$D,MATCH(C316,'Review Items'!$B:$B,0)),IFERROR(INDEX('Rule Updates'!$B:$B,MATCH(C316,'Rule Updates'!$A:$A,0)),"Uncategorised"))</f>
        <v/>
      </c>
      <c r="E316" s="10">
        <f>IFERROR(INDEX('Review Items'!$E:$E,MATCH(C316,'Review Items'!$B:$B,0)),IFERROR(INDEX('Rule Updates'!$C:$C,MATCH(C316,'Rule Updates'!$A:$A,0)),"Review"))</f>
        <v/>
      </c>
      <c r="F316" s="12" t="n">
        <v>6050</v>
      </c>
      <c r="G316" s="12" t="n">
        <v>319.66</v>
      </c>
      <c r="H316" s="10" t="n">
        <v>3</v>
      </c>
      <c r="I316" s="10">
        <f>IF(OR(D316="Uncategorised",E316=""),"Check","")</f>
        <v/>
      </c>
    </row>
    <row r="317">
      <c r="A317" s="10" t="inlineStr">
        <is>
          <t>Amex Mar-2025</t>
        </is>
      </c>
      <c r="B317" s="11" t="n">
        <v>45721</v>
      </c>
      <c r="C317" s="10" t="inlineStr">
        <is>
          <t>NISEKOVILLA HOKKAIDO</t>
        </is>
      </c>
      <c r="D317" s="10">
        <f>IFERROR(INDEX('Review Items'!$D:$D,MATCH(C317,'Review Items'!$B:$B,0)),IFERROR(INDEX('Rule Updates'!$B:$B,MATCH(C317,'Rule Updates'!$A:$A,0)),"Uncategorised"))</f>
        <v/>
      </c>
      <c r="E317" s="10">
        <f>IFERROR(INDEX('Review Items'!$E:$E,MATCH(C317,'Review Items'!$B:$B,0)),IFERROR(INDEX('Rule Updates'!$C:$C,MATCH(C317,'Rule Updates'!$A:$A,0)),"Review"))</f>
        <v/>
      </c>
      <c r="F317" s="12" t="n">
        <v>9500</v>
      </c>
      <c r="G317" s="12" t="n">
        <v>511.24</v>
      </c>
      <c r="H317" s="10" t="n">
        <v>4</v>
      </c>
      <c r="I317" s="10">
        <f>IF(OR(D317="Uncategorised",E317=""),"Check","")</f>
        <v/>
      </c>
    </row>
    <row r="318">
      <c r="A318" s="10" t="inlineStr">
        <is>
          <t>Amex Mar-2025</t>
        </is>
      </c>
      <c r="B318" s="11" t="n">
        <v>45721</v>
      </c>
      <c r="C318" s="10" t="inlineStr">
        <is>
          <t>NISEKOVILLA HOKKAIDO</t>
        </is>
      </c>
      <c r="D318" s="10">
        <f>IFERROR(INDEX('Review Items'!$D:$D,MATCH(C318,'Review Items'!$B:$B,0)),IFERROR(INDEX('Rule Updates'!$B:$B,MATCH(C318,'Rule Updates'!$A:$A,0)),"Uncategorised"))</f>
        <v/>
      </c>
      <c r="E318" s="10">
        <f>IFERROR(INDEX('Review Items'!$E:$E,MATCH(C318,'Review Items'!$B:$B,0)),IFERROR(INDEX('Rule Updates'!$C:$C,MATCH(C318,'Rule Updates'!$A:$A,0)),"Review"))</f>
        <v/>
      </c>
      <c r="F318" s="12" t="n">
        <v>10500</v>
      </c>
      <c r="G318" s="12" t="n">
        <v>565.08</v>
      </c>
      <c r="H318" s="10" t="n">
        <v>4</v>
      </c>
      <c r="I318" s="10">
        <f>IF(OR(D318="Uncategorised",E318=""),"Check","")</f>
        <v/>
      </c>
    </row>
    <row r="319">
      <c r="A319" s="10" t="inlineStr">
        <is>
          <t>Amex Mar-2025</t>
        </is>
      </c>
      <c r="B319" s="11" t="n">
        <v>45721</v>
      </c>
      <c r="C319" s="10" t="inlineStr">
        <is>
          <t>PARK HYATT Niseko OLIVI *</t>
        </is>
      </c>
      <c r="D319" s="10">
        <f>IFERROR(INDEX('Review Items'!$D:$D,MATCH(C319,'Review Items'!$B:$B,0)),IFERROR(INDEX('Rule Updates'!$B:$B,MATCH(C319,'Rule Updates'!$A:$A,0)),"Uncategorised"))</f>
        <v/>
      </c>
      <c r="E319" s="10">
        <f>IFERROR(INDEX('Review Items'!$E:$E,MATCH(C319,'Review Items'!$B:$B,0)),IFERROR(INDEX('Rule Updates'!$C:$C,MATCH(C319,'Rule Updates'!$A:$A,0)),"Review"))</f>
        <v/>
      </c>
      <c r="F319" s="12" t="n">
        <v>15686</v>
      </c>
      <c r="G319" s="12" t="n">
        <v>838.02</v>
      </c>
      <c r="H319" s="10" t="n">
        <v>3</v>
      </c>
      <c r="I319" s="10">
        <f>IF(OR(D319="Uncategorised",E319=""),"Check","")</f>
        <v/>
      </c>
    </row>
    <row r="320">
      <c r="A320" s="10" t="inlineStr">
        <is>
          <t>Amex Mar-2025</t>
        </is>
      </c>
      <c r="B320" s="11" t="n">
        <v>45721</v>
      </c>
      <c r="C320" s="10" t="inlineStr">
        <is>
          <t>RAKUTENPAY BARISTART CO HOKKAIDO</t>
        </is>
      </c>
      <c r="D320" s="10">
        <f>IFERROR(INDEX('Review Items'!$D:$D,MATCH(C320,'Review Items'!$B:$B,0)),IFERROR(INDEX('Rule Updates'!$B:$B,MATCH(C320,'Rule Updates'!$A:$A,0)),"Uncategorised"))</f>
        <v/>
      </c>
      <c r="E320" s="10">
        <f>IFERROR(INDEX('Review Items'!$E:$E,MATCH(C320,'Review Items'!$B:$B,0)),IFERROR(INDEX('Rule Updates'!$C:$C,MATCH(C320,'Rule Updates'!$A:$A,0)),"Review"))</f>
        <v/>
      </c>
      <c r="F320" s="12" t="n">
        <v>800</v>
      </c>
      <c r="G320" s="12" t="n">
        <v>42.73</v>
      </c>
      <c r="H320" s="10" t="n">
        <v>4</v>
      </c>
      <c r="I320" s="10">
        <f>IF(OR(D320="Uncategorised",E320=""),"Check","")</f>
        <v/>
      </c>
    </row>
    <row r="321">
      <c r="A321" s="10" t="inlineStr">
        <is>
          <t>Amex Mar-2025</t>
        </is>
      </c>
      <c r="B321" s="11" t="n">
        <v>45721</v>
      </c>
      <c r="C321" s="10" t="inlineStr">
        <is>
          <t>RAKUTENPAY BARISTART CO HOKKAIDO</t>
        </is>
      </c>
      <c r="D321" s="10">
        <f>IFERROR(INDEX('Review Items'!$D:$D,MATCH(C321,'Review Items'!$B:$B,0)),IFERROR(INDEX('Rule Updates'!$B:$B,MATCH(C321,'Rule Updates'!$A:$A,0)),"Uncategorised"))</f>
        <v/>
      </c>
      <c r="E321" s="10">
        <f>IFERROR(INDEX('Review Items'!$E:$E,MATCH(C321,'Review Items'!$B:$B,0)),IFERROR(INDEX('Rule Updates'!$C:$C,MATCH(C321,'Rule Updates'!$A:$A,0)),"Review"))</f>
        <v/>
      </c>
      <c r="F321" s="12" t="n">
        <v>1000</v>
      </c>
      <c r="G321" s="12" t="n">
        <v>53.44</v>
      </c>
      <c r="H321" s="10" t="n">
        <v>4</v>
      </c>
      <c r="I321" s="10">
        <f>IF(OR(D321="Uncategorised",E321=""),"Check","")</f>
        <v/>
      </c>
    </row>
    <row r="322">
      <c r="A322" s="10" t="inlineStr">
        <is>
          <t>Amex Mar-2025</t>
        </is>
      </c>
      <c r="B322" s="11" t="n">
        <v>45721</v>
      </c>
      <c r="C322" s="10" t="inlineStr">
        <is>
          <t>RAKUTENPAY BARISTART CO HOKKAIDO</t>
        </is>
      </c>
      <c r="D322" s="10">
        <f>IFERROR(INDEX('Review Items'!$D:$D,MATCH(C322,'Review Items'!$B:$B,0)),IFERROR(INDEX('Rule Updates'!$B:$B,MATCH(C322,'Rule Updates'!$A:$A,0)),"Uncategorised"))</f>
        <v/>
      </c>
      <c r="E322" s="10">
        <f>IFERROR(INDEX('Review Items'!$E:$E,MATCH(C322,'Review Items'!$B:$B,0)),IFERROR(INDEX('Rule Updates'!$C:$C,MATCH(C322,'Rule Updates'!$A:$A,0)),"Review"))</f>
        <v/>
      </c>
      <c r="F322" s="12" t="n">
        <v>1200</v>
      </c>
      <c r="G322" s="12" t="n">
        <v>64.14</v>
      </c>
      <c r="H322" s="10" t="n">
        <v>4</v>
      </c>
      <c r="I322" s="10">
        <f>IF(OR(D322="Uncategorised",E322=""),"Check","")</f>
        <v/>
      </c>
    </row>
    <row r="323">
      <c r="A323" s="10" t="inlineStr">
        <is>
          <t>Amex Mar-2025</t>
        </is>
      </c>
      <c r="B323" s="11" t="n">
        <v>45721</v>
      </c>
      <c r="C323" s="10" t="inlineStr">
        <is>
          <t>RAKUTENPAY BARISTART CO HOKKAIDO</t>
        </is>
      </c>
      <c r="D323" s="10">
        <f>IFERROR(INDEX('Review Items'!$D:$D,MATCH(C323,'Review Items'!$B:$B,0)),IFERROR(INDEX('Rule Updates'!$B:$B,MATCH(C323,'Rule Updates'!$A:$A,0)),"Uncategorised"))</f>
        <v/>
      </c>
      <c r="E323" s="10">
        <f>IFERROR(INDEX('Review Items'!$E:$E,MATCH(C323,'Review Items'!$B:$B,0)),IFERROR(INDEX('Rule Updates'!$C:$C,MATCH(C323,'Rule Updates'!$A:$A,0)),"Review"))</f>
        <v/>
      </c>
      <c r="F323" s="12" t="n">
        <v>1700</v>
      </c>
      <c r="G323" s="12" t="n">
        <v>90.87</v>
      </c>
      <c r="H323" s="10" t="n">
        <v>4</v>
      </c>
      <c r="I323" s="10">
        <f>IF(OR(D323="Uncategorised",E323=""),"Check","")</f>
        <v/>
      </c>
    </row>
    <row r="324">
      <c r="A324" s="10" t="inlineStr">
        <is>
          <t>Amex Mar-2025</t>
        </is>
      </c>
      <c r="B324" s="11" t="n">
        <v>45721</v>
      </c>
      <c r="C324" s="10" t="inlineStr">
        <is>
          <t>SUSHI KATO INORI HOKKAIDO</t>
        </is>
      </c>
      <c r="D324" s="10">
        <f>IFERROR(INDEX('Review Items'!$D:$D,MATCH(C324,'Review Items'!$B:$B,0)),IFERROR(INDEX('Rule Updates'!$B:$B,MATCH(C324,'Rule Updates'!$A:$A,0)),"Uncategorised"))</f>
        <v/>
      </c>
      <c r="E324" s="10">
        <f>IFERROR(INDEX('Review Items'!$E:$E,MATCH(C324,'Review Items'!$B:$B,0)),IFERROR(INDEX('Rule Updates'!$C:$C,MATCH(C324,'Rule Updates'!$A:$A,0)),"Review"))</f>
        <v/>
      </c>
      <c r="F324" s="12" t="n">
        <v>35200</v>
      </c>
      <c r="G324" s="12" t="n">
        <v>1894.44</v>
      </c>
      <c r="H324" s="10" t="n">
        <v>4</v>
      </c>
      <c r="I324" s="10">
        <f>IF(OR(D324="Uncategorised",E324=""),"Check","")</f>
        <v/>
      </c>
    </row>
    <row r="325">
      <c r="A325" s="10" t="inlineStr">
        <is>
          <t>Amex Mar-2025</t>
        </is>
      </c>
      <c r="B325" s="11" t="n">
        <v>45722</v>
      </c>
      <c r="C325" s="10" t="inlineStr">
        <is>
          <t>Luke's Alpine Club meng tian jun</t>
        </is>
      </c>
      <c r="D325" s="10">
        <f>IFERROR(INDEX('Review Items'!$D:$D,MATCH(C325,'Review Items'!$B:$B,0)),IFERROR(INDEX('Rule Updates'!$B:$B,MATCH(C325,'Rule Updates'!$A:$A,0)),"Uncategorised"))</f>
        <v/>
      </c>
      <c r="E325" s="10">
        <f>IFERROR(INDEX('Review Items'!$E:$E,MATCH(C325,'Review Items'!$B:$B,0)),IFERROR(INDEX('Rule Updates'!$C:$C,MATCH(C325,'Rule Updates'!$A:$A,0)),"Review"))</f>
        <v/>
      </c>
      <c r="F325" s="12" t="n">
        <v>119790</v>
      </c>
      <c r="G325" s="12" t="n">
        <v>6399.49</v>
      </c>
      <c r="H325" s="10" t="n">
        <v>4</v>
      </c>
      <c r="I325" s="10">
        <f>IF(OR(D325="Uncategorised",E325=""),"Check","")</f>
        <v/>
      </c>
    </row>
    <row r="326">
      <c r="A326" s="10" t="inlineStr">
        <is>
          <t>Amex Mar-2025</t>
        </is>
      </c>
      <c r="B326" s="11" t="n">
        <v>45722</v>
      </c>
      <c r="C326" s="10" t="inlineStr">
        <is>
          <t>SEICOMART NISEKOHIRAFU HOKKAIDO</t>
        </is>
      </c>
      <c r="D326" s="10">
        <f>IFERROR(INDEX('Review Items'!$D:$D,MATCH(C326,'Review Items'!$B:$B,0)),IFERROR(INDEX('Rule Updates'!$B:$B,MATCH(C326,'Rule Updates'!$A:$A,0)),"Uncategorised"))</f>
        <v/>
      </c>
      <c r="E326" s="10">
        <f>IFERROR(INDEX('Review Items'!$E:$E,MATCH(C326,'Review Items'!$B:$B,0)),IFERROR(INDEX('Rule Updates'!$C:$C,MATCH(C326,'Rule Updates'!$A:$A,0)),"Review"))</f>
        <v/>
      </c>
      <c r="F326" s="12" t="n">
        <v>810</v>
      </c>
      <c r="G326" s="12" t="n">
        <v>43.68</v>
      </c>
      <c r="H326" s="10" t="n">
        <v>4</v>
      </c>
      <c r="I326" s="10">
        <f>IF(OR(D326="Uncategorised",E326=""),"Check","")</f>
        <v/>
      </c>
    </row>
    <row r="327">
      <c r="A327" s="10" t="inlineStr">
        <is>
          <t>Amex Mar-2025</t>
        </is>
      </c>
      <c r="B327" s="11" t="n">
        <v>45722</v>
      </c>
      <c r="C327" s="10" t="inlineStr">
        <is>
          <t>Skye Cafe meng tian jun</t>
        </is>
      </c>
      <c r="D327" s="10">
        <f>IFERROR(INDEX('Review Items'!$D:$D,MATCH(C327,'Review Items'!$B:$B,0)),IFERROR(INDEX('Rule Updates'!$B:$B,MATCH(C327,'Rule Updates'!$A:$A,0)),"Uncategorised"))</f>
        <v/>
      </c>
      <c r="E327" s="10">
        <f>IFERROR(INDEX('Review Items'!$E:$E,MATCH(C327,'Review Items'!$B:$B,0)),IFERROR(INDEX('Rule Updates'!$C:$C,MATCH(C327,'Rule Updates'!$A:$A,0)),"Review"))</f>
        <v/>
      </c>
      <c r="F327" s="12" t="n">
        <v>1250</v>
      </c>
      <c r="G327" s="12" t="n">
        <v>66.73999999999999</v>
      </c>
      <c r="H327" s="10" t="n">
        <v>4</v>
      </c>
      <c r="I327" s="10">
        <f>IF(OR(D327="Uncategorised",E327=""),"Check","")</f>
        <v/>
      </c>
    </row>
    <row r="328">
      <c r="A328" s="10" t="inlineStr">
        <is>
          <t>Amex Mar-2025</t>
        </is>
      </c>
      <c r="B328" s="11" t="n">
        <v>45723</v>
      </c>
      <c r="C328" s="10" t="inlineStr">
        <is>
          <t>Hidden Stand meng tian jun</t>
        </is>
      </c>
      <c r="D328" s="10">
        <f>IFERROR(INDEX('Review Items'!$D:$D,MATCH(C328,'Review Items'!$B:$B,0)),IFERROR(INDEX('Rule Updates'!$B:$B,MATCH(C328,'Rule Updates'!$A:$A,0)),"Uncategorised"))</f>
        <v/>
      </c>
      <c r="E328" s="10">
        <f>IFERROR(INDEX('Review Items'!$E:$E,MATCH(C328,'Review Items'!$B:$B,0)),IFERROR(INDEX('Rule Updates'!$C:$C,MATCH(C328,'Rule Updates'!$A:$A,0)),"Review"))</f>
        <v/>
      </c>
      <c r="F328" s="12" t="n">
        <v>3550</v>
      </c>
      <c r="G328" s="12" t="n">
        <v>189.68</v>
      </c>
      <c r="H328" s="10" t="n">
        <v>4</v>
      </c>
      <c r="I328" s="10">
        <f>IF(OR(D328="Uncategorised",E328=""),"Check","")</f>
        <v/>
      </c>
    </row>
    <row r="329">
      <c r="A329" s="10" t="inlineStr">
        <is>
          <t>Amex Mar-2025</t>
        </is>
      </c>
      <c r="B329" s="11" t="n">
        <v>45723</v>
      </c>
      <c r="C329" s="10" t="inlineStr">
        <is>
          <t>Hidden Stand meng tian jun</t>
        </is>
      </c>
      <c r="D329" s="10">
        <f>IFERROR(INDEX('Review Items'!$D:$D,MATCH(C329,'Review Items'!$B:$B,0)),IFERROR(INDEX('Rule Updates'!$B:$B,MATCH(C329,'Rule Updates'!$A:$A,0)),"Uncategorised"))</f>
        <v/>
      </c>
      <c r="E329" s="10">
        <f>IFERROR(INDEX('Review Items'!$E:$E,MATCH(C329,'Review Items'!$B:$B,0)),IFERROR(INDEX('Rule Updates'!$C:$C,MATCH(C329,'Rule Updates'!$A:$A,0)),"Review"))</f>
        <v/>
      </c>
      <c r="F329" s="12" t="n">
        <v>600</v>
      </c>
      <c r="G329" s="12" t="n">
        <v>32.02</v>
      </c>
      <c r="H329" s="10" t="n">
        <v>4</v>
      </c>
      <c r="I329" s="10">
        <f>IF(OR(D329="Uncategorised",E329=""),"Check","")</f>
        <v/>
      </c>
    </row>
    <row r="330">
      <c r="A330" s="10" t="inlineStr">
        <is>
          <t>Amex Mar-2025</t>
        </is>
      </c>
      <c r="B330" s="11" t="n">
        <v>45723</v>
      </c>
      <c r="C330" s="10" t="inlineStr">
        <is>
          <t>LAWSON *</t>
        </is>
      </c>
      <c r="D330" s="10">
        <f>IFERROR(INDEX('Review Items'!$D:$D,MATCH(C330,'Review Items'!$B:$B,0)),IFERROR(INDEX('Rule Updates'!$B:$B,MATCH(C330,'Rule Updates'!$A:$A,0)),"Uncategorised"))</f>
        <v/>
      </c>
      <c r="E330" s="10">
        <f>IFERROR(INDEX('Review Items'!$E:$E,MATCH(C330,'Review Items'!$B:$B,0)),IFERROR(INDEX('Rule Updates'!$C:$C,MATCH(C330,'Rule Updates'!$A:$A,0)),"Review"))</f>
        <v/>
      </c>
      <c r="F330" s="12" t="n">
        <v>3727</v>
      </c>
      <c r="G330" s="12" t="n">
        <v>201.05</v>
      </c>
      <c r="H330" s="10" t="n">
        <v>4</v>
      </c>
      <c r="I330" s="10">
        <f>IF(OR(D330="Uncategorised",E330=""),"Check","")</f>
        <v/>
      </c>
    </row>
    <row r="331">
      <c r="A331" s="10" t="inlineStr">
        <is>
          <t>Amex Mar-2025</t>
        </is>
      </c>
      <c r="B331" s="11" t="n">
        <v>45723</v>
      </c>
      <c r="C331" s="10" t="inlineStr">
        <is>
          <t>RAKUTENPAY MELI MELO YU HOKKAIDO</t>
        </is>
      </c>
      <c r="D331" s="10">
        <f>IFERROR(INDEX('Review Items'!$D:$D,MATCH(C331,'Review Items'!$B:$B,0)),IFERROR(INDEX('Rule Updates'!$B:$B,MATCH(C331,'Rule Updates'!$A:$A,0)),"Uncategorised"))</f>
        <v/>
      </c>
      <c r="E331" s="10">
        <f>IFERROR(INDEX('Review Items'!$E:$E,MATCH(C331,'Review Items'!$B:$B,0)),IFERROR(INDEX('Rule Updates'!$C:$C,MATCH(C331,'Rule Updates'!$A:$A,0)),"Review"))</f>
        <v/>
      </c>
      <c r="F331" s="12" t="n">
        <v>19300</v>
      </c>
      <c r="G331" s="12" t="n">
        <v>1031.67</v>
      </c>
      <c r="H331" s="10" t="n">
        <v>4</v>
      </c>
      <c r="I331" s="10">
        <f>IF(OR(D331="Uncategorised",E331=""),"Check","")</f>
        <v/>
      </c>
    </row>
    <row r="332">
      <c r="A332" s="10" t="inlineStr">
        <is>
          <t>Amex Mar-2025</t>
        </is>
      </c>
      <c r="B332" s="11" t="n">
        <v>45723</v>
      </c>
      <c r="C332" s="10" t="inlineStr">
        <is>
          <t>Rhythm Niseko Summit meng tian jun</t>
        </is>
      </c>
      <c r="D332" s="10">
        <f>IFERROR(INDEX('Review Items'!$D:$D,MATCH(C332,'Review Items'!$B:$B,0)),IFERROR(INDEX('Rule Updates'!$B:$B,MATCH(C332,'Rule Updates'!$A:$A,0)),"Uncategorised"))</f>
        <v/>
      </c>
      <c r="E332" s="10">
        <f>IFERROR(INDEX('Review Items'!$E:$E,MATCH(C332,'Review Items'!$B:$B,0)),IFERROR(INDEX('Rule Updates'!$C:$C,MATCH(C332,'Rule Updates'!$A:$A,0)),"Review"))</f>
        <v/>
      </c>
      <c r="F332" s="12" t="n">
        <v>2950</v>
      </c>
      <c r="G332" s="12" t="n">
        <v>157.59</v>
      </c>
      <c r="H332" s="10" t="n">
        <v>4</v>
      </c>
      <c r="I332" s="10">
        <f>IF(OR(D332="Uncategorised",E332=""),"Check","")</f>
        <v/>
      </c>
    </row>
    <row r="333">
      <c r="A333" s="10" t="inlineStr">
        <is>
          <t>Amex Mar-2025</t>
        </is>
      </c>
      <c r="B333" s="11" t="n">
        <v>45723</v>
      </c>
      <c r="C333" s="10" t="inlineStr">
        <is>
          <t>UKVI UKVI LONDON</t>
        </is>
      </c>
      <c r="D333" s="10">
        <f>IFERROR(INDEX('Review Items'!$D:$D,MATCH(C333,'Review Items'!$B:$B,0)),IFERROR(INDEX('Rule Updates'!$B:$B,MATCH(C333,'Rule Updates'!$A:$A,0)),"Uncategorised"))</f>
        <v/>
      </c>
      <c r="E333" s="10">
        <f>IFERROR(INDEX('Review Items'!$E:$E,MATCH(C333,'Review Items'!$B:$B,0)),IFERROR(INDEX('Rule Updates'!$C:$C,MATCH(C333,'Rule Updates'!$A:$A,0)),"Review"))</f>
        <v/>
      </c>
      <c r="F333" s="10" t="n"/>
      <c r="G333" s="12" t="n">
        <v>102.33</v>
      </c>
      <c r="H333" s="10" t="n">
        <v>4</v>
      </c>
      <c r="I333" s="10">
        <f>IF(OR(D333="Uncategorised",E333=""),"Check","")</f>
        <v/>
      </c>
    </row>
    <row r="334">
      <c r="A334" s="10" t="inlineStr">
        <is>
          <t>Amex Mar-2025</t>
        </is>
      </c>
      <c r="B334" s="11" t="n">
        <v>45724</v>
      </c>
      <c r="C334" s="10" t="inlineStr">
        <is>
          <t>LAWSON *</t>
        </is>
      </c>
      <c r="D334" s="10">
        <f>IFERROR(INDEX('Review Items'!$D:$D,MATCH(C334,'Review Items'!$B:$B,0)),IFERROR(INDEX('Rule Updates'!$B:$B,MATCH(C334,'Rule Updates'!$A:$A,0)),"Uncategorised"))</f>
        <v/>
      </c>
      <c r="E334" s="10">
        <f>IFERROR(INDEX('Review Items'!$E:$E,MATCH(C334,'Review Items'!$B:$B,0)),IFERROR(INDEX('Rule Updates'!$C:$C,MATCH(C334,'Rule Updates'!$A:$A,0)),"Review"))</f>
        <v/>
      </c>
      <c r="F334" s="12" t="n">
        <v>1238</v>
      </c>
      <c r="G334" s="12" t="n">
        <v>66.83</v>
      </c>
      <c r="H334" s="10" t="n">
        <v>4</v>
      </c>
      <c r="I334" s="10">
        <f>IF(OR(D334="Uncategorised",E334=""),"Check","")</f>
        <v/>
      </c>
    </row>
    <row r="335">
      <c r="A335" s="10" t="inlineStr">
        <is>
          <t>Amex Mar-2025</t>
        </is>
      </c>
      <c r="B335" s="11" t="n">
        <v>45724</v>
      </c>
      <c r="C335" s="10" t="inlineStr">
        <is>
          <t>Luke's Alpine Club meng tian jun</t>
        </is>
      </c>
      <c r="D335" s="10">
        <f>IFERROR(INDEX('Review Items'!$D:$D,MATCH(C335,'Review Items'!$B:$B,0)),IFERROR(INDEX('Rule Updates'!$B:$B,MATCH(C335,'Rule Updates'!$A:$A,0)),"Uncategorised"))</f>
        <v/>
      </c>
      <c r="E335" s="10">
        <f>IFERROR(INDEX('Review Items'!$E:$E,MATCH(C335,'Review Items'!$B:$B,0)),IFERROR(INDEX('Rule Updates'!$C:$C,MATCH(C335,'Rule Updates'!$A:$A,0)),"Review"))</f>
        <v/>
      </c>
      <c r="F335" s="12" t="n">
        <v>81950</v>
      </c>
      <c r="G335" s="12" t="n">
        <v>4421.55</v>
      </c>
      <c r="H335" s="10" t="n">
        <v>5</v>
      </c>
      <c r="I335" s="10">
        <f>IF(OR(D335="Uncategorised",E335=""),"Check","")</f>
        <v/>
      </c>
    </row>
    <row r="336">
      <c r="A336" s="10" t="inlineStr">
        <is>
          <t>Amex Mar-2025</t>
        </is>
      </c>
      <c r="B336" s="11" t="n">
        <v>45724</v>
      </c>
      <c r="C336" s="10" t="inlineStr">
        <is>
          <t>NISEKOCACAOCROWN AIR HOKKAIDO</t>
        </is>
      </c>
      <c r="D336" s="10">
        <f>IFERROR(INDEX('Review Items'!$D:$D,MATCH(C336,'Review Items'!$B:$B,0)),IFERROR(INDEX('Rule Updates'!$B:$B,MATCH(C336,'Rule Updates'!$A:$A,0)),"Uncategorised"))</f>
        <v/>
      </c>
      <c r="E336" s="10">
        <f>IFERROR(INDEX('Review Items'!$E:$E,MATCH(C336,'Review Items'!$B:$B,0)),IFERROR(INDEX('Rule Updates'!$C:$C,MATCH(C336,'Rule Updates'!$A:$A,0)),"Review"))</f>
        <v/>
      </c>
      <c r="F336" s="12" t="n">
        <v>2660</v>
      </c>
      <c r="G336" s="12" t="n">
        <v>143.49</v>
      </c>
      <c r="H336" s="10" t="n">
        <v>5</v>
      </c>
      <c r="I336" s="10">
        <f>IF(OR(D336="Uncategorised",E336=""),"Check","")</f>
        <v/>
      </c>
    </row>
    <row r="337">
      <c r="A337" s="10" t="inlineStr">
        <is>
          <t>Amex Mar-2025</t>
        </is>
      </c>
      <c r="B337" s="11" t="n">
        <v>45724</v>
      </c>
      <c r="C337" s="10" t="inlineStr">
        <is>
          <t>RAKUTENPAY YUKARANISEKO HOKKAIDO</t>
        </is>
      </c>
      <c r="D337" s="10">
        <f>IFERROR(INDEX('Review Items'!$D:$D,MATCH(C337,'Review Items'!$B:$B,0)),IFERROR(INDEX('Rule Updates'!$B:$B,MATCH(C337,'Rule Updates'!$A:$A,0)),"Uncategorised"))</f>
        <v/>
      </c>
      <c r="E337" s="10">
        <f>IFERROR(INDEX('Review Items'!$E:$E,MATCH(C337,'Review Items'!$B:$B,0)),IFERROR(INDEX('Rule Updates'!$C:$C,MATCH(C337,'Rule Updates'!$A:$A,0)),"Review"))</f>
        <v/>
      </c>
      <c r="F337" s="12" t="n">
        <v>1198</v>
      </c>
      <c r="G337" s="12" t="n">
        <v>64.06</v>
      </c>
      <c r="H337" s="10" t="n">
        <v>5</v>
      </c>
      <c r="I337" s="10">
        <f>IF(OR(D337="Uncategorised",E337=""),"Check","")</f>
        <v/>
      </c>
    </row>
    <row r="338">
      <c r="A338" s="10" t="inlineStr">
        <is>
          <t>Amex Mar-2025</t>
        </is>
      </c>
      <c r="B338" s="11" t="n">
        <v>45725</v>
      </c>
      <c r="C338" s="10" t="inlineStr">
        <is>
          <t>GO APP RIDE FEE TOKYO</t>
        </is>
      </c>
      <c r="D338" s="10">
        <f>IFERROR(INDEX('Review Items'!$D:$D,MATCH(C338,'Review Items'!$B:$B,0)),IFERROR(INDEX('Rule Updates'!$B:$B,MATCH(C338,'Rule Updates'!$A:$A,0)),"Uncategorised"))</f>
        <v/>
      </c>
      <c r="E338" s="10">
        <f>IFERROR(INDEX('Review Items'!$E:$E,MATCH(C338,'Review Items'!$B:$B,0)),IFERROR(INDEX('Rule Updates'!$C:$C,MATCH(C338,'Rule Updates'!$A:$A,0)),"Review"))</f>
        <v/>
      </c>
      <c r="F338" s="12" t="n">
        <v>5080</v>
      </c>
      <c r="G338" s="12" t="n">
        <v>274.15</v>
      </c>
      <c r="H338" s="10" t="n">
        <v>5</v>
      </c>
      <c r="I338" s="10">
        <f>IF(OR(D338="Uncategorised",E338=""),"Check","")</f>
        <v/>
      </c>
    </row>
    <row r="339">
      <c r="A339" s="10" t="inlineStr">
        <is>
          <t>Amex Mar-2025</t>
        </is>
      </c>
      <c r="B339" s="11" t="n">
        <v>45725</v>
      </c>
      <c r="C339" s="10" t="inlineStr">
        <is>
          <t>PARK HYATT Niseko DELI *</t>
        </is>
      </c>
      <c r="D339" s="10">
        <f>IFERROR(INDEX('Review Items'!$D:$D,MATCH(C339,'Review Items'!$B:$B,0)),IFERROR(INDEX('Rule Updates'!$B:$B,MATCH(C339,'Rule Updates'!$A:$A,0)),"Uncategorised"))</f>
        <v/>
      </c>
      <c r="E339" s="10">
        <f>IFERROR(INDEX('Review Items'!$E:$E,MATCH(C339,'Review Items'!$B:$B,0)),IFERROR(INDEX('Rule Updates'!$C:$C,MATCH(C339,'Rule Updates'!$A:$A,0)),"Review"))</f>
        <v/>
      </c>
      <c r="F339" s="12" t="n">
        <v>1580</v>
      </c>
      <c r="G339" s="12" t="n">
        <v>85.23</v>
      </c>
      <c r="H339" s="10" t="n">
        <v>5</v>
      </c>
      <c r="I339" s="10">
        <f>IF(OR(D339="Uncategorised",E339=""),"Check","")</f>
        <v/>
      </c>
    </row>
    <row r="340">
      <c r="A340" s="10" t="inlineStr">
        <is>
          <t>Amex Mar-2025</t>
        </is>
      </c>
      <c r="B340" s="11" t="n">
        <v>45725</v>
      </c>
      <c r="C340" s="10" t="inlineStr">
        <is>
          <t>PARK HYATT Niseko ROBAT *</t>
        </is>
      </c>
      <c r="D340" s="10">
        <f>IFERROR(INDEX('Review Items'!$D:$D,MATCH(C340,'Review Items'!$B:$B,0)),IFERROR(INDEX('Rule Updates'!$B:$B,MATCH(C340,'Rule Updates'!$A:$A,0)),"Uncategorised"))</f>
        <v/>
      </c>
      <c r="E340" s="10">
        <f>IFERROR(INDEX('Review Items'!$E:$E,MATCH(C340,'Review Items'!$B:$B,0)),IFERROR(INDEX('Rule Updates'!$C:$C,MATCH(C340,'Rule Updates'!$A:$A,0)),"Review"))</f>
        <v/>
      </c>
      <c r="F340" s="12" t="n">
        <v>32839</v>
      </c>
      <c r="G340" s="12" t="n">
        <v>1771.84</v>
      </c>
      <c r="H340" s="10" t="n">
        <v>5</v>
      </c>
      <c r="I340" s="10">
        <f>IF(OR(D340="Uncategorised",E340=""),"Check","")</f>
        <v/>
      </c>
    </row>
    <row r="341">
      <c r="A341" s="10" t="inlineStr">
        <is>
          <t>Amex Mar-2025</t>
        </is>
      </c>
      <c r="B341" s="11" t="n">
        <v>45725</v>
      </c>
      <c r="C341" s="10" t="inlineStr">
        <is>
          <t>Rhythm Niseko Setsu meng tian jun</t>
        </is>
      </c>
      <c r="D341" s="10">
        <f>IFERROR(INDEX('Review Items'!$D:$D,MATCH(C341,'Review Items'!$B:$B,0)),IFERROR(INDEX('Rule Updates'!$B:$B,MATCH(C341,'Rule Updates'!$A:$A,0)),"Uncategorised"))</f>
        <v/>
      </c>
      <c r="E341" s="10">
        <f>IFERROR(INDEX('Review Items'!$E:$E,MATCH(C341,'Review Items'!$B:$B,0)),IFERROR(INDEX('Rule Updates'!$C:$C,MATCH(C341,'Rule Updates'!$A:$A,0)),"Review"))</f>
        <v/>
      </c>
      <c r="F341" s="12" t="n">
        <v>4500</v>
      </c>
      <c r="G341" s="12" t="n">
        <v>242.76</v>
      </c>
      <c r="H341" s="10" t="n">
        <v>5</v>
      </c>
      <c r="I341" s="10">
        <f>IF(OR(D341="Uncategorised",E341=""),"Check","")</f>
        <v/>
      </c>
    </row>
    <row r="342">
      <c r="A342" s="10" t="inlineStr">
        <is>
          <t>Amex Mar-2025</t>
        </is>
      </c>
      <c r="B342" s="11" t="n">
        <v>45726</v>
      </c>
      <c r="C342" s="10" t="inlineStr">
        <is>
          <t>AMAZON PRIME*RB59H5X34 AMZN.CO.UK/PM</t>
        </is>
      </c>
      <c r="D342" s="10">
        <f>IFERROR(INDEX('Review Items'!$D:$D,MATCH(C342,'Review Items'!$B:$B,0)),IFERROR(INDEX('Rule Updates'!$B:$B,MATCH(C342,'Rule Updates'!$A:$A,0)),"Uncategorised"))</f>
        <v/>
      </c>
      <c r="E342" s="10">
        <f>IFERROR(INDEX('Review Items'!$E:$E,MATCH(C342,'Review Items'!$B:$B,0)),IFERROR(INDEX('Rule Updates'!$C:$C,MATCH(C342,'Rule Updates'!$A:$A,0)),"Review"))</f>
        <v/>
      </c>
      <c r="F342" s="12" t="n">
        <v>8.99</v>
      </c>
      <c r="G342" s="12" t="n">
        <v>92.27</v>
      </c>
      <c r="H342" s="10" t="n">
        <v>5</v>
      </c>
      <c r="I342" s="10">
        <f>IF(OR(D342="Uncategorised",E342=""),"Check","")</f>
        <v/>
      </c>
    </row>
    <row r="343">
      <c r="A343" s="10" t="inlineStr">
        <is>
          <t>Amex Mar-2025</t>
        </is>
      </c>
      <c r="B343" s="11" t="n">
        <v>45726</v>
      </c>
      <c r="C343" s="10" t="inlineStr">
        <is>
          <t>KAMORI WEB TICKET SHOP HOKKAIDO</t>
        </is>
      </c>
      <c r="D343" s="10">
        <f>IFERROR(INDEX('Review Items'!$D:$D,MATCH(C343,'Review Items'!$B:$B,0)),IFERROR(INDEX('Rule Updates'!$B:$B,MATCH(C343,'Rule Updates'!$A:$A,0)),"Uncategorised"))</f>
        <v/>
      </c>
      <c r="E343" s="10">
        <f>IFERROR(INDEX('Review Items'!$E:$E,MATCH(C343,'Review Items'!$B:$B,0)),IFERROR(INDEX('Rule Updates'!$C:$C,MATCH(C343,'Rule Updates'!$A:$A,0)),"Review"))</f>
        <v/>
      </c>
      <c r="F343" s="12" t="n">
        <v>19600</v>
      </c>
      <c r="G343" s="12" t="n">
        <v>1048.2</v>
      </c>
      <c r="H343" s="10" t="n">
        <v>5</v>
      </c>
      <c r="I343" s="10">
        <f>IF(OR(D343="Uncategorised",E343=""),"Check","")</f>
        <v/>
      </c>
    </row>
    <row r="344">
      <c r="A344" s="10" t="inlineStr">
        <is>
          <t>Amex Mar-2025</t>
        </is>
      </c>
      <c r="B344" s="11" t="n">
        <v>45726</v>
      </c>
      <c r="C344" s="10" t="inlineStr">
        <is>
          <t>PAYMENT RECEIVED THROUGH AUTOPAY</t>
        </is>
      </c>
      <c r="D344" s="10">
        <f>IFERROR(INDEX('Review Items'!$D:$D,MATCH(C344,'Review Items'!$B:$B,0)),IFERROR(INDEX('Rule Updates'!$B:$B,MATCH(C344,'Rule Updates'!$A:$A,0)),"Uncategorised"))</f>
        <v/>
      </c>
      <c r="E344" s="10">
        <f>IFERROR(INDEX('Review Items'!$E:$E,MATCH(C344,'Review Items'!$B:$B,0)),IFERROR(INDEX('Rule Updates'!$C:$C,MATCH(C344,'Rule Updates'!$A:$A,0)),"Review"))</f>
        <v/>
      </c>
      <c r="F344" s="10" t="n"/>
      <c r="G344" s="12" t="n">
        <v>-290911.64</v>
      </c>
      <c r="H344" s="10" t="n">
        <v>1</v>
      </c>
      <c r="I344" s="10">
        <f>IF(OR(D344="Uncategorised",E344=""),"Check","")</f>
        <v/>
      </c>
    </row>
    <row r="345">
      <c r="A345" s="10" t="inlineStr">
        <is>
          <t>Amex Mar-2025</t>
        </is>
      </c>
      <c r="B345" s="11" t="n">
        <v>45726</v>
      </c>
      <c r="C345" s="10" t="inlineStr">
        <is>
          <t>TC YAKITORIFUJIWARA TOKYO</t>
        </is>
      </c>
      <c r="D345" s="10">
        <f>IFERROR(INDEX('Review Items'!$D:$D,MATCH(C345,'Review Items'!$B:$B,0)),IFERROR(INDEX('Rule Updates'!$B:$B,MATCH(C345,'Rule Updates'!$A:$A,0)),"Uncategorised"))</f>
        <v/>
      </c>
      <c r="E345" s="10">
        <f>IFERROR(INDEX('Review Items'!$E:$E,MATCH(C345,'Review Items'!$B:$B,0)),IFERROR(INDEX('Rule Updates'!$C:$C,MATCH(C345,'Rule Updates'!$A:$A,0)),"Review"))</f>
        <v/>
      </c>
      <c r="F345" s="12" t="n">
        <v>50000</v>
      </c>
      <c r="G345" s="12" t="n">
        <v>2673.99</v>
      </c>
      <c r="H345" s="10" t="n">
        <v>5</v>
      </c>
      <c r="I345" s="10">
        <f>IF(OR(D345="Uncategorised",E345=""),"Check","")</f>
        <v/>
      </c>
    </row>
    <row r="346">
      <c r="A346" s="10" t="inlineStr">
        <is>
          <t>Amex Mar-2025</t>
        </is>
      </c>
      <c r="B346" s="11" t="n">
        <v>45726</v>
      </c>
      <c r="C346" s="10" t="inlineStr">
        <is>
          <t>TENPURAARAKINISEKO HOKKAIDO</t>
        </is>
      </c>
      <c r="D346" s="10">
        <f>IFERROR(INDEX('Review Items'!$D:$D,MATCH(C346,'Review Items'!$B:$B,0)),IFERROR(INDEX('Rule Updates'!$B:$B,MATCH(C346,'Rule Updates'!$A:$A,0)),"Uncategorised"))</f>
        <v/>
      </c>
      <c r="E346" s="10">
        <f>IFERROR(INDEX('Review Items'!$E:$E,MATCH(C346,'Review Items'!$B:$B,0)),IFERROR(INDEX('Rule Updates'!$C:$C,MATCH(C346,'Rule Updates'!$A:$A,0)),"Review"))</f>
        <v/>
      </c>
      <c r="F346" s="12" t="n">
        <v>71000</v>
      </c>
      <c r="G346" s="12" t="n">
        <v>3832.04</v>
      </c>
      <c r="H346" s="10" t="n">
        <v>5</v>
      </c>
      <c r="I346" s="10">
        <f>IF(OR(D346="Uncategorised",E346=""),"Check","")</f>
        <v/>
      </c>
    </row>
    <row r="347">
      <c r="A347" s="10" t="inlineStr">
        <is>
          <t>Amex Mar-2025</t>
        </is>
      </c>
      <c r="B347" s="11" t="n">
        <v>45727</v>
      </c>
      <c r="C347" s="10" t="inlineStr">
        <is>
          <t>GARMIN (EUROPE) LIMITED SOUTHAMPTON</t>
        </is>
      </c>
      <c r="D347" s="10">
        <f>IFERROR(INDEX('Review Items'!$D:$D,MATCH(C347,'Review Items'!$B:$B,0)),IFERROR(INDEX('Rule Updates'!$B:$B,MATCH(C347,'Rule Updates'!$A:$A,0)),"Uncategorised"))</f>
        <v/>
      </c>
      <c r="E347" s="10">
        <f>IFERROR(INDEX('Review Items'!$E:$E,MATCH(C347,'Review Items'!$B:$B,0)),IFERROR(INDEX('Rule Updates'!$C:$C,MATCH(C347,'Rule Updates'!$A:$A,0)),"Review"))</f>
        <v/>
      </c>
      <c r="F347" s="12" t="n">
        <v>9.99</v>
      </c>
      <c r="G347" s="12" t="n">
        <v>79.17</v>
      </c>
      <c r="H347" s="10" t="n">
        <v>5</v>
      </c>
      <c r="I347" s="10">
        <f>IF(OR(D347="Uncategorised",E347=""),"Check","")</f>
        <v/>
      </c>
    </row>
    <row r="348">
      <c r="A348" s="10" t="inlineStr">
        <is>
          <t>Amex Mar-2025</t>
        </is>
      </c>
      <c r="B348" s="11" t="n">
        <v>45727</v>
      </c>
      <c r="C348" s="10" t="inlineStr">
        <is>
          <t>Hidden Stand meng tian jun</t>
        </is>
      </c>
      <c r="D348" s="10">
        <f>IFERROR(INDEX('Review Items'!$D:$D,MATCH(C348,'Review Items'!$B:$B,0)),IFERROR(INDEX('Rule Updates'!$B:$B,MATCH(C348,'Rule Updates'!$A:$A,0)),"Uncategorised"))</f>
        <v/>
      </c>
      <c r="E348" s="10">
        <f>IFERROR(INDEX('Review Items'!$E:$E,MATCH(C348,'Review Items'!$B:$B,0)),IFERROR(INDEX('Rule Updates'!$C:$C,MATCH(C348,'Rule Updates'!$A:$A,0)),"Review"))</f>
        <v/>
      </c>
      <c r="F348" s="12" t="n">
        <v>3780</v>
      </c>
      <c r="G348" s="12" t="n">
        <v>203.9</v>
      </c>
      <c r="H348" s="10" t="n">
        <v>5</v>
      </c>
      <c r="I348" s="10">
        <f>IF(OR(D348="Uncategorised",E348=""),"Check","")</f>
        <v/>
      </c>
    </row>
    <row r="349">
      <c r="A349" s="10" t="inlineStr">
        <is>
          <t>Amex Apr-2025</t>
        </is>
      </c>
      <c r="B349" s="11" t="n">
        <v>45727</v>
      </c>
      <c r="C349" s="10" t="inlineStr">
        <is>
          <t>RAKUTENPAY MELI MELO YU HOKKAIDO</t>
        </is>
      </c>
      <c r="D349" s="10">
        <f>IFERROR(INDEX('Review Items'!$D:$D,MATCH(C349,'Review Items'!$B:$B,0)),IFERROR(INDEX('Rule Updates'!$B:$B,MATCH(C349,'Rule Updates'!$A:$A,0)),"Uncategorised"))</f>
        <v/>
      </c>
      <c r="E349" s="10">
        <f>IFERROR(INDEX('Review Items'!$E:$E,MATCH(C349,'Review Items'!$B:$B,0)),IFERROR(INDEX('Rule Updates'!$C:$C,MATCH(C349,'Rule Updates'!$A:$A,0)),"Review"))</f>
        <v/>
      </c>
      <c r="F349" s="12" t="n">
        <v>22300</v>
      </c>
      <c r="G349" s="12" t="n">
        <v>1180.41</v>
      </c>
      <c r="H349" s="10" t="n">
        <v>1</v>
      </c>
      <c r="I349" s="10">
        <f>IF(OR(D349="Uncategorised",E349=""),"Check","")</f>
        <v/>
      </c>
    </row>
    <row r="350">
      <c r="A350" s="10" t="inlineStr">
        <is>
          <t>Amex Mar-2025</t>
        </is>
      </c>
      <c r="B350" s="11" t="n">
        <v>45727</v>
      </c>
      <c r="C350" s="10" t="inlineStr">
        <is>
          <t>Rhythm Niseko Setsu meng tian jun</t>
        </is>
      </c>
      <c r="D350" s="10">
        <f>IFERROR(INDEX('Review Items'!$D:$D,MATCH(C350,'Review Items'!$B:$B,0)),IFERROR(INDEX('Rule Updates'!$B:$B,MATCH(C350,'Rule Updates'!$A:$A,0)),"Uncategorised"))</f>
        <v/>
      </c>
      <c r="E350" s="10">
        <f>IFERROR(INDEX('Review Items'!$E:$E,MATCH(C350,'Review Items'!$B:$B,0)),IFERROR(INDEX('Rule Updates'!$C:$C,MATCH(C350,'Rule Updates'!$A:$A,0)),"Review"))</f>
        <v/>
      </c>
      <c r="F350" s="12" t="n">
        <v>2500</v>
      </c>
      <c r="G350" s="12" t="n">
        <v>135.08</v>
      </c>
      <c r="H350" s="10" t="n">
        <v>5</v>
      </c>
      <c r="I350" s="10">
        <f>IF(OR(D350="Uncategorised",E350=""),"Check","")</f>
        <v/>
      </c>
    </row>
    <row r="351">
      <c r="A351" s="10" t="inlineStr">
        <is>
          <t>Amex Mar-2025</t>
        </is>
      </c>
      <c r="B351" s="11" t="n">
        <v>45727</v>
      </c>
      <c r="C351" s="10" t="inlineStr">
        <is>
          <t>Rhythm Niseko Setsu meng tian jun</t>
        </is>
      </c>
      <c r="D351" s="10">
        <f>IFERROR(INDEX('Review Items'!$D:$D,MATCH(C351,'Review Items'!$B:$B,0)),IFERROR(INDEX('Rule Updates'!$B:$B,MATCH(C351,'Rule Updates'!$A:$A,0)),"Uncategorised"))</f>
        <v/>
      </c>
      <c r="E351" s="10">
        <f>IFERROR(INDEX('Review Items'!$E:$E,MATCH(C351,'Review Items'!$B:$B,0)),IFERROR(INDEX('Rule Updates'!$C:$C,MATCH(C351,'Rule Updates'!$A:$A,0)),"Review"))</f>
        <v/>
      </c>
      <c r="F351" s="12" t="n">
        <v>34500</v>
      </c>
      <c r="G351" s="12" t="n">
        <v>1864.52</v>
      </c>
      <c r="H351" s="10" t="n">
        <v>5</v>
      </c>
      <c r="I351" s="10">
        <f>IF(OR(D351="Uncategorised",E351=""),"Check","")</f>
        <v/>
      </c>
    </row>
    <row r="352">
      <c r="A352" s="10" t="inlineStr">
        <is>
          <t>Amex Mar-2025</t>
        </is>
      </c>
      <c r="B352" s="11" t="n">
        <v>45727</v>
      </c>
      <c r="C352" s="10" t="inlineStr">
        <is>
          <t>Rhythm Niseko Summit meng tian jun</t>
        </is>
      </c>
      <c r="D352" s="10">
        <f>IFERROR(INDEX('Review Items'!$D:$D,MATCH(C352,'Review Items'!$B:$B,0)),IFERROR(INDEX('Rule Updates'!$B:$B,MATCH(C352,'Rule Updates'!$A:$A,0)),"Uncategorised"))</f>
        <v/>
      </c>
      <c r="E352" s="10">
        <f>IFERROR(INDEX('Review Items'!$E:$E,MATCH(C352,'Review Items'!$B:$B,0)),IFERROR(INDEX('Rule Updates'!$C:$C,MATCH(C352,'Rule Updates'!$A:$A,0)),"Review"))</f>
        <v/>
      </c>
      <c r="F352" s="12" t="n">
        <v>74000</v>
      </c>
      <c r="G352" s="12" t="n">
        <v>3999.23</v>
      </c>
      <c r="H352" s="10" t="n">
        <v>5</v>
      </c>
      <c r="I352" s="10">
        <f>IF(OR(D352="Uncategorised",E352=""),"Check","")</f>
        <v/>
      </c>
    </row>
    <row r="353">
      <c r="A353" s="10" t="inlineStr">
        <is>
          <t>Amex Mar-2025</t>
        </is>
      </c>
      <c r="B353" s="11" t="n">
        <v>45727</v>
      </c>
      <c r="C353" s="10" t="inlineStr">
        <is>
          <t>TC NISEKOBION TOKYO</t>
        </is>
      </c>
      <c r="D353" s="10">
        <f>IFERROR(INDEX('Review Items'!$D:$D,MATCH(C353,'Review Items'!$B:$B,0)),IFERROR(INDEX('Rule Updates'!$B:$B,MATCH(C353,'Rule Updates'!$A:$A,0)),"Uncategorised"))</f>
        <v/>
      </c>
      <c r="E353" s="10">
        <f>IFERROR(INDEX('Review Items'!$E:$E,MATCH(C353,'Review Items'!$B:$B,0)),IFERROR(INDEX('Rule Updates'!$C:$C,MATCH(C353,'Rule Updates'!$A:$A,0)),"Review"))</f>
        <v/>
      </c>
      <c r="F353" s="12" t="n">
        <v>85800</v>
      </c>
      <c r="G353" s="12" t="n">
        <v>4606.93</v>
      </c>
      <c r="H353" s="10" t="n">
        <v>6</v>
      </c>
      <c r="I353" s="10">
        <f>IF(OR(D353="Uncategorised",E353=""),"Check","")</f>
        <v/>
      </c>
    </row>
    <row r="354">
      <c r="A354" s="10" t="inlineStr">
        <is>
          <t>Amex Mar-2025</t>
        </is>
      </c>
      <c r="B354" s="11" t="n">
        <v>45728</v>
      </c>
      <c r="C354" s="10" t="inlineStr">
        <is>
          <t>Luke's Alpine Club meng tian jun</t>
        </is>
      </c>
      <c r="D354" s="10">
        <f>IFERROR(INDEX('Review Items'!$D:$D,MATCH(C354,'Review Items'!$B:$B,0)),IFERROR(INDEX('Rule Updates'!$B:$B,MATCH(C354,'Rule Updates'!$A:$A,0)),"Uncategorised"))</f>
        <v/>
      </c>
      <c r="E354" s="10">
        <f>IFERROR(INDEX('Review Items'!$E:$E,MATCH(C354,'Review Items'!$B:$B,0)),IFERROR(INDEX('Rule Updates'!$C:$C,MATCH(C354,'Rule Updates'!$A:$A,0)),"Review"))</f>
        <v/>
      </c>
      <c r="F354" s="12" t="n">
        <v>65604</v>
      </c>
      <c r="G354" s="12" t="n">
        <v>3540.77</v>
      </c>
      <c r="H354" s="10" t="n">
        <v>6</v>
      </c>
      <c r="I354" s="10">
        <f>IF(OR(D354="Uncategorised",E354=""),"Check","")</f>
        <v/>
      </c>
    </row>
    <row r="355">
      <c r="A355" s="10" t="inlineStr">
        <is>
          <t>Amex Mar-2025</t>
        </is>
      </c>
      <c r="B355" s="11" t="n">
        <v>45728</v>
      </c>
      <c r="C355" s="10" t="inlineStr">
        <is>
          <t>Rikka Spa meng tian jun j</t>
        </is>
      </c>
      <c r="D355" s="10">
        <f>IFERROR(INDEX('Review Items'!$D:$D,MATCH(C355,'Review Items'!$B:$B,0)),IFERROR(INDEX('Rule Updates'!$B:$B,MATCH(C355,'Rule Updates'!$A:$A,0)),"Uncategorised"))</f>
        <v/>
      </c>
      <c r="E355" s="10">
        <f>IFERROR(INDEX('Review Items'!$E:$E,MATCH(C355,'Review Items'!$B:$B,0)),IFERROR(INDEX('Rule Updates'!$C:$C,MATCH(C355,'Rule Updates'!$A:$A,0)),"Review"))</f>
        <v/>
      </c>
      <c r="F355" s="12" t="n">
        <v>2100</v>
      </c>
      <c r="G355" s="12" t="n">
        <v>113.34</v>
      </c>
      <c r="H355" s="10" t="n">
        <v>6</v>
      </c>
      <c r="I355" s="10">
        <f>IF(OR(D355="Uncategorised",E355=""),"Check","")</f>
        <v/>
      </c>
    </row>
    <row r="356">
      <c r="A356" s="10" t="inlineStr">
        <is>
          <t>Amex Mar-2025</t>
        </is>
      </c>
      <c r="B356" s="11" t="n">
        <v>45729</v>
      </c>
      <c r="C356" s="10" t="inlineStr">
        <is>
          <t>Hidden Stand meng tian jun</t>
        </is>
      </c>
      <c r="D356" s="10">
        <f>IFERROR(INDEX('Review Items'!$D:$D,MATCH(C356,'Review Items'!$B:$B,0)),IFERROR(INDEX('Rule Updates'!$B:$B,MATCH(C356,'Rule Updates'!$A:$A,0)),"Uncategorised"))</f>
        <v/>
      </c>
      <c r="E356" s="10">
        <f>IFERROR(INDEX('Review Items'!$E:$E,MATCH(C356,'Review Items'!$B:$B,0)),IFERROR(INDEX('Rule Updates'!$C:$C,MATCH(C356,'Rule Updates'!$A:$A,0)),"Review"))</f>
        <v/>
      </c>
      <c r="F356" s="12" t="n">
        <v>1600</v>
      </c>
      <c r="G356" s="12" t="n">
        <v>86.39</v>
      </c>
      <c r="H356" s="10" t="n">
        <v>6</v>
      </c>
      <c r="I356" s="10">
        <f>IF(OR(D356="Uncategorised",E356=""),"Check","")</f>
        <v/>
      </c>
    </row>
    <row r="357">
      <c r="A357" s="10" t="inlineStr">
        <is>
          <t>Amex Mar-2025</t>
        </is>
      </c>
      <c r="B357" s="11" t="n">
        <v>45729</v>
      </c>
      <c r="C357" s="10" t="inlineStr">
        <is>
          <t>Hidden Stand meng tian jun</t>
        </is>
      </c>
      <c r="D357" s="10">
        <f>IFERROR(INDEX('Review Items'!$D:$D,MATCH(C357,'Review Items'!$B:$B,0)),IFERROR(INDEX('Rule Updates'!$B:$B,MATCH(C357,'Rule Updates'!$A:$A,0)),"Uncategorised"))</f>
        <v/>
      </c>
      <c r="E357" s="10">
        <f>IFERROR(INDEX('Review Items'!$E:$E,MATCH(C357,'Review Items'!$B:$B,0)),IFERROR(INDEX('Rule Updates'!$C:$C,MATCH(C357,'Rule Updates'!$A:$A,0)),"Review"))</f>
        <v/>
      </c>
      <c r="F357" s="12" t="n">
        <v>1600</v>
      </c>
      <c r="G357" s="12" t="n">
        <v>86.39</v>
      </c>
      <c r="H357" s="10" t="n">
        <v>6</v>
      </c>
      <c r="I357" s="10">
        <f>IF(OR(D357="Uncategorised",E357=""),"Check","")</f>
        <v/>
      </c>
    </row>
    <row r="358">
      <c r="A358" s="10" t="inlineStr">
        <is>
          <t>Amex Apr-2025</t>
        </is>
      </c>
      <c r="B358" s="11" t="n">
        <v>45729</v>
      </c>
      <c r="C358" s="10" t="inlineStr">
        <is>
          <t>RAKUTENPAY YAKITORI FUJ HOKKAIDO</t>
        </is>
      </c>
      <c r="D358" s="10">
        <f>IFERROR(INDEX('Review Items'!$D:$D,MATCH(C358,'Review Items'!$B:$B,0)),IFERROR(INDEX('Rule Updates'!$B:$B,MATCH(C358,'Rule Updates'!$A:$A,0)),"Uncategorised"))</f>
        <v/>
      </c>
      <c r="E358" s="10">
        <f>IFERROR(INDEX('Review Items'!$E:$E,MATCH(C358,'Review Items'!$B:$B,0)),IFERROR(INDEX('Rule Updates'!$C:$C,MATCH(C358,'Rule Updates'!$A:$A,0)),"Review"))</f>
        <v/>
      </c>
      <c r="F358" s="12" t="n">
        <v>5550</v>
      </c>
      <c r="G358" s="12" t="n">
        <v>293.79</v>
      </c>
      <c r="H358" s="10" t="n">
        <v>1</v>
      </c>
      <c r="I358" s="10">
        <f>IF(OR(D358="Uncategorised",E358=""),"Check","")</f>
        <v/>
      </c>
    </row>
    <row r="359">
      <c r="A359" s="10" t="inlineStr">
        <is>
          <t>Amex Mar-2025</t>
        </is>
      </c>
      <c r="B359" s="11" t="n">
        <v>45730</v>
      </c>
      <c r="C359" s="10" t="inlineStr">
        <is>
          <t>KAMORI WEB TICKET SHOP HOKKAIDO</t>
        </is>
      </c>
      <c r="D359" s="10">
        <f>IFERROR(INDEX('Review Items'!$D:$D,MATCH(C359,'Review Items'!$B:$B,0)),IFERROR(INDEX('Rule Updates'!$B:$B,MATCH(C359,'Rule Updates'!$A:$A,0)),"Uncategorised"))</f>
        <v/>
      </c>
      <c r="E359" s="10">
        <f>IFERROR(INDEX('Review Items'!$E:$E,MATCH(C359,'Review Items'!$B:$B,0)),IFERROR(INDEX('Rule Updates'!$C:$C,MATCH(C359,'Rule Updates'!$A:$A,0)),"Review"))</f>
        <v/>
      </c>
      <c r="F359" s="12" t="n">
        <v>9800</v>
      </c>
      <c r="G359" s="12" t="n">
        <v>523.8099999999999</v>
      </c>
      <c r="H359" s="10" t="n">
        <v>6</v>
      </c>
      <c r="I359" s="10">
        <f>IF(OR(D359="Uncategorised",E359=""),"Check","")</f>
        <v/>
      </c>
    </row>
    <row r="360">
      <c r="A360" s="10" t="inlineStr">
        <is>
          <t>Amex Mar-2025</t>
        </is>
      </c>
      <c r="B360" s="11" t="n">
        <v>45730</v>
      </c>
      <c r="C360" s="10" t="inlineStr">
        <is>
          <t>PIKANROLLPIZZA PG HOKKAIDO</t>
        </is>
      </c>
      <c r="D360" s="10">
        <f>IFERROR(INDEX('Review Items'!$D:$D,MATCH(C360,'Review Items'!$B:$B,0)),IFERROR(INDEX('Rule Updates'!$B:$B,MATCH(C360,'Rule Updates'!$A:$A,0)),"Uncategorised"))</f>
        <v/>
      </c>
      <c r="E360" s="10">
        <f>IFERROR(INDEX('Review Items'!$E:$E,MATCH(C360,'Review Items'!$B:$B,0)),IFERROR(INDEX('Rule Updates'!$C:$C,MATCH(C360,'Rule Updates'!$A:$A,0)),"Review"))</f>
        <v/>
      </c>
      <c r="F360" s="12" t="n">
        <v>4810</v>
      </c>
      <c r="G360" s="12" t="n">
        <v>257.14</v>
      </c>
      <c r="H360" s="10" t="n">
        <v>6</v>
      </c>
      <c r="I360" s="10">
        <f>IF(OR(D360="Uncategorised",E360=""),"Check","")</f>
        <v/>
      </c>
    </row>
    <row r="361">
      <c r="A361" s="10" t="inlineStr">
        <is>
          <t>Amex Mar-2025</t>
        </is>
      </c>
      <c r="B361" s="11" t="n">
        <v>45730</v>
      </c>
      <c r="C361" s="10" t="inlineStr">
        <is>
          <t>TC RISTORANTE THE RHOKKAIDO</t>
        </is>
      </c>
      <c r="D361" s="10">
        <f>IFERROR(INDEX('Review Items'!$D:$D,MATCH(C361,'Review Items'!$B:$B,0)),IFERROR(INDEX('Rule Updates'!$B:$B,MATCH(C361,'Rule Updates'!$A:$A,0)),"Uncategorised"))</f>
        <v/>
      </c>
      <c r="E361" s="10">
        <f>IFERROR(INDEX('Review Items'!$E:$E,MATCH(C361,'Review Items'!$B:$B,0)),IFERROR(INDEX('Rule Updates'!$C:$C,MATCH(C361,'Rule Updates'!$A:$A,0)),"Review"))</f>
        <v/>
      </c>
      <c r="F361" s="12" t="n">
        <v>26400</v>
      </c>
      <c r="G361" s="12" t="n">
        <v>1411.17</v>
      </c>
      <c r="H361" s="10" t="n">
        <v>6</v>
      </c>
      <c r="I361" s="10">
        <f>IF(OR(D361="Uncategorised",E361=""),"Check","")</f>
        <v/>
      </c>
    </row>
    <row r="362">
      <c r="A362" s="10" t="inlineStr">
        <is>
          <t>Amex Mar-2025</t>
        </is>
      </c>
      <c r="B362" s="11" t="n">
        <v>45730</v>
      </c>
      <c r="C362" s="10" t="inlineStr">
        <is>
          <t>Trattoria R meng tian jun</t>
        </is>
      </c>
      <c r="D362" s="10">
        <f>IFERROR(INDEX('Review Items'!$D:$D,MATCH(C362,'Review Items'!$B:$B,0)),IFERROR(INDEX('Rule Updates'!$B:$B,MATCH(C362,'Rule Updates'!$A:$A,0)),"Uncategorised"))</f>
        <v/>
      </c>
      <c r="E362" s="10">
        <f>IFERROR(INDEX('Review Items'!$E:$E,MATCH(C362,'Review Items'!$B:$B,0)),IFERROR(INDEX('Rule Updates'!$C:$C,MATCH(C362,'Rule Updates'!$A:$A,0)),"Review"))</f>
        <v/>
      </c>
      <c r="F362" s="12" t="n">
        <v>37598</v>
      </c>
      <c r="G362" s="12" t="n">
        <v>2018.75</v>
      </c>
      <c r="H362" s="10" t="n">
        <v>6</v>
      </c>
      <c r="I362" s="10">
        <f>IF(OR(D362="Uncategorised",E362=""),"Check","")</f>
        <v/>
      </c>
    </row>
    <row r="363">
      <c r="A363" s="10" t="inlineStr">
        <is>
          <t>Amex Mar-2025</t>
        </is>
      </c>
      <c r="B363" s="11" t="n">
        <v>45731</v>
      </c>
      <c r="C363" s="10" t="inlineStr">
        <is>
          <t>KIRORORESORT HOKKAIDO</t>
        </is>
      </c>
      <c r="D363" s="10">
        <f>IFERROR(INDEX('Review Items'!$D:$D,MATCH(C363,'Review Items'!$B:$B,0)),IFERROR(INDEX('Rule Updates'!$B:$B,MATCH(C363,'Rule Updates'!$A:$A,0)),"Uncategorised"))</f>
        <v/>
      </c>
      <c r="E363" s="10">
        <f>IFERROR(INDEX('Review Items'!$E:$E,MATCH(C363,'Review Items'!$B:$B,0)),IFERROR(INDEX('Rule Updates'!$C:$C,MATCH(C363,'Rule Updates'!$A:$A,0)),"Review"))</f>
        <v/>
      </c>
      <c r="F363" s="12" t="n">
        <v>7300</v>
      </c>
      <c r="G363" s="12" t="n">
        <v>390.2</v>
      </c>
      <c r="H363" s="10" t="n">
        <v>6</v>
      </c>
      <c r="I363" s="10">
        <f>IF(OR(D363="Uncategorised",E363=""),"Check","")</f>
        <v/>
      </c>
    </row>
    <row r="364">
      <c r="A364" s="10" t="inlineStr">
        <is>
          <t>Amex Mar-2025</t>
        </is>
      </c>
      <c r="B364" s="11" t="n">
        <v>45731</v>
      </c>
      <c r="C364" s="10" t="inlineStr">
        <is>
          <t>KIRORORESORT HOKKAIDO</t>
        </is>
      </c>
      <c r="D364" s="10">
        <f>IFERROR(INDEX('Review Items'!$D:$D,MATCH(C364,'Review Items'!$B:$B,0)),IFERROR(INDEX('Rule Updates'!$B:$B,MATCH(C364,'Rule Updates'!$A:$A,0)),"Uncategorised"))</f>
        <v/>
      </c>
      <c r="E364" s="10">
        <f>IFERROR(INDEX('Review Items'!$E:$E,MATCH(C364,'Review Items'!$B:$B,0)),IFERROR(INDEX('Rule Updates'!$C:$C,MATCH(C364,'Rule Updates'!$A:$A,0)),"Review"))</f>
        <v/>
      </c>
      <c r="F364" s="12" t="n">
        <v>880</v>
      </c>
      <c r="G364" s="12" t="n">
        <v>47.02</v>
      </c>
      <c r="H364" s="10" t="n">
        <v>6</v>
      </c>
      <c r="I364" s="10">
        <f>IF(OR(D364="Uncategorised",E364=""),"Check","")</f>
        <v/>
      </c>
    </row>
    <row r="365">
      <c r="A365" s="10" t="inlineStr">
        <is>
          <t>Amex Mar-2025</t>
        </is>
      </c>
      <c r="B365" s="11" t="n">
        <v>45731</v>
      </c>
      <c r="C365" s="10" t="inlineStr">
        <is>
          <t>LAWSON *</t>
        </is>
      </c>
      <c r="D365" s="10">
        <f>IFERROR(INDEX('Review Items'!$D:$D,MATCH(C365,'Review Items'!$B:$B,0)),IFERROR(INDEX('Rule Updates'!$B:$B,MATCH(C365,'Rule Updates'!$A:$A,0)),"Uncategorised"))</f>
        <v/>
      </c>
      <c r="E365" s="10">
        <f>IFERROR(INDEX('Review Items'!$E:$E,MATCH(C365,'Review Items'!$B:$B,0)),IFERROR(INDEX('Rule Updates'!$C:$C,MATCH(C365,'Rule Updates'!$A:$A,0)),"Review"))</f>
        <v/>
      </c>
      <c r="F365" s="12" t="n">
        <v>334</v>
      </c>
      <c r="G365" s="12" t="n">
        <v>17.83</v>
      </c>
      <c r="H365" s="10" t="n">
        <v>6</v>
      </c>
      <c r="I365" s="10">
        <f>IF(OR(D365="Uncategorised",E365=""),"Check","")</f>
        <v/>
      </c>
    </row>
    <row r="366">
      <c r="A366" s="10" t="inlineStr">
        <is>
          <t>Amex Mar-2025</t>
        </is>
      </c>
      <c r="B366" s="11" t="n">
        <v>45731</v>
      </c>
      <c r="C366" s="10" t="inlineStr">
        <is>
          <t>NisekoBion meng tian jun j</t>
        </is>
      </c>
      <c r="D366" s="10">
        <f>IFERROR(INDEX('Review Items'!$D:$D,MATCH(C366,'Review Items'!$B:$B,0)),IFERROR(INDEX('Rule Updates'!$B:$B,MATCH(C366,'Rule Updates'!$A:$A,0)),"Uncategorised"))</f>
        <v/>
      </c>
      <c r="E366" s="10">
        <f>IFERROR(INDEX('Review Items'!$E:$E,MATCH(C366,'Review Items'!$B:$B,0)),IFERROR(INDEX('Rule Updates'!$C:$C,MATCH(C366,'Rule Updates'!$A:$A,0)),"Review"))</f>
        <v/>
      </c>
      <c r="F366" s="12" t="n">
        <v>88000</v>
      </c>
      <c r="G366" s="12" t="n">
        <v>4703.88</v>
      </c>
      <c r="H366" s="10" t="n">
        <v>6</v>
      </c>
      <c r="I366" s="10">
        <f>IF(OR(D366="Uncategorised",E366=""),"Check","")</f>
        <v/>
      </c>
    </row>
    <row r="367">
      <c r="A367" s="10" t="inlineStr">
        <is>
          <t>Amex Mar-2025</t>
        </is>
      </c>
      <c r="B367" s="11" t="n">
        <v>45732</v>
      </c>
      <c r="C367" s="10" t="inlineStr">
        <is>
          <t>LAWSON *</t>
        </is>
      </c>
      <c r="D367" s="10">
        <f>IFERROR(INDEX('Review Items'!$D:$D,MATCH(C367,'Review Items'!$B:$B,0)),IFERROR(INDEX('Rule Updates'!$B:$B,MATCH(C367,'Rule Updates'!$A:$A,0)),"Uncategorised"))</f>
        <v/>
      </c>
      <c r="E367" s="10">
        <f>IFERROR(INDEX('Review Items'!$E:$E,MATCH(C367,'Review Items'!$B:$B,0)),IFERROR(INDEX('Rule Updates'!$C:$C,MATCH(C367,'Rule Updates'!$A:$A,0)),"Review"))</f>
        <v/>
      </c>
      <c r="F367" s="12" t="n">
        <v>1063</v>
      </c>
      <c r="G367" s="12" t="n">
        <v>56.85</v>
      </c>
      <c r="H367" s="10" t="n">
        <v>6</v>
      </c>
      <c r="I367" s="10">
        <f>IF(OR(D367="Uncategorised",E367=""),"Check","")</f>
        <v/>
      </c>
    </row>
    <row r="368">
      <c r="A368" s="10" t="inlineStr">
        <is>
          <t>Amex Mar-2025</t>
        </is>
      </c>
      <c r="B368" s="11" t="n">
        <v>45732</v>
      </c>
      <c r="C368" s="10" t="inlineStr">
        <is>
          <t>NEW CHITOSE APTT.BLDG JAPAN</t>
        </is>
      </c>
      <c r="D368" s="10">
        <f>IFERROR(INDEX('Review Items'!$D:$D,MATCH(C368,'Review Items'!$B:$B,0)),IFERROR(INDEX('Rule Updates'!$B:$B,MATCH(C368,'Rule Updates'!$A:$A,0)),"Uncategorised"))</f>
        <v/>
      </c>
      <c r="E368" s="10">
        <f>IFERROR(INDEX('Review Items'!$E:$E,MATCH(C368,'Review Items'!$B:$B,0)),IFERROR(INDEX('Rule Updates'!$C:$C,MATCH(C368,'Rule Updates'!$A:$A,0)),"Review"))</f>
        <v/>
      </c>
      <c r="F368" s="12" t="n">
        <v>9218</v>
      </c>
      <c r="G368" s="12" t="n">
        <v>492.32</v>
      </c>
      <c r="H368" s="10" t="n">
        <v>6</v>
      </c>
      <c r="I368" s="10">
        <f>IF(OR(D368="Uncategorised",E368=""),"Check","")</f>
        <v/>
      </c>
    </row>
    <row r="369">
      <c r="A369" s="10" t="inlineStr">
        <is>
          <t>Amex Mar-2025</t>
        </is>
      </c>
      <c r="B369" s="11" t="n">
        <v>45732</v>
      </c>
      <c r="C369" s="10" t="inlineStr">
        <is>
          <t>NEW CHITOSE APTT.BLDG JAPAN</t>
        </is>
      </c>
      <c r="D369" s="10">
        <f>IFERROR(INDEX('Review Items'!$D:$D,MATCH(C369,'Review Items'!$B:$B,0)),IFERROR(INDEX('Rule Updates'!$B:$B,MATCH(C369,'Rule Updates'!$A:$A,0)),"Uncategorised"))</f>
        <v/>
      </c>
      <c r="E369" s="10">
        <f>IFERROR(INDEX('Review Items'!$E:$E,MATCH(C369,'Review Items'!$B:$B,0)),IFERROR(INDEX('Rule Updates'!$C:$C,MATCH(C369,'Rule Updates'!$A:$A,0)),"Review"))</f>
        <v/>
      </c>
      <c r="F369" s="12" t="n">
        <v>5234</v>
      </c>
      <c r="G369" s="12" t="n">
        <v>279.53</v>
      </c>
      <c r="H369" s="10" t="n">
        <v>7</v>
      </c>
      <c r="I369" s="10">
        <f>IF(OR(D369="Uncategorised",E369=""),"Check","")</f>
        <v/>
      </c>
    </row>
    <row r="370">
      <c r="A370" s="10" t="inlineStr">
        <is>
          <t>Amex Mar-2025</t>
        </is>
      </c>
      <c r="B370" s="11" t="n">
        <v>45732</v>
      </c>
      <c r="C370" s="10" t="inlineStr">
        <is>
          <t>NEW CHITOSE APTT.BLDG JAPAN</t>
        </is>
      </c>
      <c r="D370" s="10">
        <f>IFERROR(INDEX('Review Items'!$D:$D,MATCH(C370,'Review Items'!$B:$B,0)),IFERROR(INDEX('Rule Updates'!$B:$B,MATCH(C370,'Rule Updates'!$A:$A,0)),"Uncategorised"))</f>
        <v/>
      </c>
      <c r="E370" s="10">
        <f>IFERROR(INDEX('Review Items'!$E:$E,MATCH(C370,'Review Items'!$B:$B,0)),IFERROR(INDEX('Rule Updates'!$C:$C,MATCH(C370,'Rule Updates'!$A:$A,0)),"Review"))</f>
        <v/>
      </c>
      <c r="F370" s="12" t="n">
        <v>1180</v>
      </c>
      <c r="G370" s="12" t="n">
        <v>63</v>
      </c>
      <c r="H370" s="10" t="n">
        <v>7</v>
      </c>
      <c r="I370" s="10">
        <f>IF(OR(D370="Uncategorised",E370=""),"Check","")</f>
        <v/>
      </c>
    </row>
    <row r="371">
      <c r="A371" s="10" t="inlineStr">
        <is>
          <t>Amex Mar-2025</t>
        </is>
      </c>
      <c r="B371" s="11" t="n">
        <v>45732</v>
      </c>
      <c r="C371" s="10" t="inlineStr">
        <is>
          <t>Setsu Niseko HOKKAIDO</t>
        </is>
      </c>
      <c r="D371" s="10">
        <f>IFERROR(INDEX('Review Items'!$D:$D,MATCH(C371,'Review Items'!$B:$B,0)),IFERROR(INDEX('Rule Updates'!$B:$B,MATCH(C371,'Rule Updates'!$A:$A,0)),"Uncategorised"))</f>
        <v/>
      </c>
      <c r="E371" s="10">
        <f>IFERROR(INDEX('Review Items'!$E:$E,MATCH(C371,'Review Items'!$B:$B,0)),IFERROR(INDEX('Rule Updates'!$C:$C,MATCH(C371,'Rule Updates'!$A:$A,0)),"Review"))</f>
        <v/>
      </c>
      <c r="F371" s="12" t="n">
        <v>214760</v>
      </c>
      <c r="G371" s="12" t="n">
        <v>11470.9</v>
      </c>
      <c r="H371" s="10" t="n">
        <v>6</v>
      </c>
      <c r="I371" s="10">
        <f>IF(OR(D371="Uncategorised",E371=""),"Check","")</f>
        <v/>
      </c>
    </row>
    <row r="372">
      <c r="A372" s="10" t="inlineStr">
        <is>
          <t>Amex Mar-2025</t>
        </is>
      </c>
      <c r="B372" s="11" t="n">
        <v>45733</v>
      </c>
      <c r="C372" s="10" t="inlineStr">
        <is>
          <t>RESERVEPS.COM LOS ANGELES</t>
        </is>
      </c>
      <c r="D372" s="10">
        <f>IFERROR(INDEX('Review Items'!$D:$D,MATCH(C372,'Review Items'!$B:$B,0)),IFERROR(INDEX('Rule Updates'!$B:$B,MATCH(C372,'Rule Updates'!$A:$A,0)),"Uncategorised"))</f>
        <v/>
      </c>
      <c r="E372" s="10">
        <f>IFERROR(INDEX('Review Items'!$E:$E,MATCH(C372,'Review Items'!$B:$B,0)),IFERROR(INDEX('Rule Updates'!$C:$C,MATCH(C372,'Rule Updates'!$A:$A,0)),"Review"))</f>
        <v/>
      </c>
      <c r="F372" s="12" t="n">
        <v>1250</v>
      </c>
      <c r="G372" s="12" t="n">
        <v>9911.98</v>
      </c>
      <c r="H372" s="10" t="n">
        <v>7</v>
      </c>
      <c r="I372" s="10">
        <f>IF(OR(D372="Uncategorised",E372=""),"Check","")</f>
        <v/>
      </c>
    </row>
    <row r="373">
      <c r="A373" s="10" t="inlineStr">
        <is>
          <t>Amex Mar-2025</t>
        </is>
      </c>
      <c r="B373" s="11" t="n">
        <v>45735</v>
      </c>
      <c r="C373" s="10" t="inlineStr">
        <is>
          <t>CITY'SUPER CENTRAL</t>
        </is>
      </c>
      <c r="D373" s="10">
        <f>IFERROR(INDEX('Review Items'!$D:$D,MATCH(C373,'Review Items'!$B:$B,0)),IFERROR(INDEX('Rule Updates'!$B:$B,MATCH(C373,'Rule Updates'!$A:$A,0)),"Uncategorised"))</f>
        <v/>
      </c>
      <c r="E373" s="10">
        <f>IFERROR(INDEX('Review Items'!$E:$E,MATCH(C373,'Review Items'!$B:$B,0)),IFERROR(INDEX('Rule Updates'!$C:$C,MATCH(C373,'Rule Updates'!$A:$A,0)),"Review"))</f>
        <v/>
      </c>
      <c r="F373" s="10" t="n"/>
      <c r="G373" s="12" t="n">
        <v>4229.4</v>
      </c>
      <c r="H373" s="10" t="n">
        <v>7</v>
      </c>
      <c r="I373" s="10">
        <f>IF(OR(D373="Uncategorised",E373=""),"Check","")</f>
        <v/>
      </c>
    </row>
    <row r="374">
      <c r="A374" s="10" t="inlineStr">
        <is>
          <t>Amex Mar-2025</t>
        </is>
      </c>
      <c r="B374" s="11" t="n">
        <v>45735</v>
      </c>
      <c r="C374" s="10" t="inlineStr">
        <is>
          <t>LANE CRAWFORD (IFC) CENTRAL</t>
        </is>
      </c>
      <c r="D374" s="10">
        <f>IFERROR(INDEX('Review Items'!$D:$D,MATCH(C374,'Review Items'!$B:$B,0)),IFERROR(INDEX('Rule Updates'!$B:$B,MATCH(C374,'Rule Updates'!$A:$A,0)),"Uncategorised"))</f>
        <v/>
      </c>
      <c r="E374" s="10">
        <f>IFERROR(INDEX('Review Items'!$E:$E,MATCH(C374,'Review Items'!$B:$B,0)),IFERROR(INDEX('Rule Updates'!$C:$C,MATCH(C374,'Rule Updates'!$A:$A,0)),"Review"))</f>
        <v/>
      </c>
      <c r="F374" s="10" t="n"/>
      <c r="G374" s="12" t="n">
        <v>8750</v>
      </c>
      <c r="H374" s="10" t="n">
        <v>7</v>
      </c>
      <c r="I374" s="10">
        <f>IF(OR(D374="Uncategorised",E374=""),"Check","")</f>
        <v/>
      </c>
    </row>
    <row r="375">
      <c r="A375" s="10" t="inlineStr">
        <is>
          <t>Amex Mar-2025</t>
        </is>
      </c>
      <c r="B375" s="11" t="n">
        <v>45736</v>
      </c>
      <c r="C375" s="10" t="inlineStr">
        <is>
          <t>AMERICAN VINTAGE SIGNES</t>
        </is>
      </c>
      <c r="D375" s="10">
        <f>IFERROR(INDEX('Review Items'!$D:$D,MATCH(C375,'Review Items'!$B:$B,0)),IFERROR(INDEX('Rule Updates'!$B:$B,MATCH(C375,'Rule Updates'!$A:$A,0)),"Uncategorised"))</f>
        <v/>
      </c>
      <c r="E375" s="10">
        <f>IFERROR(INDEX('Review Items'!$E:$E,MATCH(C375,'Review Items'!$B:$B,0)),IFERROR(INDEX('Rule Updates'!$C:$C,MATCH(C375,'Rule Updates'!$A:$A,0)),"Review"))</f>
        <v/>
      </c>
      <c r="F375" s="12" t="n">
        <v>805</v>
      </c>
      <c r="G375" s="12" t="n">
        <v>8284.459999999999</v>
      </c>
      <c r="H375" s="10" t="n">
        <v>7</v>
      </c>
      <c r="I375" s="10">
        <f>IF(OR(D375="Uncategorised",E375=""),"Check","")</f>
        <v/>
      </c>
    </row>
    <row r="376">
      <c r="A376" s="10" t="inlineStr">
        <is>
          <t>Amex Mar-2025</t>
        </is>
      </c>
      <c r="B376" s="11" t="n">
        <v>45736</v>
      </c>
      <c r="C376" s="10" t="inlineStr">
        <is>
          <t>AMERICAN VINTAGE SIGNES</t>
        </is>
      </c>
      <c r="D376" s="10">
        <f>IFERROR(INDEX('Review Items'!$D:$D,MATCH(C376,'Review Items'!$B:$B,0)),IFERROR(INDEX('Rule Updates'!$B:$B,MATCH(C376,'Rule Updates'!$A:$A,0)),"Uncategorised"))</f>
        <v/>
      </c>
      <c r="E376" s="10">
        <f>IFERROR(INDEX('Review Items'!$E:$E,MATCH(C376,'Review Items'!$B:$B,0)),IFERROR(INDEX('Rule Updates'!$C:$C,MATCH(C376,'Rule Updates'!$A:$A,0)),"Review"))</f>
        <v/>
      </c>
      <c r="F376" s="12" t="n">
        <v>22</v>
      </c>
      <c r="G376" s="12" t="n">
        <v>226.38</v>
      </c>
      <c r="H376" s="10" t="n">
        <v>7</v>
      </c>
      <c r="I376" s="10">
        <f>IF(OR(D376="Uncategorised",E376=""),"Check","")</f>
        <v/>
      </c>
    </row>
    <row r="377">
      <c r="A377" s="10" t="inlineStr">
        <is>
          <t>Amex Mar-2025</t>
        </is>
      </c>
      <c r="B377" s="11" t="n">
        <v>45736</v>
      </c>
      <c r="C377" s="10" t="inlineStr">
        <is>
          <t>AMERICAN VINTAGE SIGNES</t>
        </is>
      </c>
      <c r="D377" s="10">
        <f>IFERROR(INDEX('Review Items'!$D:$D,MATCH(C377,'Review Items'!$B:$B,0)),IFERROR(INDEX('Rule Updates'!$B:$B,MATCH(C377,'Rule Updates'!$A:$A,0)),"Uncategorised"))</f>
        <v/>
      </c>
      <c r="E377" s="10">
        <f>IFERROR(INDEX('Review Items'!$E:$E,MATCH(C377,'Review Items'!$B:$B,0)),IFERROR(INDEX('Rule Updates'!$C:$C,MATCH(C377,'Rule Updates'!$A:$A,0)),"Review"))</f>
        <v/>
      </c>
      <c r="F377" s="12" t="n">
        <v>210</v>
      </c>
      <c r="G377" s="12" t="n">
        <v>2161.14</v>
      </c>
      <c r="H377" s="10" t="n">
        <v>7</v>
      </c>
      <c r="I377" s="10">
        <f>IF(OR(D377="Uncategorised",E377=""),"Check","")</f>
        <v/>
      </c>
    </row>
    <row r="378">
      <c r="A378" s="10" t="inlineStr">
        <is>
          <t>Amex Mar-2025</t>
        </is>
      </c>
      <c r="B378" s="11" t="n">
        <v>45736</v>
      </c>
      <c r="C378" s="10" t="inlineStr">
        <is>
          <t>IL COLPO PACIFIC PLACE ADMIRALTY</t>
        </is>
      </c>
      <c r="D378" s="10">
        <f>IFERROR(INDEX('Review Items'!$D:$D,MATCH(C378,'Review Items'!$B:$B,0)),IFERROR(INDEX('Rule Updates'!$B:$B,MATCH(C378,'Rule Updates'!$A:$A,0)),"Uncategorised"))</f>
        <v/>
      </c>
      <c r="E378" s="10">
        <f>IFERROR(INDEX('Review Items'!$E:$E,MATCH(C378,'Review Items'!$B:$B,0)),IFERROR(INDEX('Rule Updates'!$C:$C,MATCH(C378,'Rule Updates'!$A:$A,0)),"Review"))</f>
        <v/>
      </c>
      <c r="F378" s="10" t="n"/>
      <c r="G378" s="12" t="n">
        <v>4680</v>
      </c>
      <c r="H378" s="10" t="n">
        <v>7</v>
      </c>
      <c r="I378" s="10">
        <f>IF(OR(D378="Uncategorised",E378=""),"Check","")</f>
        <v/>
      </c>
    </row>
    <row r="379">
      <c r="A379" s="10" t="inlineStr">
        <is>
          <t>Amex Mar-2025</t>
        </is>
      </c>
      <c r="B379" s="11" t="n">
        <v>45736</v>
      </c>
      <c r="C379" s="10" t="inlineStr">
        <is>
          <t>THE MANDARIN SALON CENTRAL</t>
        </is>
      </c>
      <c r="D379" s="10">
        <f>IFERROR(INDEX('Review Items'!$D:$D,MATCH(C379,'Review Items'!$B:$B,0)),IFERROR(INDEX('Rule Updates'!$B:$B,MATCH(C379,'Rule Updates'!$A:$A,0)),"Uncategorised"))</f>
        <v/>
      </c>
      <c r="E379" s="10">
        <f>IFERROR(INDEX('Review Items'!$E:$E,MATCH(C379,'Review Items'!$B:$B,0)),IFERROR(INDEX('Rule Updates'!$C:$C,MATCH(C379,'Rule Updates'!$A:$A,0)),"Review"))</f>
        <v/>
      </c>
      <c r="F379" s="10" t="n"/>
      <c r="G379" s="12" t="n">
        <v>1950</v>
      </c>
      <c r="H379" s="10" t="n">
        <v>7</v>
      </c>
      <c r="I379" s="10">
        <f>IF(OR(D379="Uncategorised",E379=""),"Check","")</f>
        <v/>
      </c>
    </row>
    <row r="380">
      <c r="A380" s="10" t="inlineStr">
        <is>
          <t>Amex Mar-2025</t>
        </is>
      </c>
      <c r="B380" s="11" t="n">
        <v>45737</v>
      </c>
      <c r="C380" s="10" t="inlineStr">
        <is>
          <t>KPAY*METAPOD MA-2 00000 HONG KONG</t>
        </is>
      </c>
      <c r="D380" s="10">
        <f>IFERROR(INDEX('Review Items'!$D:$D,MATCH(C380,'Review Items'!$B:$B,0)),IFERROR(INDEX('Rule Updates'!$B:$B,MATCH(C380,'Rule Updates'!$A:$A,0)),"Uncategorised"))</f>
        <v/>
      </c>
      <c r="E380" s="10">
        <f>IFERROR(INDEX('Review Items'!$E:$E,MATCH(C380,'Review Items'!$B:$B,0)),IFERROR(INDEX('Rule Updates'!$C:$C,MATCH(C380,'Rule Updates'!$A:$A,0)),"Review"))</f>
        <v/>
      </c>
      <c r="F380" s="10" t="n"/>
      <c r="G380" s="12" t="n">
        <v>399</v>
      </c>
      <c r="H380" s="10" t="n">
        <v>7</v>
      </c>
      <c r="I380" s="10">
        <f>IF(OR(D380="Uncategorised",E380=""),"Check","")</f>
        <v/>
      </c>
    </row>
    <row r="381">
      <c r="A381" s="10" t="inlineStr">
        <is>
          <t>Amex Mar-2025</t>
        </is>
      </c>
      <c r="B381" s="11" t="n">
        <v>45737</v>
      </c>
      <c r="C381" s="10" t="inlineStr">
        <is>
          <t>THE DAIRY FARM MANNINGS CHEK LAP KOK</t>
        </is>
      </c>
      <c r="D381" s="10">
        <f>IFERROR(INDEX('Review Items'!$D:$D,MATCH(C381,'Review Items'!$B:$B,0)),IFERROR(INDEX('Rule Updates'!$B:$B,MATCH(C381,'Rule Updates'!$A:$A,0)),"Uncategorised"))</f>
        <v/>
      </c>
      <c r="E381" s="10">
        <f>IFERROR(INDEX('Review Items'!$E:$E,MATCH(C381,'Review Items'!$B:$B,0)),IFERROR(INDEX('Rule Updates'!$C:$C,MATCH(C381,'Rule Updates'!$A:$A,0)),"Review"))</f>
        <v/>
      </c>
      <c r="F381" s="10" t="n"/>
      <c r="G381" s="12" t="n">
        <v>694.9</v>
      </c>
      <c r="H381" s="10" t="n">
        <v>7</v>
      </c>
      <c r="I381" s="10">
        <f>IF(OR(D381="Uncategorised",E381=""),"Check","")</f>
        <v/>
      </c>
    </row>
    <row r="382">
      <c r="A382" s="10" t="inlineStr">
        <is>
          <t>Amex Mar-2025</t>
        </is>
      </c>
      <c r="B382" s="11" t="n">
        <v>45737</v>
      </c>
      <c r="C382" s="10" t="inlineStr">
        <is>
          <t>THE DAIRY FARM MANNINGS CHEK LAP KOK</t>
        </is>
      </c>
      <c r="D382" s="10">
        <f>IFERROR(INDEX('Review Items'!$D:$D,MATCH(C382,'Review Items'!$B:$B,0)),IFERROR(INDEX('Rule Updates'!$B:$B,MATCH(C382,'Rule Updates'!$A:$A,0)),"Uncategorised"))</f>
        <v/>
      </c>
      <c r="E382" s="10">
        <f>IFERROR(INDEX('Review Items'!$E:$E,MATCH(C382,'Review Items'!$B:$B,0)),IFERROR(INDEX('Rule Updates'!$C:$C,MATCH(C382,'Rule Updates'!$A:$A,0)),"Review"))</f>
        <v/>
      </c>
      <c r="F382" s="10" t="n"/>
      <c r="G382" s="12" t="n">
        <v>216</v>
      </c>
      <c r="H382" s="10" t="n">
        <v>7</v>
      </c>
      <c r="I382" s="10">
        <f>IF(OR(D382="Uncategorised",E382=""),"Check","")</f>
        <v/>
      </c>
    </row>
    <row r="383">
      <c r="A383" s="10" t="inlineStr">
        <is>
          <t>Amex Mar-2025</t>
        </is>
      </c>
      <c r="B383" s="11" t="n">
        <v>45738</v>
      </c>
      <c r="C383" s="10" t="inlineStr">
        <is>
          <t>Apple Store 9815038161 HongKong</t>
        </is>
      </c>
      <c r="D383" s="10">
        <f>IFERROR(INDEX('Review Items'!$D:$D,MATCH(C383,'Review Items'!$B:$B,0)),IFERROR(INDEX('Rule Updates'!$B:$B,MATCH(C383,'Rule Updates'!$A:$A,0)),"Uncategorised"))</f>
        <v/>
      </c>
      <c r="E383" s="10">
        <f>IFERROR(INDEX('Review Items'!$E:$E,MATCH(C383,'Review Items'!$B:$B,0)),IFERROR(INDEX('Rule Updates'!$C:$C,MATCH(C383,'Rule Updates'!$A:$A,0)),"Review"))</f>
        <v/>
      </c>
      <c r="F383" s="10" t="n"/>
      <c r="G383" s="12" t="n">
        <v>9327</v>
      </c>
      <c r="H383" s="10" t="n">
        <v>7</v>
      </c>
      <c r="I383" s="10">
        <f>IF(OR(D383="Uncategorised",E383=""),"Check","")</f>
        <v/>
      </c>
    </row>
    <row r="384">
      <c r="A384" s="10" t="inlineStr">
        <is>
          <t>Amex Mar-2025</t>
        </is>
      </c>
      <c r="B384" s="11" t="n">
        <v>45738</v>
      </c>
      <c r="C384" s="10" t="inlineStr">
        <is>
          <t>KATES BREAD OJAI</t>
        </is>
      </c>
      <c r="D384" s="10">
        <f>IFERROR(INDEX('Review Items'!$D:$D,MATCH(C384,'Review Items'!$B:$B,0)),IFERROR(INDEX('Rule Updates'!$B:$B,MATCH(C384,'Rule Updates'!$A:$A,0)),"Uncategorised"))</f>
        <v/>
      </c>
      <c r="E384" s="10">
        <f>IFERROR(INDEX('Review Items'!$E:$E,MATCH(C384,'Review Items'!$B:$B,0)),IFERROR(INDEX('Rule Updates'!$C:$C,MATCH(C384,'Rule Updates'!$A:$A,0)),"Review"))</f>
        <v/>
      </c>
      <c r="F384" s="12" t="n">
        <v>5</v>
      </c>
      <c r="G384" s="12" t="n">
        <v>39.64</v>
      </c>
      <c r="H384" s="10" t="n">
        <v>7</v>
      </c>
      <c r="I384" s="10">
        <f>IF(OR(D384="Uncategorised",E384=""),"Check","")</f>
        <v/>
      </c>
    </row>
    <row r="385">
      <c r="A385" s="10" t="inlineStr">
        <is>
          <t>Amex Mar-2025</t>
        </is>
      </c>
      <c r="B385" s="11" t="n">
        <v>45739</v>
      </c>
      <c r="C385" s="10" t="inlineStr">
        <is>
          <t>LANDRACE Bathwick</t>
        </is>
      </c>
      <c r="D385" s="10">
        <f>IFERROR(INDEX('Review Items'!$D:$D,MATCH(C385,'Review Items'!$B:$B,0)),IFERROR(INDEX('Rule Updates'!$B:$B,MATCH(C385,'Rule Updates'!$A:$A,0)),"Uncategorised"))</f>
        <v/>
      </c>
      <c r="E385" s="10">
        <f>IFERROR(INDEX('Review Items'!$E:$E,MATCH(C385,'Review Items'!$B:$B,0)),IFERROR(INDEX('Rule Updates'!$C:$C,MATCH(C385,'Rule Updates'!$A:$A,0)),"Review"))</f>
        <v/>
      </c>
      <c r="F385" s="12" t="n">
        <v>54.5</v>
      </c>
      <c r="G385" s="12" t="n">
        <v>560.05</v>
      </c>
      <c r="H385" s="10" t="n">
        <v>7</v>
      </c>
      <c r="I385" s="10">
        <f>IF(OR(D385="Uncategorised",E385=""),"Check","")</f>
        <v/>
      </c>
    </row>
    <row r="386">
      <c r="A386" s="10" t="inlineStr">
        <is>
          <t>Amex Mar-2025</t>
        </is>
      </c>
      <c r="B386" s="11" t="n">
        <v>45739</v>
      </c>
      <c r="C386" s="10" t="inlineStr">
        <is>
          <t>SP BORN IN THE SUN LONDON</t>
        </is>
      </c>
      <c r="D386" s="10">
        <f>IFERROR(INDEX('Review Items'!$D:$D,MATCH(C386,'Review Items'!$B:$B,0)),IFERROR(INDEX('Rule Updates'!$B:$B,MATCH(C386,'Rule Updates'!$A:$A,0)),"Uncategorised"))</f>
        <v/>
      </c>
      <c r="E386" s="10">
        <f>IFERROR(INDEX('Review Items'!$E:$E,MATCH(C386,'Review Items'!$B:$B,0)),IFERROR(INDEX('Rule Updates'!$C:$C,MATCH(C386,'Rule Updates'!$A:$A,0)),"Review"))</f>
        <v/>
      </c>
      <c r="F386" s="12" t="n">
        <v>80</v>
      </c>
      <c r="G386" s="12" t="n">
        <v>822.03</v>
      </c>
      <c r="H386" s="10" t="n">
        <v>7</v>
      </c>
      <c r="I386" s="10">
        <f>IF(OR(D386="Uncategorised",E386=""),"Check","")</f>
        <v/>
      </c>
    </row>
    <row r="387">
      <c r="A387" s="10" t="inlineStr">
        <is>
          <t>Amex Mar-2025</t>
        </is>
      </c>
      <c r="B387" s="11" t="n">
        <v>45740</v>
      </c>
      <c r="C387" s="10" t="inlineStr">
        <is>
          <t>AMZNMKTPLACE*RW7BN3U94 AMAZON.CO.UK</t>
        </is>
      </c>
      <c r="D387" s="10">
        <f>IFERROR(INDEX('Review Items'!$D:$D,MATCH(C387,'Review Items'!$B:$B,0)),IFERROR(INDEX('Rule Updates'!$B:$B,MATCH(C387,'Rule Updates'!$A:$A,0)),"Uncategorised"))</f>
        <v/>
      </c>
      <c r="E387" s="10">
        <f>IFERROR(INDEX('Review Items'!$E:$E,MATCH(C387,'Review Items'!$B:$B,0)),IFERROR(INDEX('Rule Updates'!$C:$C,MATCH(C387,'Rule Updates'!$A:$A,0)),"Review"))</f>
        <v/>
      </c>
      <c r="F387" s="10" t="n"/>
      <c r="G387" s="12" t="n">
        <v>828.77</v>
      </c>
      <c r="H387" s="10" t="n">
        <v>8</v>
      </c>
      <c r="I387" s="10">
        <f>IF(OR(D387="Uncategorised",E387=""),"Check","")</f>
        <v/>
      </c>
    </row>
    <row r="388">
      <c r="A388" s="10" t="inlineStr">
        <is>
          <t>Amex Mar-2025</t>
        </is>
      </c>
      <c r="B388" s="11" t="n">
        <v>45740</v>
      </c>
      <c r="C388" s="10" t="inlineStr">
        <is>
          <t>EASYJET LUTON</t>
        </is>
      </c>
      <c r="D388" s="10">
        <f>IFERROR(INDEX('Review Items'!$D:$D,MATCH(C388,'Review Items'!$B:$B,0)),IFERROR(INDEX('Rule Updates'!$B:$B,MATCH(C388,'Rule Updates'!$A:$A,0)),"Uncategorised"))</f>
        <v/>
      </c>
      <c r="E388" s="10">
        <f>IFERROR(INDEX('Review Items'!$E:$E,MATCH(C388,'Review Items'!$B:$B,0)),IFERROR(INDEX('Rule Updates'!$C:$C,MATCH(C388,'Rule Updates'!$A:$A,0)),"Review"))</f>
        <v/>
      </c>
      <c r="F388" s="12" t="n">
        <v>344.62</v>
      </c>
      <c r="G388" s="12" t="n">
        <v>3541.18</v>
      </c>
      <c r="H388" s="10" t="n">
        <v>7</v>
      </c>
      <c r="I388" s="10">
        <f>IF(OR(D388="Uncategorised",E388=""),"Check","")</f>
        <v/>
      </c>
    </row>
    <row r="389">
      <c r="A389" s="10" t="inlineStr">
        <is>
          <t>Amex Mar-2025</t>
        </is>
      </c>
      <c r="B389" s="11" t="n">
        <v>45740</v>
      </c>
      <c r="C389" s="10" t="inlineStr">
        <is>
          <t>SP CHALKSTREAM ROMSEY</t>
        </is>
      </c>
      <c r="D389" s="10">
        <f>IFERROR(INDEX('Review Items'!$D:$D,MATCH(C389,'Review Items'!$B:$B,0)),IFERROR(INDEX('Rule Updates'!$B:$B,MATCH(C389,'Rule Updates'!$A:$A,0)),"Uncategorised"))</f>
        <v/>
      </c>
      <c r="E389" s="10">
        <f>IFERROR(INDEX('Review Items'!$E:$E,MATCH(C389,'Review Items'!$B:$B,0)),IFERROR(INDEX('Rule Updates'!$C:$C,MATCH(C389,'Rule Updates'!$A:$A,0)),"Review"))</f>
        <v/>
      </c>
      <c r="F389" s="12" t="n">
        <v>94.84</v>
      </c>
      <c r="G389" s="12" t="n">
        <v>974.51</v>
      </c>
      <c r="H389" s="10" t="n">
        <v>8</v>
      </c>
      <c r="I389" s="10">
        <f>IF(OR(D389="Uncategorised",E389=""),"Check","")</f>
        <v/>
      </c>
    </row>
    <row r="390">
      <c r="A390" s="10" t="inlineStr">
        <is>
          <t>Amex Apr-2025</t>
        </is>
      </c>
      <c r="B390" s="11" t="n">
        <v>45742</v>
      </c>
      <c r="C390" s="10" t="inlineStr">
        <is>
          <t>3CPAYMENT*BEAVERBROOK HSURREY</t>
        </is>
      </c>
      <c r="D390" s="10">
        <f>IFERROR(INDEX('Review Items'!$D:$D,MATCH(C390,'Review Items'!$B:$B,0)),IFERROR(INDEX('Rule Updates'!$B:$B,MATCH(C390,'Rule Updates'!$A:$A,0)),"Uncategorised"))</f>
        <v/>
      </c>
      <c r="E390" s="10">
        <f>IFERROR(INDEX('Review Items'!$E:$E,MATCH(C390,'Review Items'!$B:$B,0)),IFERROR(INDEX('Rule Updates'!$C:$C,MATCH(C390,'Rule Updates'!$A:$A,0)),"Review"))</f>
        <v/>
      </c>
      <c r="F390" s="12" t="n">
        <v>256.37</v>
      </c>
      <c r="G390" s="12" t="n">
        <v>2626.79</v>
      </c>
      <c r="H390" s="10" t="n">
        <v>7</v>
      </c>
      <c r="I390" s="10">
        <f>IF(OR(D390="Uncategorised",E390=""),"Check","")</f>
        <v/>
      </c>
    </row>
    <row r="391">
      <c r="A391" s="10" t="inlineStr">
        <is>
          <t>Amex Apr-2025</t>
        </is>
      </c>
      <c r="B391" s="11" t="n">
        <v>45742</v>
      </c>
      <c r="C391" s="10" t="inlineStr">
        <is>
          <t>3CPAYMENT*COACH HOUSE DSURREY</t>
        </is>
      </c>
      <c r="D391" s="10">
        <f>IFERROR(INDEX('Review Items'!$D:$D,MATCH(C391,'Review Items'!$B:$B,0)),IFERROR(INDEX('Rule Updates'!$B:$B,MATCH(C391,'Rule Updates'!$A:$A,0)),"Uncategorised"))</f>
        <v/>
      </c>
      <c r="E391" s="10">
        <f>IFERROR(INDEX('Review Items'!$E:$E,MATCH(C391,'Review Items'!$B:$B,0)),IFERROR(INDEX('Rule Updates'!$C:$C,MATCH(C391,'Rule Updates'!$A:$A,0)),"Review"))</f>
        <v/>
      </c>
      <c r="F391" s="12" t="n">
        <v>42.75</v>
      </c>
      <c r="G391" s="12" t="n">
        <v>437.98</v>
      </c>
      <c r="H391" s="10" t="n">
        <v>1</v>
      </c>
      <c r="I391" s="10">
        <f>IF(OR(D391="Uncategorised",E391=""),"Check","")</f>
        <v/>
      </c>
    </row>
    <row r="392">
      <c r="A392" s="10" t="inlineStr">
        <is>
          <t>Amex Apr-2025</t>
        </is>
      </c>
      <c r="B392" s="11" t="n">
        <v>45742</v>
      </c>
      <c r="C392" s="10" t="inlineStr">
        <is>
          <t>NET-A-PORTER GROUP LTD LONDON</t>
        </is>
      </c>
      <c r="D392" s="10">
        <f>IFERROR(INDEX('Review Items'!$D:$D,MATCH(C392,'Review Items'!$B:$B,0)),IFERROR(INDEX('Rule Updates'!$B:$B,MATCH(C392,'Rule Updates'!$A:$A,0)),"Uncategorised"))</f>
        <v/>
      </c>
      <c r="E392" s="10">
        <f>IFERROR(INDEX('Review Items'!$E:$E,MATCH(C392,'Review Items'!$B:$B,0)),IFERROR(INDEX('Rule Updates'!$C:$C,MATCH(C392,'Rule Updates'!$A:$A,0)),"Review"))</f>
        <v/>
      </c>
      <c r="F392" s="12" t="n">
        <v>5104</v>
      </c>
      <c r="G392" s="12" t="n">
        <v>52295.96</v>
      </c>
      <c r="H392" s="10" t="n">
        <v>1</v>
      </c>
      <c r="I392" s="10">
        <f>IF(OR(D392="Uncategorised",E392=""),"Check","")</f>
        <v/>
      </c>
    </row>
    <row r="393">
      <c r="A393" s="10" t="inlineStr">
        <is>
          <t>Amex Apr-2025</t>
        </is>
      </c>
      <c r="B393" s="11" t="n">
        <v>45742</v>
      </c>
      <c r="C393" s="10" t="inlineStr">
        <is>
          <t>SP SUSANNE KAUFMANN BEZAU</t>
        </is>
      </c>
      <c r="D393" s="10">
        <f>IFERROR(INDEX('Review Items'!$D:$D,MATCH(C393,'Review Items'!$B:$B,0)),IFERROR(INDEX('Rule Updates'!$B:$B,MATCH(C393,'Rule Updates'!$A:$A,0)),"Uncategorised"))</f>
        <v/>
      </c>
      <c r="E393" s="10">
        <f>IFERROR(INDEX('Review Items'!$E:$E,MATCH(C393,'Review Items'!$B:$B,0)),IFERROR(INDEX('Rule Updates'!$C:$C,MATCH(C393,'Rule Updates'!$A:$A,0)),"Review"))</f>
        <v/>
      </c>
      <c r="F393" s="12" t="n">
        <v>263.78</v>
      </c>
      <c r="G393" s="12" t="n">
        <v>2702.7</v>
      </c>
      <c r="H393" s="10" t="n">
        <v>1</v>
      </c>
      <c r="I393" s="10">
        <f>IF(OR(D393="Uncategorised",E393=""),"Check","")</f>
        <v/>
      </c>
    </row>
    <row r="394">
      <c r="A394" s="10" t="inlineStr">
        <is>
          <t>Amex Apr-2025</t>
        </is>
      </c>
      <c r="B394" s="11" t="n">
        <v>45743</v>
      </c>
      <c r="C394" s="10" t="inlineStr">
        <is>
          <t>AMATHUS (Bath) Bath</t>
        </is>
      </c>
      <c r="D394" s="10">
        <f>IFERROR(INDEX('Review Items'!$D:$D,MATCH(C394,'Review Items'!$B:$B,0)),IFERROR(INDEX('Rule Updates'!$B:$B,MATCH(C394,'Rule Updates'!$A:$A,0)),"Uncategorised"))</f>
        <v/>
      </c>
      <c r="E394" s="10">
        <f>IFERROR(INDEX('Review Items'!$E:$E,MATCH(C394,'Review Items'!$B:$B,0)),IFERROR(INDEX('Rule Updates'!$C:$C,MATCH(C394,'Rule Updates'!$A:$A,0)),"Review"))</f>
        <v/>
      </c>
      <c r="F394" s="12" t="n">
        <v>117</v>
      </c>
      <c r="G394" s="12" t="n">
        <v>1198.78</v>
      </c>
      <c r="H394" s="10" t="n">
        <v>2</v>
      </c>
      <c r="I394" s="10">
        <f>IF(OR(D394="Uncategorised",E394=""),"Check","")</f>
        <v/>
      </c>
    </row>
    <row r="395">
      <c r="A395" s="10" t="inlineStr">
        <is>
          <t>Amex Apr-2025</t>
        </is>
      </c>
      <c r="B395" s="11" t="n">
        <v>45743</v>
      </c>
      <c r="C395" s="10" t="inlineStr">
        <is>
          <t>AMATHUS (Bath) Bath</t>
        </is>
      </c>
      <c r="D395" s="10">
        <f>IFERROR(INDEX('Review Items'!$D:$D,MATCH(C395,'Review Items'!$B:$B,0)),IFERROR(INDEX('Rule Updates'!$B:$B,MATCH(C395,'Rule Updates'!$A:$A,0)),"Uncategorised"))</f>
        <v/>
      </c>
      <c r="E395" s="10">
        <f>IFERROR(INDEX('Review Items'!$E:$E,MATCH(C395,'Review Items'!$B:$B,0)),IFERROR(INDEX('Rule Updates'!$C:$C,MATCH(C395,'Rule Updates'!$A:$A,0)),"Review"))</f>
        <v/>
      </c>
      <c r="F395" s="12" t="n">
        <v>233</v>
      </c>
      <c r="G395" s="12" t="n">
        <v>2387.34</v>
      </c>
      <c r="H395" s="10" t="n">
        <v>2</v>
      </c>
      <c r="I395" s="10">
        <f>IF(OR(D395="Uncategorised",E395=""),"Check","")</f>
        <v/>
      </c>
    </row>
    <row r="396">
      <c r="A396" s="10" t="inlineStr">
        <is>
          <t>Amex Apr-2025</t>
        </is>
      </c>
      <c r="B396" s="11" t="n">
        <v>45743</v>
      </c>
      <c r="C396" s="10" t="inlineStr">
        <is>
          <t>BATH PRIORY HOTEL BATH</t>
        </is>
      </c>
      <c r="D396" s="10">
        <f>IFERROR(INDEX('Review Items'!$D:$D,MATCH(C396,'Review Items'!$B:$B,0)),IFERROR(INDEX('Rule Updates'!$B:$B,MATCH(C396,'Rule Updates'!$A:$A,0)),"Uncategorised"))</f>
        <v/>
      </c>
      <c r="E396" s="10">
        <f>IFERROR(INDEX('Review Items'!$E:$E,MATCH(C396,'Review Items'!$B:$B,0)),IFERROR(INDEX('Rule Updates'!$C:$C,MATCH(C396,'Rule Updates'!$A:$A,0)),"Review"))</f>
        <v/>
      </c>
      <c r="F396" s="12" t="n">
        <v>41.25</v>
      </c>
      <c r="G396" s="12" t="n">
        <v>422.67</v>
      </c>
      <c r="H396" s="10" t="n">
        <v>2</v>
      </c>
      <c r="I396" s="10">
        <f>IF(OR(D396="Uncategorised",E396=""),"Check","")</f>
        <v/>
      </c>
    </row>
    <row r="397">
      <c r="A397" s="10" t="inlineStr">
        <is>
          <t>Amex Apr-2025</t>
        </is>
      </c>
      <c r="B397" s="11" t="n">
        <v>45744</v>
      </c>
      <c r="C397" s="10" t="inlineStr">
        <is>
          <t>LANDRACE Bathwick</t>
        </is>
      </c>
      <c r="D397" s="10">
        <f>IFERROR(INDEX('Review Items'!$D:$D,MATCH(C397,'Review Items'!$B:$B,0)),IFERROR(INDEX('Rule Updates'!$B:$B,MATCH(C397,'Rule Updates'!$A:$A,0)),"Uncategorised"))</f>
        <v/>
      </c>
      <c r="E397" s="10">
        <f>IFERROR(INDEX('Review Items'!$E:$E,MATCH(C397,'Review Items'!$B:$B,0)),IFERROR(INDEX('Rule Updates'!$C:$C,MATCH(C397,'Rule Updates'!$A:$A,0)),"Review"))</f>
        <v/>
      </c>
      <c r="F397" s="12" t="n">
        <v>22.35</v>
      </c>
      <c r="G397" s="12" t="n">
        <v>230.36</v>
      </c>
      <c r="H397" s="10" t="n">
        <v>2</v>
      </c>
      <c r="I397" s="10">
        <f>IF(OR(D397="Uncategorised",E397=""),"Check","")</f>
        <v/>
      </c>
    </row>
    <row r="398">
      <c r="A398" s="10" t="inlineStr">
        <is>
          <t>Amex Apr-2025</t>
        </is>
      </c>
      <c r="B398" s="11" t="n">
        <v>45744</v>
      </c>
      <c r="C398" s="10" t="inlineStr">
        <is>
          <t>LS UPSTAIRS AT LANDRAC BATH</t>
        </is>
      </c>
      <c r="D398" s="10">
        <f>IFERROR(INDEX('Review Items'!$D:$D,MATCH(C398,'Review Items'!$B:$B,0)),IFERROR(INDEX('Rule Updates'!$B:$B,MATCH(C398,'Rule Updates'!$A:$A,0)),"Uncategorised"))</f>
        <v/>
      </c>
      <c r="E398" s="10">
        <f>IFERROR(INDEX('Review Items'!$E:$E,MATCH(C398,'Review Items'!$B:$B,0)),IFERROR(INDEX('Rule Updates'!$C:$C,MATCH(C398,'Rule Updates'!$A:$A,0)),"Review"))</f>
        <v/>
      </c>
      <c r="F398" s="12" t="n">
        <v>4060.46</v>
      </c>
      <c r="G398" s="12" t="n">
        <v>41857.13</v>
      </c>
      <c r="H398" s="10" t="n">
        <v>2</v>
      </c>
      <c r="I398" s="10">
        <f>IF(OR(D398="Uncategorised",E398=""),"Check","")</f>
        <v/>
      </c>
    </row>
    <row r="399">
      <c r="A399" s="10" t="inlineStr">
        <is>
          <t>Amex Apr-2025</t>
        </is>
      </c>
      <c r="B399" s="11" t="n">
        <v>45744</v>
      </c>
      <c r="C399" s="10" t="inlineStr">
        <is>
          <t>ZETTLE *BECKFORD BOTTLE TISBURY</t>
        </is>
      </c>
      <c r="D399" s="10">
        <f>IFERROR(INDEX('Review Items'!$D:$D,MATCH(C399,'Review Items'!$B:$B,0)),IFERROR(INDEX('Rule Updates'!$B:$B,MATCH(C399,'Rule Updates'!$A:$A,0)),"Uncategorised"))</f>
        <v/>
      </c>
      <c r="E399" s="10">
        <f>IFERROR(INDEX('Review Items'!$E:$E,MATCH(C399,'Review Items'!$B:$B,0)),IFERROR(INDEX('Rule Updates'!$C:$C,MATCH(C399,'Rule Updates'!$A:$A,0)),"Review"))</f>
        <v/>
      </c>
      <c r="F399" s="12" t="n">
        <v>493.59</v>
      </c>
      <c r="G399" s="12" t="n">
        <v>5088.15</v>
      </c>
      <c r="H399" s="10" t="n">
        <v>2</v>
      </c>
      <c r="I399" s="10">
        <f>IF(OR(D399="Uncategorised",E399=""),"Check","")</f>
        <v/>
      </c>
    </row>
    <row r="400">
      <c r="A400" s="10" t="inlineStr">
        <is>
          <t>Amex Apr-2025</t>
        </is>
      </c>
      <c r="B400" s="11" t="n">
        <v>45745</v>
      </c>
      <c r="C400" s="10" t="inlineStr">
        <is>
          <t>THE NEWT IN SOMERSET SOMERSET</t>
        </is>
      </c>
      <c r="D400" s="10">
        <f>IFERROR(INDEX('Review Items'!$D:$D,MATCH(C400,'Review Items'!$B:$B,0)),IFERROR(INDEX('Rule Updates'!$B:$B,MATCH(C400,'Rule Updates'!$A:$A,0)),"Uncategorised"))</f>
        <v/>
      </c>
      <c r="E400" s="10">
        <f>IFERROR(INDEX('Review Items'!$E:$E,MATCH(C400,'Review Items'!$B:$B,0)),IFERROR(INDEX('Rule Updates'!$C:$C,MATCH(C400,'Rule Updates'!$A:$A,0)),"Review"))</f>
        <v/>
      </c>
      <c r="F400" s="12" t="n">
        <v>1101.78</v>
      </c>
      <c r="G400" s="12" t="n">
        <v>11338.59</v>
      </c>
      <c r="H400" s="10" t="n">
        <v>2</v>
      </c>
      <c r="I400" s="10">
        <f>IF(OR(D400="Uncategorised",E400=""),"Check","")</f>
        <v/>
      </c>
    </row>
    <row r="401">
      <c r="A401" s="10" t="inlineStr">
        <is>
          <t>Amex Apr-2025</t>
        </is>
      </c>
      <c r="B401" s="11" t="n">
        <v>45747</v>
      </c>
      <c r="C401" s="10" t="inlineStr">
        <is>
          <t>BRITISH AIRWAYS GB DIRE WEST DRAYTON</t>
        </is>
      </c>
      <c r="D401" s="10">
        <f>IFERROR(INDEX('Review Items'!$D:$D,MATCH(C401,'Review Items'!$B:$B,0)),IFERROR(INDEX('Rule Updates'!$B:$B,MATCH(C401,'Rule Updates'!$A:$A,0)),"Uncategorised"))</f>
        <v/>
      </c>
      <c r="E401" s="10">
        <f>IFERROR(INDEX('Review Items'!$E:$E,MATCH(C401,'Review Items'!$B:$B,0)),IFERROR(INDEX('Rule Updates'!$C:$C,MATCH(C401,'Rule Updates'!$A:$A,0)),"Review"))</f>
        <v/>
      </c>
      <c r="F401" s="12" t="n">
        <v>59</v>
      </c>
      <c r="G401" s="12" t="n">
        <v>607.49</v>
      </c>
      <c r="H401" s="10" t="n">
        <v>2</v>
      </c>
      <c r="I401" s="10">
        <f>IF(OR(D401="Uncategorised",E401=""),"Check","")</f>
        <v/>
      </c>
    </row>
    <row r="402">
      <c r="A402" s="10" t="inlineStr">
        <is>
          <t>Amex Apr-2025</t>
        </is>
      </c>
      <c r="B402" s="11" t="n">
        <v>45747</v>
      </c>
      <c r="C402" s="10" t="inlineStr">
        <is>
          <t>BRITISH AIRWAYS GB DIRE WEST DRAYTON</t>
        </is>
      </c>
      <c r="D402" s="10">
        <f>IFERROR(INDEX('Review Items'!$D:$D,MATCH(C402,'Review Items'!$B:$B,0)),IFERROR(INDEX('Rule Updates'!$B:$B,MATCH(C402,'Rule Updates'!$A:$A,0)),"Uncategorised"))</f>
        <v/>
      </c>
      <c r="E402" s="10">
        <f>IFERROR(INDEX('Review Items'!$E:$E,MATCH(C402,'Review Items'!$B:$B,0)),IFERROR(INDEX('Rule Updates'!$C:$C,MATCH(C402,'Rule Updates'!$A:$A,0)),"Review"))</f>
        <v/>
      </c>
      <c r="F402" s="12" t="n">
        <v>2304.26</v>
      </c>
      <c r="G402" s="12" t="n">
        <v>23725.38</v>
      </c>
      <c r="H402" s="10" t="n">
        <v>2</v>
      </c>
      <c r="I402" s="10">
        <f>IF(OR(D402="Uncategorised",E402=""),"Check","")</f>
        <v/>
      </c>
    </row>
    <row r="403">
      <c r="A403" s="10" t="inlineStr">
        <is>
          <t>Amex Apr-2025</t>
        </is>
      </c>
      <c r="B403" s="11" t="n">
        <v>45747</v>
      </c>
      <c r="C403" s="10" t="inlineStr">
        <is>
          <t>BRITISH AIRWAYS GB DIRE WEST DRAYTON</t>
        </is>
      </c>
      <c r="D403" s="10">
        <f>IFERROR(INDEX('Review Items'!$D:$D,MATCH(C403,'Review Items'!$B:$B,0)),IFERROR(INDEX('Rule Updates'!$B:$B,MATCH(C403,'Rule Updates'!$A:$A,0)),"Uncategorised"))</f>
        <v/>
      </c>
      <c r="E403" s="10">
        <f>IFERROR(INDEX('Review Items'!$E:$E,MATCH(C403,'Review Items'!$B:$B,0)),IFERROR(INDEX('Rule Updates'!$C:$C,MATCH(C403,'Rule Updates'!$A:$A,0)),"Review"))</f>
        <v/>
      </c>
      <c r="F403" s="12" t="n">
        <v>64</v>
      </c>
      <c r="G403" s="12" t="n">
        <v>658.99</v>
      </c>
      <c r="H403" s="10" t="n">
        <v>3</v>
      </c>
      <c r="I403" s="10">
        <f>IF(OR(D403="Uncategorised",E403=""),"Check","")</f>
        <v/>
      </c>
    </row>
    <row r="404">
      <c r="A404" s="10" t="inlineStr">
        <is>
          <t>Amex Apr-2025</t>
        </is>
      </c>
      <c r="B404" s="11" t="n">
        <v>45748</v>
      </c>
      <c r="C404" s="10" t="inlineStr">
        <is>
          <t>AMAZON PRIME*T000B3AE3 AMZN.COM/BILL</t>
        </is>
      </c>
      <c r="D404" s="10">
        <f>IFERROR(INDEX('Review Items'!$D:$D,MATCH(C404,'Review Items'!$B:$B,0)),IFERROR(INDEX('Rule Updates'!$B:$B,MATCH(C404,'Rule Updates'!$A:$A,0)),"Uncategorised"))</f>
        <v/>
      </c>
      <c r="E404" s="10">
        <f>IFERROR(INDEX('Review Items'!$E:$E,MATCH(C404,'Review Items'!$B:$B,0)),IFERROR(INDEX('Rule Updates'!$C:$C,MATCH(C404,'Rule Updates'!$A:$A,0)),"Review"))</f>
        <v/>
      </c>
      <c r="F404" s="12" t="n">
        <v>14.99</v>
      </c>
      <c r="G404" s="12" t="n">
        <v>118.97</v>
      </c>
      <c r="H404" s="10" t="n">
        <v>3</v>
      </c>
      <c r="I404" s="10">
        <f>IF(OR(D404="Uncategorised",E404=""),"Check","")</f>
        <v/>
      </c>
    </row>
    <row r="405">
      <c r="A405" s="10" t="inlineStr">
        <is>
          <t>Amex Apr-2025</t>
        </is>
      </c>
      <c r="B405" s="11" t="n">
        <v>45750</v>
      </c>
      <c r="C405" s="10" t="inlineStr">
        <is>
          <t>AMAZON PRIME*RN4VS3864 AMZN.CO.UK/PM</t>
        </is>
      </c>
      <c r="D405" s="10">
        <f>IFERROR(INDEX('Review Items'!$D:$D,MATCH(C405,'Review Items'!$B:$B,0)),IFERROR(INDEX('Rule Updates'!$B:$B,MATCH(C405,'Rule Updates'!$A:$A,0)),"Uncategorised"))</f>
        <v/>
      </c>
      <c r="E405" s="10">
        <f>IFERROR(INDEX('Review Items'!$E:$E,MATCH(C405,'Review Items'!$B:$B,0)),IFERROR(INDEX('Rule Updates'!$C:$C,MATCH(C405,'Rule Updates'!$A:$A,0)),"Review"))</f>
        <v/>
      </c>
      <c r="F405" s="12" t="n">
        <v>8.99</v>
      </c>
      <c r="G405" s="12" t="n">
        <v>92.56</v>
      </c>
      <c r="H405" s="10" t="n">
        <v>3</v>
      </c>
      <c r="I405" s="10">
        <f>IF(OR(D405="Uncategorised",E405=""),"Check","")</f>
        <v/>
      </c>
    </row>
    <row r="406">
      <c r="A406" s="10" t="inlineStr">
        <is>
          <t>Amex Apr-2025</t>
        </is>
      </c>
      <c r="B406" s="11" t="n">
        <v>45750</v>
      </c>
      <c r="C406" s="10" t="inlineStr">
        <is>
          <t>AVIDA PORTUGUESA LISBOA</t>
        </is>
      </c>
      <c r="D406" s="10">
        <f>IFERROR(INDEX('Review Items'!$D:$D,MATCH(C406,'Review Items'!$B:$B,0)),IFERROR(INDEX('Rule Updates'!$B:$B,MATCH(C406,'Rule Updates'!$A:$A,0)),"Uncategorised"))</f>
        <v/>
      </c>
      <c r="E406" s="10">
        <f>IFERROR(INDEX('Review Items'!$E:$E,MATCH(C406,'Review Items'!$B:$B,0)),IFERROR(INDEX('Rule Updates'!$C:$C,MATCH(C406,'Rule Updates'!$A:$A,0)),"Review"))</f>
        <v/>
      </c>
      <c r="F406" s="12" t="n">
        <v>1.144</v>
      </c>
      <c r="G406" s="12" t="n">
        <v>9868.84</v>
      </c>
      <c r="H406" s="10" t="n">
        <v>3</v>
      </c>
      <c r="I406" s="10">
        <f>IF(OR(D406="Uncategorised",E406=""),"Check","")</f>
        <v/>
      </c>
    </row>
    <row r="407">
      <c r="A407" s="10" t="inlineStr">
        <is>
          <t>Amex Apr-2025</t>
        </is>
      </c>
      <c r="B407" s="11" t="n">
        <v>45750</v>
      </c>
      <c r="C407" s="10" t="inlineStr">
        <is>
          <t>GARRAFEIRA NACIONAL LISBOA</t>
        </is>
      </c>
      <c r="D407" s="10">
        <f>IFERROR(INDEX('Review Items'!$D:$D,MATCH(C407,'Review Items'!$B:$B,0)),IFERROR(INDEX('Rule Updates'!$B:$B,MATCH(C407,'Rule Updates'!$A:$A,0)),"Uncategorised"))</f>
        <v/>
      </c>
      <c r="E407" s="10">
        <f>IFERROR(INDEX('Review Items'!$E:$E,MATCH(C407,'Review Items'!$B:$B,0)),IFERROR(INDEX('Rule Updates'!$C:$C,MATCH(C407,'Rule Updates'!$A:$A,0)),"Review"))</f>
        <v/>
      </c>
      <c r="F407" s="12" t="n">
        <v>1.51</v>
      </c>
      <c r="G407" s="12" t="n">
        <v>13030.97</v>
      </c>
      <c r="H407" s="10" t="n">
        <v>3</v>
      </c>
      <c r="I407" s="10">
        <f>IF(OR(D407="Uncategorised",E407=""),"Check","")</f>
        <v/>
      </c>
    </row>
    <row r="408">
      <c r="A408" s="10" t="inlineStr">
        <is>
          <t>Amex Apr-2025</t>
        </is>
      </c>
      <c r="B408" s="11" t="n">
        <v>45751</v>
      </c>
      <c r="C408" s="10" t="inlineStr">
        <is>
          <t>FREE PEOPLE 4804 38/39 LONDON</t>
        </is>
      </c>
      <c r="D408" s="10">
        <f>IFERROR(INDEX('Review Items'!$D:$D,MATCH(C408,'Review Items'!$B:$B,0)),IFERROR(INDEX('Rule Updates'!$B:$B,MATCH(C408,'Rule Updates'!$A:$A,0)),"Uncategorised"))</f>
        <v/>
      </c>
      <c r="E408" s="10">
        <f>IFERROR(INDEX('Review Items'!$E:$E,MATCH(C408,'Review Items'!$B:$B,0)),IFERROR(INDEX('Rule Updates'!$C:$C,MATCH(C408,'Rule Updates'!$A:$A,0)),"Review"))</f>
        <v/>
      </c>
      <c r="F408" s="12" t="n">
        <v>48</v>
      </c>
      <c r="G408" s="12" t="n">
        <v>497.39</v>
      </c>
      <c r="H408" s="10" t="n">
        <v>3</v>
      </c>
      <c r="I408" s="10">
        <f>IF(OR(D408="Uncategorised",E408=""),"Check","")</f>
        <v/>
      </c>
    </row>
    <row r="409">
      <c r="A409" s="10" t="inlineStr">
        <is>
          <t>Amex Apr-2025</t>
        </is>
      </c>
      <c r="B409" s="11" t="n">
        <v>45751</v>
      </c>
      <c r="C409" s="10" t="inlineStr">
        <is>
          <t>PENINSULA LONDON, LP LONDON</t>
        </is>
      </c>
      <c r="D409" s="10">
        <f>IFERROR(INDEX('Review Items'!$D:$D,MATCH(C409,'Review Items'!$B:$B,0)),IFERROR(INDEX('Rule Updates'!$B:$B,MATCH(C409,'Rule Updates'!$A:$A,0)),"Uncategorised"))</f>
        <v/>
      </c>
      <c r="E409" s="10">
        <f>IFERROR(INDEX('Review Items'!$E:$E,MATCH(C409,'Review Items'!$B:$B,0)),IFERROR(INDEX('Rule Updates'!$C:$C,MATCH(C409,'Rule Updates'!$A:$A,0)),"Review"))</f>
        <v/>
      </c>
      <c r="F409" s="12" t="n">
        <v>190.9</v>
      </c>
      <c r="G409" s="12" t="n">
        <v>1978.24</v>
      </c>
      <c r="H409" s="10" t="n">
        <v>3</v>
      </c>
      <c r="I409" s="10">
        <f>IF(OR(D409="Uncategorised",E409=""),"Check","")</f>
        <v/>
      </c>
    </row>
    <row r="410">
      <c r="A410" s="10" t="inlineStr">
        <is>
          <t>Amex Apr-2025</t>
        </is>
      </c>
      <c r="B410" s="11" t="n">
        <v>45751</v>
      </c>
      <c r="C410" s="10" t="inlineStr">
        <is>
          <t>SIXT PORTUGAL RAC_307_M PAREDES</t>
        </is>
      </c>
      <c r="D410" s="10">
        <f>IFERROR(INDEX('Review Items'!$D:$D,MATCH(C410,'Review Items'!$B:$B,0)),IFERROR(INDEX('Rule Updates'!$B:$B,MATCH(C410,'Rule Updates'!$A:$A,0)),"Uncategorised"))</f>
        <v/>
      </c>
      <c r="E410" s="10">
        <f>IFERROR(INDEX('Review Items'!$E:$E,MATCH(C410,'Review Items'!$B:$B,0)),IFERROR(INDEX('Rule Updates'!$C:$C,MATCH(C410,'Rule Updates'!$A:$A,0)),"Review"))</f>
        <v/>
      </c>
      <c r="F410" s="12" t="n">
        <v>51618</v>
      </c>
      <c r="G410" s="12" t="n">
        <v>4564.46</v>
      </c>
      <c r="H410" s="10" t="n">
        <v>7</v>
      </c>
      <c r="I410" s="10">
        <f>IF(OR(D410="Uncategorised",E410=""),"Check","")</f>
        <v/>
      </c>
    </row>
    <row r="411">
      <c r="A411" s="10" t="inlineStr">
        <is>
          <t>Amex Apr-2025</t>
        </is>
      </c>
      <c r="B411" s="11" t="n">
        <v>45751</v>
      </c>
      <c r="C411" s="10" t="inlineStr">
        <is>
          <t>SMCP UK LIMITED LONDON</t>
        </is>
      </c>
      <c r="D411" s="10">
        <f>IFERROR(INDEX('Review Items'!$D:$D,MATCH(C411,'Review Items'!$B:$B,0)),IFERROR(INDEX('Rule Updates'!$B:$B,MATCH(C411,'Rule Updates'!$A:$A,0)),"Uncategorised"))</f>
        <v/>
      </c>
      <c r="E411" s="10">
        <f>IFERROR(INDEX('Review Items'!$E:$E,MATCH(C411,'Review Items'!$B:$B,0)),IFERROR(INDEX('Rule Updates'!$C:$C,MATCH(C411,'Rule Updates'!$A:$A,0)),"Review"))</f>
        <v/>
      </c>
      <c r="F411" s="12" t="n">
        <v>1467</v>
      </c>
      <c r="G411" s="12" t="n">
        <v>15371.75</v>
      </c>
      <c r="H411" s="10" t="n">
        <v>3</v>
      </c>
      <c r="I411" s="10">
        <f>IF(OR(D411="Uncategorised",E411=""),"Check","")</f>
        <v/>
      </c>
    </row>
    <row r="412">
      <c r="A412" s="10" t="inlineStr">
        <is>
          <t>Amex Apr-2025</t>
        </is>
      </c>
      <c r="B412" s="11" t="n">
        <v>45751</v>
      </c>
      <c r="C412" s="10" t="inlineStr">
        <is>
          <t>SP FARM RIO LONDON</t>
        </is>
      </c>
      <c r="D412" s="10">
        <f>IFERROR(INDEX('Review Items'!$D:$D,MATCH(C412,'Review Items'!$B:$B,0)),IFERROR(INDEX('Rule Updates'!$B:$B,MATCH(C412,'Rule Updates'!$A:$A,0)),"Uncategorised"))</f>
        <v/>
      </c>
      <c r="E412" s="10">
        <f>IFERROR(INDEX('Review Items'!$E:$E,MATCH(C412,'Review Items'!$B:$B,0)),IFERROR(INDEX('Rule Updates'!$C:$C,MATCH(C412,'Rule Updates'!$A:$A,0)),"Review"))</f>
        <v/>
      </c>
      <c r="F412" s="12" t="n">
        <v>580</v>
      </c>
      <c r="G412" s="12" t="n">
        <v>6077.44</v>
      </c>
      <c r="H412" s="10" t="n">
        <v>3</v>
      </c>
      <c r="I412" s="10">
        <f>IF(OR(D412="Uncategorised",E412=""),"Check","")</f>
        <v/>
      </c>
    </row>
    <row r="413">
      <c r="A413" s="10" t="inlineStr">
        <is>
          <t>Amex Apr-2025</t>
        </is>
      </c>
      <c r="B413" s="11" t="n">
        <v>45751</v>
      </c>
      <c r="C413" s="10" t="inlineStr">
        <is>
          <t>SP FARM RIO LONDON</t>
        </is>
      </c>
      <c r="D413" s="10">
        <f>IFERROR(INDEX('Review Items'!$D:$D,MATCH(C413,'Review Items'!$B:$B,0)),IFERROR(INDEX('Rule Updates'!$B:$B,MATCH(C413,'Rule Updates'!$A:$A,0)),"Uncategorised"))</f>
        <v/>
      </c>
      <c r="E413" s="10">
        <f>IFERROR(INDEX('Review Items'!$E:$E,MATCH(C413,'Review Items'!$B:$B,0)),IFERROR(INDEX('Rule Updates'!$C:$C,MATCH(C413,'Rule Updates'!$A:$A,0)),"Review"))</f>
        <v/>
      </c>
      <c r="F413" s="12" t="n">
        <v>600</v>
      </c>
      <c r="G413" s="12" t="n">
        <v>6287</v>
      </c>
      <c r="H413" s="10" t="n">
        <v>3</v>
      </c>
      <c r="I413" s="10">
        <f>IF(OR(D413="Uncategorised",E413=""),"Check","")</f>
        <v/>
      </c>
    </row>
    <row r="414">
      <c r="A414" s="10" t="inlineStr">
        <is>
          <t>Amex Apr-2025</t>
        </is>
      </c>
      <c r="B414" s="11" t="n">
        <v>45751</v>
      </c>
      <c r="C414" s="10" t="inlineStr">
        <is>
          <t>SUNSPEL LIMITED NOTTINGHAM</t>
        </is>
      </c>
      <c r="D414" s="10">
        <f>IFERROR(INDEX('Review Items'!$D:$D,MATCH(C414,'Review Items'!$B:$B,0)),IFERROR(INDEX('Rule Updates'!$B:$B,MATCH(C414,'Rule Updates'!$A:$A,0)),"Uncategorised"))</f>
        <v/>
      </c>
      <c r="E414" s="10">
        <f>IFERROR(INDEX('Review Items'!$E:$E,MATCH(C414,'Review Items'!$B:$B,0)),IFERROR(INDEX('Rule Updates'!$C:$C,MATCH(C414,'Rule Updates'!$A:$A,0)),"Review"))</f>
        <v/>
      </c>
      <c r="F414" s="12" t="n">
        <v>265</v>
      </c>
      <c r="G414" s="12" t="n">
        <v>2776.79</v>
      </c>
      <c r="H414" s="10" t="n">
        <v>3</v>
      </c>
      <c r="I414" s="10">
        <f>IF(OR(D414="Uncategorised",E414=""),"Check","")</f>
        <v/>
      </c>
    </row>
    <row r="415">
      <c r="A415" s="10" t="inlineStr">
        <is>
          <t>Amex Apr-2025</t>
        </is>
      </c>
      <c r="B415" s="11" t="n">
        <v>45752</v>
      </c>
      <c r="C415" s="10" t="inlineStr">
        <is>
          <t>HARVEY NICHOLS KNIGHTSB LONDON</t>
        </is>
      </c>
      <c r="D415" s="10">
        <f>IFERROR(INDEX('Review Items'!$D:$D,MATCH(C415,'Review Items'!$B:$B,0)),IFERROR(INDEX('Rule Updates'!$B:$B,MATCH(C415,'Rule Updates'!$A:$A,0)),"Uncategorised"))</f>
        <v/>
      </c>
      <c r="E415" s="10">
        <f>IFERROR(INDEX('Review Items'!$E:$E,MATCH(C415,'Review Items'!$B:$B,0)),IFERROR(INDEX('Rule Updates'!$C:$C,MATCH(C415,'Rule Updates'!$A:$A,0)),"Review"))</f>
        <v/>
      </c>
      <c r="F415" s="12" t="n">
        <v>694</v>
      </c>
      <c r="G415" s="12" t="n">
        <v>7191.68</v>
      </c>
      <c r="H415" s="10" t="n">
        <v>3</v>
      </c>
      <c r="I415" s="10">
        <f>IF(OR(D415="Uncategorised",E415=""),"Check","")</f>
        <v/>
      </c>
    </row>
    <row r="416">
      <c r="A416" s="10" t="inlineStr">
        <is>
          <t>Amex Apr-2025</t>
        </is>
      </c>
      <c r="B416" s="11" t="n">
        <v>45752</v>
      </c>
      <c r="C416" s="10" t="inlineStr">
        <is>
          <t>SP EIGHTH DAY SKINCA SANTA ANA</t>
        </is>
      </c>
      <c r="D416" s="10">
        <f>IFERROR(INDEX('Review Items'!$D:$D,MATCH(C416,'Review Items'!$B:$B,0)),IFERROR(INDEX('Rule Updates'!$B:$B,MATCH(C416,'Rule Updates'!$A:$A,0)),"Uncategorised"))</f>
        <v/>
      </c>
      <c r="E416" s="10">
        <f>IFERROR(INDEX('Review Items'!$E:$E,MATCH(C416,'Review Items'!$B:$B,0)),IFERROR(INDEX('Rule Updates'!$C:$C,MATCH(C416,'Rule Updates'!$A:$A,0)),"Review"))</f>
        <v/>
      </c>
      <c r="F416" s="12" t="n">
        <v>1267.62</v>
      </c>
      <c r="G416" s="12" t="n">
        <v>10053.5</v>
      </c>
      <c r="H416" s="10" t="n">
        <v>3</v>
      </c>
      <c r="I416" s="10">
        <f>IF(OR(D416="Uncategorised",E416=""),"Check","")</f>
        <v/>
      </c>
    </row>
    <row r="417">
      <c r="A417" s="10" t="inlineStr">
        <is>
          <t>Amex Apr-2025</t>
        </is>
      </c>
      <c r="B417" s="11" t="n">
        <v>45752</v>
      </c>
      <c r="C417" s="10" t="inlineStr">
        <is>
          <t>SP EIGHTH DAY SKINCA SANTA ANA</t>
        </is>
      </c>
      <c r="D417" s="10">
        <f>IFERROR(INDEX('Review Items'!$D:$D,MATCH(C417,'Review Items'!$B:$B,0)),IFERROR(INDEX('Rule Updates'!$B:$B,MATCH(C417,'Rule Updates'!$A:$A,0)),"Uncategorised"))</f>
        <v/>
      </c>
      <c r="E417" s="10">
        <f>IFERROR(INDEX('Review Items'!$E:$E,MATCH(C417,'Review Items'!$B:$B,0)),IFERROR(INDEX('Rule Updates'!$C:$C,MATCH(C417,'Rule Updates'!$A:$A,0)),"Review"))</f>
        <v/>
      </c>
      <c r="F417" s="12" t="n">
        <v>290.84</v>
      </c>
      <c r="G417" s="12" t="n">
        <v>2306.65</v>
      </c>
      <c r="H417" s="10" t="n">
        <v>3</v>
      </c>
      <c r="I417" s="10">
        <f>IF(OR(D417="Uncategorised",E417=""),"Check","")</f>
        <v/>
      </c>
    </row>
    <row r="418">
      <c r="A418" s="10" t="inlineStr">
        <is>
          <t>Amex Apr-2025</t>
        </is>
      </c>
      <c r="B418" s="11" t="n">
        <v>45752</v>
      </c>
      <c r="C418" s="10" t="inlineStr">
        <is>
          <t>SP EIGHTH DAY SKINCA SANTA ANA</t>
        </is>
      </c>
      <c r="D418" s="10">
        <f>IFERROR(INDEX('Review Items'!$D:$D,MATCH(C418,'Review Items'!$B:$B,0)),IFERROR(INDEX('Rule Updates'!$B:$B,MATCH(C418,'Rule Updates'!$A:$A,0)),"Uncategorised"))</f>
        <v/>
      </c>
      <c r="E418" s="10">
        <f>IFERROR(INDEX('Review Items'!$E:$E,MATCH(C418,'Review Items'!$B:$B,0)),IFERROR(INDEX('Rule Updates'!$C:$C,MATCH(C418,'Rule Updates'!$A:$A,0)),"Review"))</f>
        <v/>
      </c>
      <c r="F418" s="12" t="n">
        <v>307.3</v>
      </c>
      <c r="G418" s="12" t="n">
        <v>2437.19</v>
      </c>
      <c r="H418" s="10" t="n">
        <v>3</v>
      </c>
      <c r="I418" s="10">
        <f>IF(OR(D418="Uncategorised",E418=""),"Check","")</f>
        <v/>
      </c>
    </row>
    <row r="419">
      <c r="A419" s="10" t="inlineStr">
        <is>
          <t>Amex Apr-2025</t>
        </is>
      </c>
      <c r="B419" s="11" t="n">
        <v>45752</v>
      </c>
      <c r="C419" s="10" t="inlineStr">
        <is>
          <t>TAXIWORLD*LONDON TAXI 7 GLASGOW</t>
        </is>
      </c>
      <c r="D419" s="10">
        <f>IFERROR(INDEX('Review Items'!$D:$D,MATCH(C419,'Review Items'!$B:$B,0)),IFERROR(INDEX('Rule Updates'!$B:$B,MATCH(C419,'Rule Updates'!$A:$A,0)),"Uncategorised"))</f>
        <v/>
      </c>
      <c r="E419" s="10">
        <f>IFERROR(INDEX('Review Items'!$E:$E,MATCH(C419,'Review Items'!$B:$B,0)),IFERROR(INDEX('Rule Updates'!$C:$C,MATCH(C419,'Rule Updates'!$A:$A,0)),"Review"))</f>
        <v/>
      </c>
      <c r="F419" s="12" t="n">
        <v>32.6</v>
      </c>
      <c r="G419" s="12" t="n">
        <v>337.78</v>
      </c>
      <c r="H419" s="10" t="n">
        <v>3</v>
      </c>
      <c r="I419" s="10">
        <f>IF(OR(D419="Uncategorised",E419=""),"Check","")</f>
        <v/>
      </c>
    </row>
    <row r="420">
      <c r="A420" s="10" t="inlineStr">
        <is>
          <t>Amex Apr-2025</t>
        </is>
      </c>
      <c r="B420" s="11" t="n">
        <v>45753</v>
      </c>
      <c r="C420" s="10" t="inlineStr">
        <is>
          <t>DOJO*OTTOLENGHI PAVILIO LONDON</t>
        </is>
      </c>
      <c r="D420" s="10">
        <f>IFERROR(INDEX('Review Items'!$D:$D,MATCH(C420,'Review Items'!$B:$B,0)),IFERROR(INDEX('Rule Updates'!$B:$B,MATCH(C420,'Rule Updates'!$A:$A,0)),"Uncategorised"))</f>
        <v/>
      </c>
      <c r="E420" s="10">
        <f>IFERROR(INDEX('Review Items'!$E:$E,MATCH(C420,'Review Items'!$B:$B,0)),IFERROR(INDEX('Rule Updates'!$C:$C,MATCH(C420,'Rule Updates'!$A:$A,0)),"Review"))</f>
        <v/>
      </c>
      <c r="F420" s="12" t="n">
        <v>12.3</v>
      </c>
      <c r="G420" s="12" t="n">
        <v>127.41</v>
      </c>
      <c r="H420" s="10" t="n">
        <v>4</v>
      </c>
      <c r="I420" s="10">
        <f>IF(OR(D420="Uncategorised",E420=""),"Check","")</f>
        <v/>
      </c>
    </row>
    <row r="421">
      <c r="A421" s="10" t="inlineStr">
        <is>
          <t>Amex Apr-2025</t>
        </is>
      </c>
      <c r="B421" s="11" t="n">
        <v>45753</v>
      </c>
      <c r="C421" s="10" t="inlineStr">
        <is>
          <t>TAXIWORLD*LONDON TAXI 6 GLASGOW</t>
        </is>
      </c>
      <c r="D421" s="10">
        <f>IFERROR(INDEX('Review Items'!$D:$D,MATCH(C421,'Review Items'!$B:$B,0)),IFERROR(INDEX('Rule Updates'!$B:$B,MATCH(C421,'Rule Updates'!$A:$A,0)),"Uncategorised"))</f>
        <v/>
      </c>
      <c r="E421" s="10">
        <f>IFERROR(INDEX('Review Items'!$E:$E,MATCH(C421,'Review Items'!$B:$B,0)),IFERROR(INDEX('Rule Updates'!$C:$C,MATCH(C421,'Rule Updates'!$A:$A,0)),"Review"))</f>
        <v/>
      </c>
      <c r="F421" s="12" t="n">
        <v>38.4</v>
      </c>
      <c r="G421" s="12" t="n">
        <v>397.96</v>
      </c>
      <c r="H421" s="10" t="n">
        <v>4</v>
      </c>
      <c r="I421" s="10">
        <f>IF(OR(D421="Uncategorised",E421=""),"Check","")</f>
        <v/>
      </c>
    </row>
    <row r="422">
      <c r="A422" s="10" t="inlineStr">
        <is>
          <t>Amex Apr-2025</t>
        </is>
      </c>
      <c r="B422" s="11" t="n">
        <v>45754</v>
      </c>
      <c r="C422" s="10" t="inlineStr">
        <is>
          <t>AMZNMKTPLACE*R69W451K4 AMAZON.CO.UK</t>
        </is>
      </c>
      <c r="D422" s="10">
        <f>IFERROR(INDEX('Review Items'!$D:$D,MATCH(C422,'Review Items'!$B:$B,0)),IFERROR(INDEX('Rule Updates'!$B:$B,MATCH(C422,'Rule Updates'!$A:$A,0)),"Uncategorised"))</f>
        <v/>
      </c>
      <c r="E422" s="10">
        <f>IFERROR(INDEX('Review Items'!$E:$E,MATCH(C422,'Review Items'!$B:$B,0)),IFERROR(INDEX('Rule Updates'!$C:$C,MATCH(C422,'Rule Updates'!$A:$A,0)),"Review"))</f>
        <v/>
      </c>
      <c r="F422" s="10" t="n"/>
      <c r="G422" s="12" t="n">
        <v>439.03</v>
      </c>
      <c r="H422" s="10" t="n">
        <v>4</v>
      </c>
      <c r="I422" s="10">
        <f>IF(OR(D422="Uncategorised",E422=""),"Check","")</f>
        <v/>
      </c>
    </row>
    <row r="423">
      <c r="A423" s="10" t="inlineStr">
        <is>
          <t>Amex Apr-2025</t>
        </is>
      </c>
      <c r="B423" s="11" t="n">
        <v>45754</v>
      </c>
      <c r="C423" s="10" t="inlineStr">
        <is>
          <t>PAYMENT RECEIVED THROUGH AUTOPAY</t>
        </is>
      </c>
      <c r="D423" s="10">
        <f>IFERROR(INDEX('Review Items'!$D:$D,MATCH(C423,'Review Items'!$B:$B,0)),IFERROR(INDEX('Rule Updates'!$B:$B,MATCH(C423,'Rule Updates'!$A:$A,0)),"Uncategorised"))</f>
        <v/>
      </c>
      <c r="E423" s="10">
        <f>IFERROR(INDEX('Review Items'!$E:$E,MATCH(C423,'Review Items'!$B:$B,0)),IFERROR(INDEX('Rule Updates'!$C:$C,MATCH(C423,'Rule Updates'!$A:$A,0)),"Review"))</f>
        <v/>
      </c>
      <c r="F423" s="10" t="n"/>
      <c r="G423" s="12" t="n">
        <v>-162416.56</v>
      </c>
      <c r="H423" s="10" t="n">
        <v>1</v>
      </c>
      <c r="I423" s="10">
        <f>IF(OR(D423="Uncategorised",E423=""),"Check","")</f>
        <v/>
      </c>
    </row>
    <row r="424">
      <c r="A424" s="10" t="inlineStr">
        <is>
          <t>Amex Apr-2025</t>
        </is>
      </c>
      <c r="B424" s="11" t="n">
        <v>45755</v>
      </c>
      <c r="C424" s="10" t="inlineStr">
        <is>
          <t>HAI NA TRADING LIMITED BATH</t>
        </is>
      </c>
      <c r="D424" s="10">
        <f>IFERROR(INDEX('Review Items'!$D:$D,MATCH(C424,'Review Items'!$B:$B,0)),IFERROR(INDEX('Rule Updates'!$B:$B,MATCH(C424,'Rule Updates'!$A:$A,0)),"Uncategorised"))</f>
        <v/>
      </c>
      <c r="E424" s="10">
        <f>IFERROR(INDEX('Review Items'!$E:$E,MATCH(C424,'Review Items'!$B:$B,0)),IFERROR(INDEX('Rule Updates'!$C:$C,MATCH(C424,'Rule Updates'!$A:$A,0)),"Review"))</f>
        <v/>
      </c>
      <c r="F424" s="12" t="n">
        <v>9.859999999999999</v>
      </c>
      <c r="G424" s="12" t="n">
        <v>100.02</v>
      </c>
      <c r="H424" s="10" t="n">
        <v>4</v>
      </c>
      <c r="I424" s="10">
        <f>IF(OR(D424="Uncategorised",E424=""),"Check","")</f>
        <v/>
      </c>
    </row>
    <row r="425">
      <c r="A425" s="10" t="inlineStr">
        <is>
          <t>Amex Apr-2025</t>
        </is>
      </c>
      <c r="B425" s="11" t="n">
        <v>45755</v>
      </c>
      <c r="C425" s="10" t="inlineStr">
        <is>
          <t>HTOKUMINE@JAPANCENTRE.CLONDON</t>
        </is>
      </c>
      <c r="D425" s="10">
        <f>IFERROR(INDEX('Review Items'!$D:$D,MATCH(C425,'Review Items'!$B:$B,0)),IFERROR(INDEX('Rule Updates'!$B:$B,MATCH(C425,'Rule Updates'!$A:$A,0)),"Uncategorised"))</f>
        <v/>
      </c>
      <c r="E425" s="10">
        <f>IFERROR(INDEX('Review Items'!$E:$E,MATCH(C425,'Review Items'!$B:$B,0)),IFERROR(INDEX('Rule Updates'!$C:$C,MATCH(C425,'Rule Updates'!$A:$A,0)),"Review"))</f>
        <v/>
      </c>
      <c r="F425" s="12" t="n">
        <v>67.65000000000001</v>
      </c>
      <c r="G425" s="12" t="n">
        <v>693.52</v>
      </c>
      <c r="H425" s="10" t="n">
        <v>4</v>
      </c>
      <c r="I425" s="10">
        <f>IF(OR(D425="Uncategorised",E425=""),"Check","")</f>
        <v/>
      </c>
    </row>
    <row r="426">
      <c r="A426" s="10" t="inlineStr">
        <is>
          <t>Amex Apr-2025</t>
        </is>
      </c>
      <c r="B426" s="11" t="n">
        <v>45755</v>
      </c>
      <c r="C426" s="10" t="inlineStr">
        <is>
          <t>NET-A-PORTER GROUP LTD LONDON</t>
        </is>
      </c>
      <c r="D426" s="10">
        <f>IFERROR(INDEX('Review Items'!$D:$D,MATCH(C426,'Review Items'!$B:$B,0)),IFERROR(INDEX('Rule Updates'!$B:$B,MATCH(C426,'Rule Updates'!$A:$A,0)),"Uncategorised"))</f>
        <v/>
      </c>
      <c r="E426" s="10">
        <f>IFERROR(INDEX('Review Items'!$E:$E,MATCH(C426,'Review Items'!$B:$B,0)),IFERROR(INDEX('Rule Updates'!$C:$C,MATCH(C426,'Rule Updates'!$A:$A,0)),"Review"))</f>
        <v/>
      </c>
      <c r="F426" s="12" t="n">
        <v>2672</v>
      </c>
      <c r="G426" s="12" t="n">
        <v>-26854.95</v>
      </c>
      <c r="H426" s="10" t="n">
        <v>4</v>
      </c>
      <c r="I426" s="10">
        <f>IF(OR(D426="Uncategorised",E426=""),"Check","")</f>
        <v/>
      </c>
    </row>
    <row r="427">
      <c r="A427" s="10" t="inlineStr">
        <is>
          <t>Amex Apr-2025</t>
        </is>
      </c>
      <c r="B427" s="11" t="n">
        <v>45755</v>
      </c>
      <c r="C427" s="10" t="inlineStr">
        <is>
          <t>PETIT BATEAU LONDON</t>
        </is>
      </c>
      <c r="D427" s="10">
        <f>IFERROR(INDEX('Review Items'!$D:$D,MATCH(C427,'Review Items'!$B:$B,0)),IFERROR(INDEX('Rule Updates'!$B:$B,MATCH(C427,'Rule Updates'!$A:$A,0)),"Uncategorised"))</f>
        <v/>
      </c>
      <c r="E427" s="10">
        <f>IFERROR(INDEX('Review Items'!$E:$E,MATCH(C427,'Review Items'!$B:$B,0)),IFERROR(INDEX('Rule Updates'!$C:$C,MATCH(C427,'Rule Updates'!$A:$A,0)),"Review"))</f>
        <v/>
      </c>
      <c r="F427" s="12" t="n">
        <v>132</v>
      </c>
      <c r="G427" s="12" t="n">
        <v>1353.21</v>
      </c>
      <c r="H427" s="10" t="n">
        <v>4</v>
      </c>
      <c r="I427" s="10">
        <f>IF(OR(D427="Uncategorised",E427=""),"Check","")</f>
        <v/>
      </c>
    </row>
    <row r="428">
      <c r="A428" s="10" t="inlineStr">
        <is>
          <t>Amex Apr-2025</t>
        </is>
      </c>
      <c r="B428" s="11" t="n">
        <v>45756</v>
      </c>
      <c r="C428" s="10" t="inlineStr">
        <is>
          <t>Colonna and Smalls Ltd Bath</t>
        </is>
      </c>
      <c r="D428" s="10">
        <f>IFERROR(INDEX('Review Items'!$D:$D,MATCH(C428,'Review Items'!$B:$B,0)),IFERROR(INDEX('Rule Updates'!$B:$B,MATCH(C428,'Rule Updates'!$A:$A,0)),"Uncategorised"))</f>
        <v/>
      </c>
      <c r="E428" s="10">
        <f>IFERROR(INDEX('Review Items'!$E:$E,MATCH(C428,'Review Items'!$B:$B,0)),IFERROR(INDEX('Rule Updates'!$C:$C,MATCH(C428,'Rule Updates'!$A:$A,0)),"Review"))</f>
        <v/>
      </c>
      <c r="F428" s="12" t="n">
        <v>20</v>
      </c>
      <c r="G428" s="12" t="n">
        <v>202.88</v>
      </c>
      <c r="H428" s="10" t="n">
        <v>4</v>
      </c>
      <c r="I428" s="10">
        <f>IF(OR(D428="Uncategorised",E428=""),"Check","")</f>
        <v/>
      </c>
    </row>
    <row r="429">
      <c r="A429" s="10" t="inlineStr">
        <is>
          <t>Amex Apr-2025</t>
        </is>
      </c>
      <c r="B429" s="11" t="n">
        <v>45756</v>
      </c>
      <c r="C429" s="10" t="inlineStr">
        <is>
          <t>LS RUNNING BATH BATH</t>
        </is>
      </c>
      <c r="D429" s="10">
        <f>IFERROR(INDEX('Review Items'!$D:$D,MATCH(C429,'Review Items'!$B:$B,0)),IFERROR(INDEX('Rule Updates'!$B:$B,MATCH(C429,'Rule Updates'!$A:$A,0)),"Uncategorised"))</f>
        <v/>
      </c>
      <c r="E429" s="10">
        <f>IFERROR(INDEX('Review Items'!$E:$E,MATCH(C429,'Review Items'!$B:$B,0)),IFERROR(INDEX('Rule Updates'!$C:$C,MATCH(C429,'Rule Updates'!$A:$A,0)),"Review"))</f>
        <v/>
      </c>
      <c r="F429" s="12" t="n">
        <v>44.97</v>
      </c>
      <c r="G429" s="12" t="n">
        <v>456.19</v>
      </c>
      <c r="H429" s="10" t="n">
        <v>4</v>
      </c>
      <c r="I429" s="10">
        <f>IF(OR(D429="Uncategorised",E429=""),"Check","")</f>
        <v/>
      </c>
    </row>
    <row r="430">
      <c r="A430" s="10" t="inlineStr">
        <is>
          <t>Amex Apr-2025</t>
        </is>
      </c>
      <c r="B430" s="11" t="n">
        <v>45756</v>
      </c>
      <c r="C430" s="10" t="inlineStr">
        <is>
          <t>SP AWAKE-MODE LONDON</t>
        </is>
      </c>
      <c r="D430" s="10">
        <f>IFERROR(INDEX('Review Items'!$D:$D,MATCH(C430,'Review Items'!$B:$B,0)),IFERROR(INDEX('Rule Updates'!$B:$B,MATCH(C430,'Rule Updates'!$A:$A,0)),"Uncategorised"))</f>
        <v/>
      </c>
      <c r="E430" s="10">
        <f>IFERROR(INDEX('Review Items'!$E:$E,MATCH(C430,'Review Items'!$B:$B,0)),IFERROR(INDEX('Rule Updates'!$C:$C,MATCH(C430,'Rule Updates'!$A:$A,0)),"Review"))</f>
        <v/>
      </c>
      <c r="F430" s="12" t="n">
        <v>510</v>
      </c>
      <c r="G430" s="12" t="n">
        <v>5173.36</v>
      </c>
      <c r="H430" s="10" t="n">
        <v>4</v>
      </c>
      <c r="I430" s="10">
        <f>IF(OR(D430="Uncategorised",E430=""),"Check","")</f>
        <v/>
      </c>
    </row>
    <row r="431">
      <c r="A431" s="10" t="inlineStr">
        <is>
          <t>Amex Apr-2025</t>
        </is>
      </c>
      <c r="B431" s="11" t="n">
        <v>45756</v>
      </c>
      <c r="C431" s="10" t="inlineStr">
        <is>
          <t>SP TOAST UK LONDON</t>
        </is>
      </c>
      <c r="D431" s="10">
        <f>IFERROR(INDEX('Review Items'!$D:$D,MATCH(C431,'Review Items'!$B:$B,0)),IFERROR(INDEX('Rule Updates'!$B:$B,MATCH(C431,'Rule Updates'!$A:$A,0)),"Uncategorised"))</f>
        <v/>
      </c>
      <c r="E431" s="10">
        <f>IFERROR(INDEX('Review Items'!$E:$E,MATCH(C431,'Review Items'!$B:$B,0)),IFERROR(INDEX('Rule Updates'!$C:$C,MATCH(C431,'Rule Updates'!$A:$A,0)),"Review"))</f>
        <v/>
      </c>
      <c r="F431" s="12" t="n">
        <v>865</v>
      </c>
      <c r="G431" s="12" t="n">
        <v>8774.4</v>
      </c>
      <c r="H431" s="10" t="n">
        <v>4</v>
      </c>
      <c r="I431" s="10">
        <f>IF(OR(D431="Uncategorised",E431=""),"Check","")</f>
        <v/>
      </c>
    </row>
    <row r="432">
      <c r="A432" s="10" t="inlineStr">
        <is>
          <t>Amex Apr-2025</t>
        </is>
      </c>
      <c r="B432" s="11" t="n">
        <v>45756</v>
      </c>
      <c r="C432" s="10" t="inlineStr">
        <is>
          <t>TOPPING &amp; COMPANY BOOKS Bathwick</t>
        </is>
      </c>
      <c r="D432" s="10">
        <f>IFERROR(INDEX('Review Items'!$D:$D,MATCH(C432,'Review Items'!$B:$B,0)),IFERROR(INDEX('Rule Updates'!$B:$B,MATCH(C432,'Rule Updates'!$A:$A,0)),"Uncategorised"))</f>
        <v/>
      </c>
      <c r="E432" s="10">
        <f>IFERROR(INDEX('Review Items'!$E:$E,MATCH(C432,'Review Items'!$B:$B,0)),IFERROR(INDEX('Rule Updates'!$C:$C,MATCH(C432,'Rule Updates'!$A:$A,0)),"Review"))</f>
        <v/>
      </c>
      <c r="F432" s="12" t="n">
        <v>37.97</v>
      </c>
      <c r="G432" s="12" t="n">
        <v>385.18</v>
      </c>
      <c r="H432" s="10" t="n">
        <v>4</v>
      </c>
      <c r="I432" s="10">
        <f>IF(OR(D432="Uncategorised",E432=""),"Check","")</f>
        <v/>
      </c>
    </row>
    <row r="433">
      <c r="A433" s="10" t="inlineStr">
        <is>
          <t>Amex Apr-2025</t>
        </is>
      </c>
      <c r="B433" s="11" t="n">
        <v>45757</v>
      </c>
      <c r="C433" s="10" t="inlineStr">
        <is>
          <t>AMAZON PRIME*R62B79KF4 AMZN.CO.UK/PM</t>
        </is>
      </c>
      <c r="D433" s="10">
        <f>IFERROR(INDEX('Review Items'!$D:$D,MATCH(C433,'Review Items'!$B:$B,0)),IFERROR(INDEX('Rule Updates'!$B:$B,MATCH(C433,'Rule Updates'!$A:$A,0)),"Uncategorised"))</f>
        <v/>
      </c>
      <c r="E433" s="10">
        <f>IFERROR(INDEX('Review Items'!$E:$E,MATCH(C433,'Review Items'!$B:$B,0)),IFERROR(INDEX('Rule Updates'!$C:$C,MATCH(C433,'Rule Updates'!$A:$A,0)),"Review"))</f>
        <v/>
      </c>
      <c r="F433" s="12" t="n">
        <v>8.99</v>
      </c>
      <c r="G433" s="12" t="n">
        <v>91.34</v>
      </c>
      <c r="H433" s="10" t="n">
        <v>4</v>
      </c>
      <c r="I433" s="10">
        <f>IF(OR(D433="Uncategorised",E433=""),"Check","")</f>
        <v/>
      </c>
    </row>
    <row r="434">
      <c r="A434" s="10" t="inlineStr">
        <is>
          <t>Amex Apr-2025</t>
        </is>
      </c>
      <c r="B434" s="11" t="n">
        <v>45757</v>
      </c>
      <c r="C434" s="10" t="inlineStr">
        <is>
          <t>MOBILE NEWT SOMERSET</t>
        </is>
      </c>
      <c r="D434" s="10">
        <f>IFERROR(INDEX('Review Items'!$D:$D,MATCH(C434,'Review Items'!$B:$B,0)),IFERROR(INDEX('Rule Updates'!$B:$B,MATCH(C434,'Rule Updates'!$A:$A,0)),"Uncategorised"))</f>
        <v/>
      </c>
      <c r="E434" s="10">
        <f>IFERROR(INDEX('Review Items'!$E:$E,MATCH(C434,'Review Items'!$B:$B,0)),IFERROR(INDEX('Rule Updates'!$C:$C,MATCH(C434,'Rule Updates'!$A:$A,0)),"Review"))</f>
        <v/>
      </c>
      <c r="F434" s="12" t="n">
        <v>120.2</v>
      </c>
      <c r="G434" s="12" t="n">
        <v>1221.8</v>
      </c>
      <c r="H434" s="10" t="n">
        <v>4</v>
      </c>
      <c r="I434" s="10">
        <f>IF(OR(D434="Uncategorised",E434=""),"Check","")</f>
        <v/>
      </c>
    </row>
    <row r="435">
      <c r="A435" s="10" t="inlineStr">
        <is>
          <t>Amex Apr-2025</t>
        </is>
      </c>
      <c r="B435" s="11" t="n">
        <v>45758</v>
      </c>
      <c r="C435" s="10" t="inlineStr">
        <is>
          <t>MOVEMENT MENTORSHIP NORTH BONDI</t>
        </is>
      </c>
      <c r="D435" s="10">
        <f>IFERROR(INDEX('Review Items'!$D:$D,MATCH(C435,'Review Items'!$B:$B,0)),IFERROR(INDEX('Rule Updates'!$B:$B,MATCH(C435,'Rule Updates'!$A:$A,0)),"Uncategorised"))</f>
        <v/>
      </c>
      <c r="E435" s="10">
        <f>IFERROR(INDEX('Review Items'!$E:$E,MATCH(C435,'Review Items'!$B:$B,0)),IFERROR(INDEX('Rule Updates'!$C:$C,MATCH(C435,'Rule Updates'!$A:$A,0)),"Review"))</f>
        <v/>
      </c>
      <c r="F435" s="12" t="n">
        <v>96</v>
      </c>
      <c r="G435" s="12" t="n">
        <v>760.38</v>
      </c>
      <c r="H435" s="10" t="n">
        <v>4</v>
      </c>
      <c r="I435" s="10">
        <f>IF(OR(D435="Uncategorised",E435=""),"Check","")</f>
        <v/>
      </c>
    </row>
    <row r="436">
      <c r="A436" s="10" t="inlineStr">
        <is>
          <t>Amex Apr-2025</t>
        </is>
      </c>
      <c r="B436" s="11" t="n">
        <v>45758</v>
      </c>
      <c r="C436" s="10" t="inlineStr">
        <is>
          <t>MOVEMENT MENTORSHIP NORTH BONDI</t>
        </is>
      </c>
      <c r="D436" s="10">
        <f>IFERROR(INDEX('Review Items'!$D:$D,MATCH(C436,'Review Items'!$B:$B,0)),IFERROR(INDEX('Rule Updates'!$B:$B,MATCH(C436,'Rule Updates'!$A:$A,0)),"Uncategorised"))</f>
        <v/>
      </c>
      <c r="E436" s="10">
        <f>IFERROR(INDEX('Review Items'!$E:$E,MATCH(C436,'Review Items'!$B:$B,0)),IFERROR(INDEX('Rule Updates'!$C:$C,MATCH(C436,'Rule Updates'!$A:$A,0)),"Review"))</f>
        <v/>
      </c>
      <c r="F436" s="12" t="n">
        <v>97</v>
      </c>
      <c r="G436" s="12" t="n">
        <v>768.3</v>
      </c>
      <c r="H436" s="10" t="n">
        <v>4</v>
      </c>
      <c r="I436" s="10">
        <f>IF(OR(D436="Uncategorised",E436=""),"Check","")</f>
        <v/>
      </c>
    </row>
    <row r="437">
      <c r="A437" s="10" t="inlineStr">
        <is>
          <t>Amex Apr-2025</t>
        </is>
      </c>
      <c r="B437" s="11" t="n">
        <v>45758</v>
      </c>
      <c r="C437" s="10" t="inlineStr">
        <is>
          <t>SIXT PORTUGAL RAC_307_M PAREDES</t>
        </is>
      </c>
      <c r="D437" s="10">
        <f>IFERROR(INDEX('Review Items'!$D:$D,MATCH(C437,'Review Items'!$B:$B,0)),IFERROR(INDEX('Rule Updates'!$B:$B,MATCH(C437,'Rule Updates'!$A:$A,0)),"Uncategorised"))</f>
        <v/>
      </c>
      <c r="E437" s="10">
        <f>IFERROR(INDEX('Review Items'!$E:$E,MATCH(C437,'Review Items'!$B:$B,0)),IFERROR(INDEX('Rule Updates'!$C:$C,MATCH(C437,'Rule Updates'!$A:$A,0)),"Review"))</f>
        <v/>
      </c>
      <c r="F437" s="12" t="n">
        <v>8580</v>
      </c>
      <c r="G437" s="12" t="n">
        <v>760.14</v>
      </c>
      <c r="H437" s="10" t="n">
        <v>7</v>
      </c>
      <c r="I437" s="10">
        <f>IF(OR(D437="Uncategorised",E437=""),"Check","")</f>
        <v/>
      </c>
    </row>
    <row r="438">
      <c r="A438" s="10" t="inlineStr">
        <is>
          <t>Amex Apr-2025</t>
        </is>
      </c>
      <c r="B438" s="11" t="n">
        <v>45759</v>
      </c>
      <c r="C438" s="10" t="inlineStr">
        <is>
          <t>MOBILE NEWT SOMERSET</t>
        </is>
      </c>
      <c r="D438" s="10">
        <f>IFERROR(INDEX('Review Items'!$D:$D,MATCH(C438,'Review Items'!$B:$B,0)),IFERROR(INDEX('Rule Updates'!$B:$B,MATCH(C438,'Rule Updates'!$A:$A,0)),"Uncategorised"))</f>
        <v/>
      </c>
      <c r="E438" s="10">
        <f>IFERROR(INDEX('Review Items'!$E:$E,MATCH(C438,'Review Items'!$B:$B,0)),IFERROR(INDEX('Rule Updates'!$C:$C,MATCH(C438,'Rule Updates'!$A:$A,0)),"Review"))</f>
        <v/>
      </c>
      <c r="F438" s="12" t="n">
        <v>116</v>
      </c>
      <c r="G438" s="12" t="n">
        <v>1206.68</v>
      </c>
      <c r="H438" s="10" t="n">
        <v>4</v>
      </c>
      <c r="I438" s="10">
        <f>IF(OR(D438="Uncategorised",E438=""),"Check","")</f>
        <v/>
      </c>
    </row>
    <row r="439">
      <c r="A439" s="10" t="inlineStr">
        <is>
          <t>Amex Apr-2025</t>
        </is>
      </c>
      <c r="B439" s="11" t="n">
        <v>45762</v>
      </c>
      <c r="C439" s="10" t="inlineStr">
        <is>
          <t>3CPAYMENT*EUROPCAR LISB LISBOA</t>
        </is>
      </c>
      <c r="D439" s="10">
        <f>IFERROR(INDEX('Review Items'!$D:$D,MATCH(C439,'Review Items'!$B:$B,0)),IFERROR(INDEX('Rule Updates'!$B:$B,MATCH(C439,'Rule Updates'!$A:$A,0)),"Uncategorised"))</f>
        <v/>
      </c>
      <c r="E439" s="10">
        <f>IFERROR(INDEX('Review Items'!$E:$E,MATCH(C439,'Review Items'!$B:$B,0)),IFERROR(INDEX('Rule Updates'!$C:$C,MATCH(C439,'Rule Updates'!$A:$A,0)),"Review"))</f>
        <v/>
      </c>
      <c r="F439" s="12" t="n">
        <v>15258</v>
      </c>
      <c r="G439" s="12" t="n">
        <v>1373.77</v>
      </c>
      <c r="H439" s="10" t="n">
        <v>7</v>
      </c>
      <c r="I439" s="10">
        <f>IF(OR(D439="Uncategorised",E439=""),"Check","")</f>
        <v/>
      </c>
    </row>
    <row r="440">
      <c r="A440" s="10" t="inlineStr">
        <is>
          <t>Amex Apr-2025</t>
        </is>
      </c>
      <c r="B440" s="11" t="n">
        <v>45763</v>
      </c>
      <c r="C440" s="10" t="inlineStr">
        <is>
          <t>3CPAYMENT*EUROPCAR LISB LISBOA</t>
        </is>
      </c>
      <c r="D440" s="10">
        <f>IFERROR(INDEX('Review Items'!$D:$D,MATCH(C440,'Review Items'!$B:$B,0)),IFERROR(INDEX('Rule Updates'!$B:$B,MATCH(C440,'Rule Updates'!$A:$A,0)),"Uncategorised"))</f>
        <v/>
      </c>
      <c r="E440" s="10">
        <f>IFERROR(INDEX('Review Items'!$E:$E,MATCH(C440,'Review Items'!$B:$B,0)),IFERROR(INDEX('Rule Updates'!$C:$C,MATCH(C440,'Rule Updates'!$A:$A,0)),"Review"))</f>
        <v/>
      </c>
      <c r="F440" s="12" t="n">
        <v>26616</v>
      </c>
      <c r="G440" s="12" t="n">
        <v>2401.06</v>
      </c>
      <c r="H440" s="10" t="n">
        <v>7</v>
      </c>
      <c r="I440" s="10">
        <f>IF(OR(D440="Uncategorised",E440=""),"Check","")</f>
        <v/>
      </c>
    </row>
    <row r="441">
      <c r="A441" s="10" t="inlineStr">
        <is>
          <t>Amex Apr-2025</t>
        </is>
      </c>
      <c r="B441" s="11" t="n">
        <v>45763</v>
      </c>
      <c r="C441" s="10" t="inlineStr">
        <is>
          <t>3CPAYMENT*EUROPCAR LISB LISBOA</t>
        </is>
      </c>
      <c r="D441" s="10">
        <f>IFERROR(INDEX('Review Items'!$D:$D,MATCH(C441,'Review Items'!$B:$B,0)),IFERROR(INDEX('Rule Updates'!$B:$B,MATCH(C441,'Rule Updates'!$A:$A,0)),"Uncategorised"))</f>
        <v/>
      </c>
      <c r="E441" s="10">
        <f>IFERROR(INDEX('Review Items'!$E:$E,MATCH(C441,'Review Items'!$B:$B,0)),IFERROR(INDEX('Rule Updates'!$C:$C,MATCH(C441,'Rule Updates'!$A:$A,0)),"Review"))</f>
        <v/>
      </c>
      <c r="F441" s="12" t="n">
        <v>15258</v>
      </c>
      <c r="G441" s="12" t="n">
        <v>-1349.41</v>
      </c>
      <c r="H441" s="10" t="n">
        <v>7</v>
      </c>
      <c r="I441" s="10">
        <f>IF(OR(D441="Uncategorised",E441=""),"Check","")</f>
        <v/>
      </c>
    </row>
    <row r="442">
      <c r="A442" s="10" t="inlineStr">
        <is>
          <t>Amex Apr-2025</t>
        </is>
      </c>
      <c r="B442" s="11" t="n">
        <v>45763</v>
      </c>
      <c r="C442" s="10" t="inlineStr">
        <is>
          <t>NET-A-PORTER GROUP LTD LONDON</t>
        </is>
      </c>
      <c r="D442" s="10">
        <f>IFERROR(INDEX('Review Items'!$D:$D,MATCH(C442,'Review Items'!$B:$B,0)),IFERROR(INDEX('Rule Updates'!$B:$B,MATCH(C442,'Rule Updates'!$A:$A,0)),"Uncategorised"))</f>
        <v/>
      </c>
      <c r="E442" s="10">
        <f>IFERROR(INDEX('Review Items'!$E:$E,MATCH(C442,'Review Items'!$B:$B,0)),IFERROR(INDEX('Rule Updates'!$C:$C,MATCH(C442,'Rule Updates'!$A:$A,0)),"Review"))</f>
        <v/>
      </c>
      <c r="F442" s="12" t="n">
        <v>2069</v>
      </c>
      <c r="G442" s="12" t="n">
        <v>21782.1</v>
      </c>
      <c r="H442" s="10" t="n">
        <v>5</v>
      </c>
      <c r="I442" s="10">
        <f>IF(OR(D442="Uncategorised",E442=""),"Check","")</f>
        <v/>
      </c>
    </row>
    <row r="443">
      <c r="A443" s="10" t="inlineStr">
        <is>
          <t>Amex Apr-2025</t>
        </is>
      </c>
      <c r="B443" s="11" t="n">
        <v>45763</v>
      </c>
      <c r="C443" s="10" t="inlineStr">
        <is>
          <t>SP HEALF MANCHESTER</t>
        </is>
      </c>
      <c r="D443" s="10">
        <f>IFERROR(INDEX('Review Items'!$D:$D,MATCH(C443,'Review Items'!$B:$B,0)),IFERROR(INDEX('Rule Updates'!$B:$B,MATCH(C443,'Rule Updates'!$A:$A,0)),"Uncategorised"))</f>
        <v/>
      </c>
      <c r="E443" s="10">
        <f>IFERROR(INDEX('Review Items'!$E:$E,MATCH(C443,'Review Items'!$B:$B,0)),IFERROR(INDEX('Rule Updates'!$C:$C,MATCH(C443,'Rule Updates'!$A:$A,0)),"Review"))</f>
        <v/>
      </c>
      <c r="F443" s="12" t="n">
        <v>771.98</v>
      </c>
      <c r="G443" s="12" t="n">
        <v>8096.29</v>
      </c>
      <c r="H443" s="10" t="n">
        <v>5</v>
      </c>
      <c r="I443" s="10">
        <f>IF(OR(D443="Uncategorised",E443=""),"Check","")</f>
        <v/>
      </c>
    </row>
    <row r="444">
      <c r="A444" s="10" t="inlineStr">
        <is>
          <t>Amex Apr-2025</t>
        </is>
      </c>
      <c r="B444" s="11" t="n">
        <v>45764</v>
      </c>
      <c r="C444" s="10" t="inlineStr">
        <is>
          <t>NET-A-PORTER GROUP LTD LONDON</t>
        </is>
      </c>
      <c r="D444" s="10">
        <f>IFERROR(INDEX('Review Items'!$D:$D,MATCH(C444,'Review Items'!$B:$B,0)),IFERROR(INDEX('Rule Updates'!$B:$B,MATCH(C444,'Rule Updates'!$A:$A,0)),"Uncategorised"))</f>
        <v/>
      </c>
      <c r="E444" s="10">
        <f>IFERROR(INDEX('Review Items'!$E:$E,MATCH(C444,'Review Items'!$B:$B,0)),IFERROR(INDEX('Rule Updates'!$C:$C,MATCH(C444,'Rule Updates'!$A:$A,0)),"Review"))</f>
        <v/>
      </c>
      <c r="F444" s="12" t="n">
        <v>1215</v>
      </c>
      <c r="G444" s="12" t="n">
        <v>12786.88</v>
      </c>
      <c r="H444" s="10" t="n">
        <v>5</v>
      </c>
      <c r="I444" s="10">
        <f>IF(OR(D444="Uncategorised",E444=""),"Check","")</f>
        <v/>
      </c>
    </row>
    <row r="445">
      <c r="A445" s="10" t="inlineStr">
        <is>
          <t>Amex Apr-2025</t>
        </is>
      </c>
      <c r="B445" s="11" t="n">
        <v>45765</v>
      </c>
      <c r="C445" s="10" t="inlineStr">
        <is>
          <t>SP SOUS CHEF LONDON</t>
        </is>
      </c>
      <c r="D445" s="10">
        <f>IFERROR(INDEX('Review Items'!$D:$D,MATCH(C445,'Review Items'!$B:$B,0)),IFERROR(INDEX('Rule Updates'!$B:$B,MATCH(C445,'Rule Updates'!$A:$A,0)),"Uncategorised"))</f>
        <v/>
      </c>
      <c r="E445" s="10">
        <f>IFERROR(INDEX('Review Items'!$E:$E,MATCH(C445,'Review Items'!$B:$B,0)),IFERROR(INDEX('Rule Updates'!$C:$C,MATCH(C445,'Rule Updates'!$A:$A,0)),"Review"))</f>
        <v/>
      </c>
      <c r="F445" s="12" t="n">
        <v>167.16</v>
      </c>
      <c r="G445" s="12" t="n">
        <v>1757.37</v>
      </c>
      <c r="H445" s="10" t="n">
        <v>5</v>
      </c>
      <c r="I445" s="10">
        <f>IF(OR(D445="Uncategorised",E445=""),"Check","")</f>
        <v/>
      </c>
    </row>
    <row r="446">
      <c r="A446" s="10" t="inlineStr">
        <is>
          <t>Amex Apr-2025</t>
        </is>
      </c>
      <c r="B446" s="11" t="n">
        <v>45766</v>
      </c>
      <c r="C446" s="10" t="inlineStr">
        <is>
          <t>10 GREEN STREET LTD BATH</t>
        </is>
      </c>
      <c r="D446" s="10">
        <f>IFERROR(INDEX('Review Items'!$D:$D,MATCH(C446,'Review Items'!$B:$B,0)),IFERROR(INDEX('Rule Updates'!$B:$B,MATCH(C446,'Rule Updates'!$A:$A,0)),"Uncategorised"))</f>
        <v/>
      </c>
      <c r="E446" s="10">
        <f>IFERROR(INDEX('Review Items'!$E:$E,MATCH(C446,'Review Items'!$B:$B,0)),IFERROR(INDEX('Rule Updates'!$C:$C,MATCH(C446,'Rule Updates'!$A:$A,0)),"Review"))</f>
        <v/>
      </c>
      <c r="F446" s="12" t="n">
        <v>129.73</v>
      </c>
      <c r="G446" s="12" t="n">
        <v>1365.27</v>
      </c>
      <c r="H446" s="10" t="n">
        <v>5</v>
      </c>
      <c r="I446" s="10">
        <f>IF(OR(D446="Uncategorised",E446=""),"Check","")</f>
        <v/>
      </c>
    </row>
    <row r="447">
      <c r="A447" s="10" t="inlineStr">
        <is>
          <t>Amex Apr-2025</t>
        </is>
      </c>
      <c r="B447" s="11" t="n">
        <v>45766</v>
      </c>
      <c r="C447" s="10" t="inlineStr">
        <is>
          <t>LANDRACE Bathwick</t>
        </is>
      </c>
      <c r="D447" s="10">
        <f>IFERROR(INDEX('Review Items'!$D:$D,MATCH(C447,'Review Items'!$B:$B,0)),IFERROR(INDEX('Rule Updates'!$B:$B,MATCH(C447,'Rule Updates'!$A:$A,0)),"Uncategorised"))</f>
        <v/>
      </c>
      <c r="E447" s="10">
        <f>IFERROR(INDEX('Review Items'!$E:$E,MATCH(C447,'Review Items'!$B:$B,0)),IFERROR(INDEX('Rule Updates'!$C:$C,MATCH(C447,'Rule Updates'!$A:$A,0)),"Review"))</f>
        <v/>
      </c>
      <c r="F447" s="12" t="n">
        <v>8.25</v>
      </c>
      <c r="G447" s="12" t="n">
        <v>86.86</v>
      </c>
      <c r="H447" s="10" t="n">
        <v>5</v>
      </c>
      <c r="I447" s="10">
        <f>IF(OR(D447="Uncategorised",E447=""),"Check","")</f>
        <v/>
      </c>
    </row>
    <row r="448">
      <c r="A448" s="10" t="inlineStr">
        <is>
          <t>Amex Apr-2025</t>
        </is>
      </c>
      <c r="B448" s="11" t="n">
        <v>45766</v>
      </c>
      <c r="C448" s="10" t="inlineStr">
        <is>
          <t>PETIT BATEAU LONDON</t>
        </is>
      </c>
      <c r="D448" s="10">
        <f>IFERROR(INDEX('Review Items'!$D:$D,MATCH(C448,'Review Items'!$B:$B,0)),IFERROR(INDEX('Rule Updates'!$B:$B,MATCH(C448,'Rule Updates'!$A:$A,0)),"Uncategorised"))</f>
        <v/>
      </c>
      <c r="E448" s="10">
        <f>IFERROR(INDEX('Review Items'!$E:$E,MATCH(C448,'Review Items'!$B:$B,0)),IFERROR(INDEX('Rule Updates'!$C:$C,MATCH(C448,'Rule Updates'!$A:$A,0)),"Review"))</f>
        <v/>
      </c>
      <c r="F448" s="12" t="n">
        <v>171</v>
      </c>
      <c r="G448" s="12" t="n">
        <v>1799.65</v>
      </c>
      <c r="H448" s="10" t="n">
        <v>5</v>
      </c>
      <c r="I448" s="10">
        <f>IF(OR(D448="Uncategorised",E448=""),"Check","")</f>
        <v/>
      </c>
    </row>
    <row r="449">
      <c r="A449" s="10" t="inlineStr">
        <is>
          <t>Amex Apr-2025</t>
        </is>
      </c>
      <c r="B449" s="11" t="n">
        <v>45766</v>
      </c>
      <c r="C449" s="10" t="inlineStr">
        <is>
          <t>WAITROSE BATH BATH</t>
        </is>
      </c>
      <c r="D449" s="10">
        <f>IFERROR(INDEX('Review Items'!$D:$D,MATCH(C449,'Review Items'!$B:$B,0)),IFERROR(INDEX('Rule Updates'!$B:$B,MATCH(C449,'Rule Updates'!$A:$A,0)),"Uncategorised"))</f>
        <v/>
      </c>
      <c r="E449" s="10">
        <f>IFERROR(INDEX('Review Items'!$E:$E,MATCH(C449,'Review Items'!$B:$B,0)),IFERROR(INDEX('Rule Updates'!$C:$C,MATCH(C449,'Rule Updates'!$A:$A,0)),"Review"))</f>
        <v/>
      </c>
      <c r="F449" s="12" t="n">
        <v>115.31</v>
      </c>
      <c r="G449" s="12" t="n">
        <v>1213.55</v>
      </c>
      <c r="H449" s="10" t="n">
        <v>5</v>
      </c>
      <c r="I449" s="10">
        <f>IF(OR(D449="Uncategorised",E449=""),"Check","")</f>
        <v/>
      </c>
    </row>
    <row r="450">
      <c r="A450" s="10" t="inlineStr">
        <is>
          <t>Amex Apr-2025</t>
        </is>
      </c>
      <c r="B450" s="11" t="n">
        <v>45768</v>
      </c>
      <c r="C450" s="10" t="inlineStr">
        <is>
          <t>GARMIN (EUROPE) LIMITED SOUTHAMPTON</t>
        </is>
      </c>
      <c r="D450" s="10">
        <f>IFERROR(INDEX('Review Items'!$D:$D,MATCH(C450,'Review Items'!$B:$B,0)),IFERROR(INDEX('Rule Updates'!$B:$B,MATCH(C450,'Rule Updates'!$A:$A,0)),"Uncategorised"))</f>
        <v/>
      </c>
      <c r="E450" s="10">
        <f>IFERROR(INDEX('Review Items'!$E:$E,MATCH(C450,'Review Items'!$B:$B,0)),IFERROR(INDEX('Rule Updates'!$C:$C,MATCH(C450,'Rule Updates'!$A:$A,0)),"Review"))</f>
        <v/>
      </c>
      <c r="F450" s="10" t="n"/>
      <c r="G450" s="12" t="n">
        <v>89</v>
      </c>
      <c r="H450" s="10" t="n">
        <v>5</v>
      </c>
      <c r="I450" s="10">
        <f>IF(OR(D450="Uncategorised",E450=""),"Check","")</f>
        <v/>
      </c>
    </row>
    <row r="451">
      <c r="A451" s="10" t="inlineStr">
        <is>
          <t>Amex Apr-2025</t>
        </is>
      </c>
      <c r="B451" s="11" t="n">
        <v>45768</v>
      </c>
      <c r="C451" s="10" t="inlineStr">
        <is>
          <t>SP IPPODOTEAGLOBAL KYOUTOSHINAKAGY</t>
        </is>
      </c>
      <c r="D451" s="10">
        <f>IFERROR(INDEX('Review Items'!$D:$D,MATCH(C451,'Review Items'!$B:$B,0)),IFERROR(INDEX('Rule Updates'!$B:$B,MATCH(C451,'Rule Updates'!$A:$A,0)),"Uncategorised"))</f>
        <v/>
      </c>
      <c r="E451" s="10">
        <f>IFERROR(INDEX('Review Items'!$E:$E,MATCH(C451,'Review Items'!$B:$B,0)),IFERROR(INDEX('Rule Updates'!$C:$C,MATCH(C451,'Rule Updates'!$A:$A,0)),"Review"))</f>
        <v/>
      </c>
      <c r="F451" s="12" t="n">
        <v>40127</v>
      </c>
      <c r="G451" s="12" t="n">
        <v>2233.82</v>
      </c>
      <c r="H451" s="10" t="n">
        <v>5</v>
      </c>
      <c r="I451" s="10">
        <f>IF(OR(D451="Uncategorised",E451=""),"Check","")</f>
        <v/>
      </c>
    </row>
    <row r="452">
      <c r="A452" s="10" t="inlineStr">
        <is>
          <t>Amex Apr-2025</t>
        </is>
      </c>
      <c r="B452" s="11" t="n">
        <v>45768</v>
      </c>
      <c r="C452" s="10" t="inlineStr">
        <is>
          <t>WAITROSE BATH BATH</t>
        </is>
      </c>
      <c r="D452" s="10">
        <f>IFERROR(INDEX('Review Items'!$D:$D,MATCH(C452,'Review Items'!$B:$B,0)),IFERROR(INDEX('Rule Updates'!$B:$B,MATCH(C452,'Rule Updates'!$A:$A,0)),"Uncategorised"))</f>
        <v/>
      </c>
      <c r="E452" s="10">
        <f>IFERROR(INDEX('Review Items'!$E:$E,MATCH(C452,'Review Items'!$B:$B,0)),IFERROR(INDEX('Rule Updates'!$C:$C,MATCH(C452,'Rule Updates'!$A:$A,0)),"Review"))</f>
        <v/>
      </c>
      <c r="F452" s="12" t="n">
        <v>8.75</v>
      </c>
      <c r="G452" s="12" t="n">
        <v>92.08</v>
      </c>
      <c r="H452" s="10" t="n">
        <v>5</v>
      </c>
      <c r="I452" s="10">
        <f>IF(OR(D452="Uncategorised",E452=""),"Check","")</f>
        <v/>
      </c>
    </row>
    <row r="453">
      <c r="A453" s="10" t="inlineStr">
        <is>
          <t>Amex Apr-2025</t>
        </is>
      </c>
      <c r="B453" s="11" t="n">
        <v>45769</v>
      </c>
      <c r="C453" s="10" t="inlineStr">
        <is>
          <t>Colonna and Smalls Ltd Bath</t>
        </is>
      </c>
      <c r="D453" s="10">
        <f>IFERROR(INDEX('Review Items'!$D:$D,MATCH(C453,'Review Items'!$B:$B,0)),IFERROR(INDEX('Rule Updates'!$B:$B,MATCH(C453,'Rule Updates'!$A:$A,0)),"Uncategorised"))</f>
        <v/>
      </c>
      <c r="E453" s="10">
        <f>IFERROR(INDEX('Review Items'!$E:$E,MATCH(C453,'Review Items'!$B:$B,0)),IFERROR(INDEX('Rule Updates'!$C:$C,MATCH(C453,'Rule Updates'!$A:$A,0)),"Review"))</f>
        <v/>
      </c>
      <c r="F453" s="12" t="n">
        <v>30</v>
      </c>
      <c r="G453" s="12" t="n">
        <v>318.84</v>
      </c>
      <c r="H453" s="10" t="n">
        <v>5</v>
      </c>
      <c r="I453" s="10">
        <f>IF(OR(D453="Uncategorised",E453=""),"Check","")</f>
        <v/>
      </c>
    </row>
    <row r="454">
      <c r="A454" s="10" t="inlineStr">
        <is>
          <t>Amex Apr-2025</t>
        </is>
      </c>
      <c r="B454" s="11" t="n">
        <v>45769</v>
      </c>
      <c r="C454" s="10" t="inlineStr">
        <is>
          <t>KATES BREAD OJAI</t>
        </is>
      </c>
      <c r="D454" s="10">
        <f>IFERROR(INDEX('Review Items'!$D:$D,MATCH(C454,'Review Items'!$B:$B,0)),IFERROR(INDEX('Rule Updates'!$B:$B,MATCH(C454,'Rule Updates'!$A:$A,0)),"Uncategorised"))</f>
        <v/>
      </c>
      <c r="E454" s="10">
        <f>IFERROR(INDEX('Review Items'!$E:$E,MATCH(C454,'Review Items'!$B:$B,0)),IFERROR(INDEX('Rule Updates'!$C:$C,MATCH(C454,'Rule Updates'!$A:$A,0)),"Review"))</f>
        <v/>
      </c>
      <c r="F454" s="12" t="n">
        <v>5</v>
      </c>
      <c r="G454" s="12" t="n">
        <v>39.58</v>
      </c>
      <c r="H454" s="10" t="n">
        <v>5</v>
      </c>
      <c r="I454" s="10">
        <f>IF(OR(D454="Uncategorised",E454=""),"Check","")</f>
        <v/>
      </c>
    </row>
    <row r="455">
      <c r="A455" s="10" t="inlineStr">
        <is>
          <t>Amex Apr-2025</t>
        </is>
      </c>
      <c r="B455" s="11" t="n">
        <v>45769</v>
      </c>
      <c r="C455" s="10" t="inlineStr">
        <is>
          <t>LANDRACE Bathwick</t>
        </is>
      </c>
      <c r="D455" s="10">
        <f>IFERROR(INDEX('Review Items'!$D:$D,MATCH(C455,'Review Items'!$B:$B,0)),IFERROR(INDEX('Rule Updates'!$B:$B,MATCH(C455,'Rule Updates'!$A:$A,0)),"Uncategorised"))</f>
        <v/>
      </c>
      <c r="E455" s="10">
        <f>IFERROR(INDEX('Review Items'!$E:$E,MATCH(C455,'Review Items'!$B:$B,0)),IFERROR(INDEX('Rule Updates'!$C:$C,MATCH(C455,'Rule Updates'!$A:$A,0)),"Review"))</f>
        <v/>
      </c>
      <c r="F455" s="12" t="n">
        <v>17.65</v>
      </c>
      <c r="G455" s="12" t="n">
        <v>187.59</v>
      </c>
      <c r="H455" s="10" t="n">
        <v>5</v>
      </c>
      <c r="I455" s="10">
        <f>IF(OR(D455="Uncategorised",E455=""),"Check","")</f>
        <v/>
      </c>
    </row>
    <row r="456">
      <c r="A456" s="10" t="inlineStr">
        <is>
          <t>Amex Apr-2025</t>
        </is>
      </c>
      <c r="B456" s="11" t="n">
        <v>45770</v>
      </c>
      <c r="C456" s="10" t="inlineStr">
        <is>
          <t>10 GREEN STREET LTD BATH</t>
        </is>
      </c>
      <c r="D456" s="10">
        <f>IFERROR(INDEX('Review Items'!$D:$D,MATCH(C456,'Review Items'!$B:$B,0)),IFERROR(INDEX('Rule Updates'!$B:$B,MATCH(C456,'Rule Updates'!$A:$A,0)),"Uncategorised"))</f>
        <v/>
      </c>
      <c r="E456" s="10">
        <f>IFERROR(INDEX('Review Items'!$E:$E,MATCH(C456,'Review Items'!$B:$B,0)),IFERROR(INDEX('Rule Updates'!$C:$C,MATCH(C456,'Rule Updates'!$A:$A,0)),"Review"))</f>
        <v/>
      </c>
      <c r="F456" s="12" t="n">
        <v>58.74</v>
      </c>
      <c r="G456" s="12" t="n">
        <v>622.99</v>
      </c>
      <c r="H456" s="10" t="n">
        <v>6</v>
      </c>
      <c r="I456" s="10">
        <f>IF(OR(D456="Uncategorised",E456=""),"Check","")</f>
        <v/>
      </c>
    </row>
    <row r="457">
      <c r="A457" s="10" t="inlineStr">
        <is>
          <t>Amex Apr-2025</t>
        </is>
      </c>
      <c r="B457" s="11" t="n">
        <v>45770</v>
      </c>
      <c r="C457" s="10" t="inlineStr">
        <is>
          <t>AMATHUS (Bath) Bath</t>
        </is>
      </c>
      <c r="D457" s="10">
        <f>IFERROR(INDEX('Review Items'!$D:$D,MATCH(C457,'Review Items'!$B:$B,0)),IFERROR(INDEX('Rule Updates'!$B:$B,MATCH(C457,'Rule Updates'!$A:$A,0)),"Uncategorised"))</f>
        <v/>
      </c>
      <c r="E457" s="10">
        <f>IFERROR(INDEX('Review Items'!$E:$E,MATCH(C457,'Review Items'!$B:$B,0)),IFERROR(INDEX('Rule Updates'!$C:$C,MATCH(C457,'Rule Updates'!$A:$A,0)),"Review"))</f>
        <v/>
      </c>
      <c r="F457" s="12" t="n">
        <v>104</v>
      </c>
      <c r="G457" s="12" t="n">
        <v>1102.99</v>
      </c>
      <c r="H457" s="10" t="n">
        <v>5</v>
      </c>
      <c r="I457" s="10">
        <f>IF(OR(D457="Uncategorised",E457=""),"Check","")</f>
        <v/>
      </c>
    </row>
    <row r="458">
      <c r="A458" s="10" t="inlineStr">
        <is>
          <t>Amex Apr-2025</t>
        </is>
      </c>
      <c r="B458" s="11" t="n">
        <v>45770</v>
      </c>
      <c r="C458" s="10" t="inlineStr">
        <is>
          <t>AMZNMKTPLACE*TU5BI5445 AMAZON.CO.UK</t>
        </is>
      </c>
      <c r="D458" s="10">
        <f>IFERROR(INDEX('Review Items'!$D:$D,MATCH(C458,'Review Items'!$B:$B,0)),IFERROR(INDEX('Rule Updates'!$B:$B,MATCH(C458,'Rule Updates'!$A:$A,0)),"Uncategorised"))</f>
        <v/>
      </c>
      <c r="E458" s="10">
        <f>IFERROR(INDEX('Review Items'!$E:$E,MATCH(C458,'Review Items'!$B:$B,0)),IFERROR(INDEX('Rule Updates'!$C:$C,MATCH(C458,'Rule Updates'!$A:$A,0)),"Review"))</f>
        <v/>
      </c>
      <c r="F458" s="10" t="n"/>
      <c r="G458" s="12" t="n">
        <v>888.27</v>
      </c>
      <c r="H458" s="10" t="n">
        <v>6</v>
      </c>
      <c r="I458" s="10">
        <f>IF(OR(D458="Uncategorised",E458=""),"Check","")</f>
        <v/>
      </c>
    </row>
    <row r="459">
      <c r="A459" s="10" t="inlineStr">
        <is>
          <t>Amex Apr-2025</t>
        </is>
      </c>
      <c r="B459" s="11" t="n">
        <v>45770</v>
      </c>
      <c r="C459" s="10" t="inlineStr">
        <is>
          <t>ANTHROPOLOGIE 4505 1-4 BATH</t>
        </is>
      </c>
      <c r="D459" s="10">
        <f>IFERROR(INDEX('Review Items'!$D:$D,MATCH(C459,'Review Items'!$B:$B,0)),IFERROR(INDEX('Rule Updates'!$B:$B,MATCH(C459,'Rule Updates'!$A:$A,0)),"Uncategorised"))</f>
        <v/>
      </c>
      <c r="E459" s="10">
        <f>IFERROR(INDEX('Review Items'!$E:$E,MATCH(C459,'Review Items'!$B:$B,0)),IFERROR(INDEX('Rule Updates'!$C:$C,MATCH(C459,'Rule Updates'!$A:$A,0)),"Review"))</f>
        <v/>
      </c>
      <c r="F459" s="12" t="n">
        <v>176.4</v>
      </c>
      <c r="G459" s="12" t="n">
        <v>1862.78</v>
      </c>
      <c r="H459" s="10" t="n">
        <v>6</v>
      </c>
      <c r="I459" s="10">
        <f>IF(OR(D459="Uncategorised",E459=""),"Check","")</f>
        <v/>
      </c>
    </row>
    <row r="460">
      <c r="A460" s="10" t="inlineStr">
        <is>
          <t>Amex Apr-2025</t>
        </is>
      </c>
      <c r="B460" s="11" t="n">
        <v>45770</v>
      </c>
      <c r="C460" s="10" t="inlineStr">
        <is>
          <t>LANDRACE Bathwick</t>
        </is>
      </c>
      <c r="D460" s="10">
        <f>IFERROR(INDEX('Review Items'!$D:$D,MATCH(C460,'Review Items'!$B:$B,0)),IFERROR(INDEX('Rule Updates'!$B:$B,MATCH(C460,'Rule Updates'!$A:$A,0)),"Uncategorised"))</f>
        <v/>
      </c>
      <c r="E460" s="10">
        <f>IFERROR(INDEX('Review Items'!$E:$E,MATCH(C460,'Review Items'!$B:$B,0)),IFERROR(INDEX('Rule Updates'!$C:$C,MATCH(C460,'Rule Updates'!$A:$A,0)),"Review"))</f>
        <v/>
      </c>
      <c r="F460" s="12" t="n">
        <v>15.15</v>
      </c>
      <c r="G460" s="12" t="n">
        <v>160.71</v>
      </c>
      <c r="H460" s="10" t="n">
        <v>5</v>
      </c>
      <c r="I460" s="10">
        <f>IF(OR(D460="Uncategorised",E460=""),"Check","")</f>
        <v/>
      </c>
    </row>
    <row r="461">
      <c r="A461" s="10" t="inlineStr">
        <is>
          <t>Amex Apr-2025</t>
        </is>
      </c>
      <c r="B461" s="11" t="n">
        <v>45770</v>
      </c>
      <c r="C461" s="10" t="inlineStr">
        <is>
          <t>MOBILE NEWT SOMERSET</t>
        </is>
      </c>
      <c r="D461" s="10">
        <f>IFERROR(INDEX('Review Items'!$D:$D,MATCH(C461,'Review Items'!$B:$B,0)),IFERROR(INDEX('Rule Updates'!$B:$B,MATCH(C461,'Rule Updates'!$A:$A,0)),"Uncategorised"))</f>
        <v/>
      </c>
      <c r="E461" s="10">
        <f>IFERROR(INDEX('Review Items'!$E:$E,MATCH(C461,'Review Items'!$B:$B,0)),IFERROR(INDEX('Rule Updates'!$C:$C,MATCH(C461,'Rule Updates'!$A:$A,0)),"Review"))</f>
        <v/>
      </c>
      <c r="F461" s="12" t="n">
        <v>111.35</v>
      </c>
      <c r="G461" s="12" t="n">
        <v>1180.94</v>
      </c>
      <c r="H461" s="10" t="n">
        <v>6</v>
      </c>
      <c r="I461" s="10">
        <f>IF(OR(D461="Uncategorised",E461=""),"Check","")</f>
        <v/>
      </c>
    </row>
    <row r="462">
      <c r="A462" s="10" t="inlineStr">
        <is>
          <t>Amex Apr-2025</t>
        </is>
      </c>
      <c r="B462" s="11" t="n">
        <v>45770</v>
      </c>
      <c r="C462" s="10" t="inlineStr">
        <is>
          <t>SP IPPODOTEAGLOBAL KYOUTOSHINAKAGY</t>
        </is>
      </c>
      <c r="D462" s="10">
        <f>IFERROR(INDEX('Review Items'!$D:$D,MATCH(C462,'Review Items'!$B:$B,0)),IFERROR(INDEX('Rule Updates'!$B:$B,MATCH(C462,'Rule Updates'!$A:$A,0)),"Uncategorised"))</f>
        <v/>
      </c>
      <c r="E462" s="10">
        <f>IFERROR(INDEX('Review Items'!$E:$E,MATCH(C462,'Review Items'!$B:$B,0)),IFERROR(INDEX('Rule Updates'!$C:$C,MATCH(C462,'Rule Updates'!$A:$A,0)),"Review"))</f>
        <v/>
      </c>
      <c r="F462" s="12" t="n">
        <v>10790</v>
      </c>
      <c r="G462" s="12" t="n">
        <v>609.14</v>
      </c>
      <c r="H462" s="10" t="n">
        <v>5</v>
      </c>
      <c r="I462" s="10">
        <f>IF(OR(D462="Uncategorised",E462=""),"Check","")</f>
        <v/>
      </c>
    </row>
    <row r="463">
      <c r="A463" s="10" t="inlineStr">
        <is>
          <t>Amex Apr-2025</t>
        </is>
      </c>
      <c r="B463" s="11" t="n">
        <v>45770</v>
      </c>
      <c r="C463" s="10" t="inlineStr">
        <is>
          <t>SP SOUS CHEF LONDON</t>
        </is>
      </c>
      <c r="D463" s="10">
        <f>IFERROR(INDEX('Review Items'!$D:$D,MATCH(C463,'Review Items'!$B:$B,0)),IFERROR(INDEX('Rule Updates'!$B:$B,MATCH(C463,'Rule Updates'!$A:$A,0)),"Uncategorised"))</f>
        <v/>
      </c>
      <c r="E463" s="10">
        <f>IFERROR(INDEX('Review Items'!$E:$E,MATCH(C463,'Review Items'!$B:$B,0)),IFERROR(INDEX('Rule Updates'!$C:$C,MATCH(C463,'Rule Updates'!$A:$A,0)),"Review"))</f>
        <v/>
      </c>
      <c r="F463" s="12" t="n">
        <v>100.44</v>
      </c>
      <c r="G463" s="12" t="n">
        <v>1065.25</v>
      </c>
      <c r="H463" s="10" t="n">
        <v>6</v>
      </c>
      <c r="I463" s="10">
        <f>IF(OR(D463="Uncategorised",E463=""),"Check","")</f>
        <v/>
      </c>
    </row>
    <row r="464">
      <c r="A464" s="10" t="inlineStr">
        <is>
          <t>Amex Apr-2025</t>
        </is>
      </c>
      <c r="B464" s="11" t="n">
        <v>45770</v>
      </c>
      <c r="C464" s="10" t="inlineStr">
        <is>
          <t>SP TOAST UK LONDON</t>
        </is>
      </c>
      <c r="D464" s="10">
        <f>IFERROR(INDEX('Review Items'!$D:$D,MATCH(C464,'Review Items'!$B:$B,0)),IFERROR(INDEX('Rule Updates'!$B:$B,MATCH(C464,'Rule Updates'!$A:$A,0)),"Uncategorised"))</f>
        <v/>
      </c>
      <c r="E464" s="10">
        <f>IFERROR(INDEX('Review Items'!$E:$E,MATCH(C464,'Review Items'!$B:$B,0)),IFERROR(INDEX('Rule Updates'!$C:$C,MATCH(C464,'Rule Updates'!$A:$A,0)),"Review"))</f>
        <v/>
      </c>
      <c r="F464" s="12" t="n">
        <v>125</v>
      </c>
      <c r="G464" s="12" t="n">
        <v>1325.75</v>
      </c>
      <c r="H464" s="10" t="n">
        <v>6</v>
      </c>
      <c r="I464" s="10">
        <f>IF(OR(D464="Uncategorised",E464=""),"Check","")</f>
        <v/>
      </c>
    </row>
    <row r="465">
      <c r="A465" s="10" t="inlineStr">
        <is>
          <t>Amex Apr-2025</t>
        </is>
      </c>
      <c r="B465" s="11" t="n">
        <v>45771</v>
      </c>
      <c r="C465" s="10" t="inlineStr">
        <is>
          <t>10 GREEN STREET LTD BATH</t>
        </is>
      </c>
      <c r="D465" s="10">
        <f>IFERROR(INDEX('Review Items'!$D:$D,MATCH(C465,'Review Items'!$B:$B,0)),IFERROR(INDEX('Rule Updates'!$B:$B,MATCH(C465,'Rule Updates'!$A:$A,0)),"Uncategorised"))</f>
        <v/>
      </c>
      <c r="E465" s="10">
        <f>IFERROR(INDEX('Review Items'!$E:$E,MATCH(C465,'Review Items'!$B:$B,0)),IFERROR(INDEX('Rule Updates'!$C:$C,MATCH(C465,'Rule Updates'!$A:$A,0)),"Review"))</f>
        <v/>
      </c>
      <c r="F465" s="12" t="n">
        <v>7.35</v>
      </c>
      <c r="G465" s="12" t="n">
        <v>77.64</v>
      </c>
      <c r="H465" s="10" t="n">
        <v>6</v>
      </c>
      <c r="I465" s="10">
        <f>IF(OR(D465="Uncategorised",E465=""),"Check","")</f>
        <v/>
      </c>
    </row>
    <row r="466">
      <c r="A466" s="10" t="inlineStr">
        <is>
          <t>Amex Apr-2025</t>
        </is>
      </c>
      <c r="B466" s="11" t="n">
        <v>45771</v>
      </c>
      <c r="C466" s="10" t="inlineStr">
        <is>
          <t>AMZNMKTPLACE*VF9038ZU5 AMAZON.CO.UK</t>
        </is>
      </c>
      <c r="D466" s="10">
        <f>IFERROR(INDEX('Review Items'!$D:$D,MATCH(C466,'Review Items'!$B:$B,0)),IFERROR(INDEX('Rule Updates'!$B:$B,MATCH(C466,'Rule Updates'!$A:$A,0)),"Uncategorised"))</f>
        <v/>
      </c>
      <c r="E466" s="10">
        <f>IFERROR(INDEX('Review Items'!$E:$E,MATCH(C466,'Review Items'!$B:$B,0)),IFERROR(INDEX('Rule Updates'!$C:$C,MATCH(C466,'Rule Updates'!$A:$A,0)),"Review"))</f>
        <v/>
      </c>
      <c r="F466" s="10" t="n"/>
      <c r="G466" s="12" t="n">
        <v>761.34</v>
      </c>
      <c r="H466" s="10" t="n">
        <v>6</v>
      </c>
      <c r="I466" s="10">
        <f>IF(OR(D466="Uncategorised",E466=""),"Check","")</f>
        <v/>
      </c>
    </row>
    <row r="467">
      <c r="A467" s="10" t="inlineStr">
        <is>
          <t>Amex Apr-2025</t>
        </is>
      </c>
      <c r="B467" s="11" t="n">
        <v>45771</v>
      </c>
      <c r="C467" s="10" t="inlineStr">
        <is>
          <t>Anemone Bath</t>
        </is>
      </c>
      <c r="D467" s="10">
        <f>IFERROR(INDEX('Review Items'!$D:$D,MATCH(C467,'Review Items'!$B:$B,0)),IFERROR(INDEX('Rule Updates'!$B:$B,MATCH(C467,'Rule Updates'!$A:$A,0)),"Uncategorised"))</f>
        <v/>
      </c>
      <c r="E467" s="10">
        <f>IFERROR(INDEX('Review Items'!$E:$E,MATCH(C467,'Review Items'!$B:$B,0)),IFERROR(INDEX('Rule Updates'!$C:$C,MATCH(C467,'Rule Updates'!$A:$A,0)),"Review"))</f>
        <v/>
      </c>
      <c r="F467" s="12" t="n">
        <v>53</v>
      </c>
      <c r="G467" s="12" t="n">
        <v>559.6900000000001</v>
      </c>
      <c r="H467" s="10" t="n">
        <v>6</v>
      </c>
      <c r="I467" s="10">
        <f>IF(OR(D467="Uncategorised",E467=""),"Check","")</f>
        <v/>
      </c>
    </row>
    <row r="468">
      <c r="A468" s="10" t="inlineStr">
        <is>
          <t>Amex Apr-2025</t>
        </is>
      </c>
      <c r="B468" s="11" t="n">
        <v>45771</v>
      </c>
      <c r="C468" s="10" t="inlineStr">
        <is>
          <t>Colonna and Smalls Ltd Bath</t>
        </is>
      </c>
      <c r="D468" s="10">
        <f>IFERROR(INDEX('Review Items'!$D:$D,MATCH(C468,'Review Items'!$B:$B,0)),IFERROR(INDEX('Rule Updates'!$B:$B,MATCH(C468,'Rule Updates'!$A:$A,0)),"Uncategorised"))</f>
        <v/>
      </c>
      <c r="E468" s="10">
        <f>IFERROR(INDEX('Review Items'!$E:$E,MATCH(C468,'Review Items'!$B:$B,0)),IFERROR(INDEX('Rule Updates'!$C:$C,MATCH(C468,'Rule Updates'!$A:$A,0)),"Review"))</f>
        <v/>
      </c>
      <c r="F468" s="12" t="n">
        <v>41</v>
      </c>
      <c r="G468" s="12" t="n">
        <v>432.99</v>
      </c>
      <c r="H468" s="10" t="n">
        <v>6</v>
      </c>
      <c r="I468" s="10">
        <f>IF(OR(D468="Uncategorised",E468=""),"Check","")</f>
        <v/>
      </c>
    </row>
    <row r="469">
      <c r="A469" s="10" t="inlineStr">
        <is>
          <t>Amex Apr-2025</t>
        </is>
      </c>
      <c r="B469" s="11" t="n">
        <v>45771</v>
      </c>
      <c r="C469" s="10" t="inlineStr">
        <is>
          <t>LANDRACE Bathwick</t>
        </is>
      </c>
      <c r="D469" s="10">
        <f>IFERROR(INDEX('Review Items'!$D:$D,MATCH(C469,'Review Items'!$B:$B,0)),IFERROR(INDEX('Rule Updates'!$B:$B,MATCH(C469,'Rule Updates'!$A:$A,0)),"Uncategorised"))</f>
        <v/>
      </c>
      <c r="E469" s="10">
        <f>IFERROR(INDEX('Review Items'!$E:$E,MATCH(C469,'Review Items'!$B:$B,0)),IFERROR(INDEX('Rule Updates'!$C:$C,MATCH(C469,'Rule Updates'!$A:$A,0)),"Review"))</f>
        <v/>
      </c>
      <c r="F469" s="12" t="n">
        <v>74.7</v>
      </c>
      <c r="G469" s="12" t="n">
        <v>788.8099999999999</v>
      </c>
      <c r="H469" s="10" t="n">
        <v>6</v>
      </c>
      <c r="I469" s="10">
        <f>IF(OR(D469="Uncategorised",E469=""),"Check","")</f>
        <v/>
      </c>
    </row>
    <row r="470">
      <c r="A470" s="10" t="inlineStr">
        <is>
          <t>Amex Apr-2025</t>
        </is>
      </c>
      <c r="B470" s="11" t="n">
        <v>45771</v>
      </c>
      <c r="C470" s="10" t="inlineStr">
        <is>
          <t>PROCOOK GLOUCESTER</t>
        </is>
      </c>
      <c r="D470" s="10">
        <f>IFERROR(INDEX('Review Items'!$D:$D,MATCH(C470,'Review Items'!$B:$B,0)),IFERROR(INDEX('Rule Updates'!$B:$B,MATCH(C470,'Rule Updates'!$A:$A,0)),"Uncategorised"))</f>
        <v/>
      </c>
      <c r="E470" s="10">
        <f>IFERROR(INDEX('Review Items'!$E:$E,MATCH(C470,'Review Items'!$B:$B,0)),IFERROR(INDEX('Rule Updates'!$C:$C,MATCH(C470,'Rule Updates'!$A:$A,0)),"Review"))</f>
        <v/>
      </c>
      <c r="F470" s="12" t="n">
        <v>56</v>
      </c>
      <c r="G470" s="12" t="n">
        <v>591.35</v>
      </c>
      <c r="H470" s="10" t="n">
        <v>6</v>
      </c>
      <c r="I470" s="10">
        <f>IF(OR(D470="Uncategorised",E470=""),"Check","")</f>
        <v/>
      </c>
    </row>
    <row r="471">
      <c r="A471" s="10" t="inlineStr">
        <is>
          <t>Amex Apr-2025</t>
        </is>
      </c>
      <c r="B471" s="11" t="n">
        <v>45771</v>
      </c>
      <c r="C471" s="10" t="inlineStr">
        <is>
          <t>ROSSITERS OF BATH ROSSI BATH</t>
        </is>
      </c>
      <c r="D471" s="10">
        <f>IFERROR(INDEX('Review Items'!$D:$D,MATCH(C471,'Review Items'!$B:$B,0)),IFERROR(INDEX('Rule Updates'!$B:$B,MATCH(C471,'Rule Updates'!$A:$A,0)),"Uncategorised"))</f>
        <v/>
      </c>
      <c r="E471" s="10">
        <f>IFERROR(INDEX('Review Items'!$E:$E,MATCH(C471,'Review Items'!$B:$B,0)),IFERROR(INDEX('Rule Updates'!$C:$C,MATCH(C471,'Rule Updates'!$A:$A,0)),"Review"))</f>
        <v/>
      </c>
      <c r="F471" s="12" t="n">
        <v>50.5</v>
      </c>
      <c r="G471" s="12" t="n">
        <v>533.26</v>
      </c>
      <c r="H471" s="10" t="n">
        <v>6</v>
      </c>
      <c r="I471" s="10">
        <f>IF(OR(D471="Uncategorised",E471=""),"Check","")</f>
        <v/>
      </c>
    </row>
    <row r="472">
      <c r="A472" s="10" t="inlineStr">
        <is>
          <t>Amex Apr-2025</t>
        </is>
      </c>
      <c r="B472" s="11" t="n">
        <v>45771</v>
      </c>
      <c r="C472" s="10" t="inlineStr">
        <is>
          <t>THE FINE CHEESE CO THE BATH</t>
        </is>
      </c>
      <c r="D472" s="10">
        <f>IFERROR(INDEX('Review Items'!$D:$D,MATCH(C472,'Review Items'!$B:$B,0)),IFERROR(INDEX('Rule Updates'!$B:$B,MATCH(C472,'Rule Updates'!$A:$A,0)),"Uncategorised"))</f>
        <v/>
      </c>
      <c r="E472" s="10">
        <f>IFERROR(INDEX('Review Items'!$E:$E,MATCH(C472,'Review Items'!$B:$B,0)),IFERROR(INDEX('Rule Updates'!$C:$C,MATCH(C472,'Rule Updates'!$A:$A,0)),"Review"))</f>
        <v/>
      </c>
      <c r="F472" s="12" t="n">
        <v>6.7</v>
      </c>
      <c r="G472" s="12" t="n">
        <v>70.75</v>
      </c>
      <c r="H472" s="10" t="n">
        <v>6</v>
      </c>
      <c r="I472" s="10">
        <f>IF(OR(D472="Uncategorised",E472=""),"Check","")</f>
        <v/>
      </c>
    </row>
    <row r="473">
      <c r="A473" s="10" t="inlineStr">
        <is>
          <t>Amex May-2025</t>
        </is>
      </c>
      <c r="B473" s="11" t="n">
        <v>45773</v>
      </c>
      <c r="C473" s="10" t="inlineStr">
        <is>
          <t>LANDRACE Bathwick</t>
        </is>
      </c>
      <c r="D473" s="10">
        <f>IFERROR(INDEX('Review Items'!$D:$D,MATCH(C473,'Review Items'!$B:$B,0)),IFERROR(INDEX('Rule Updates'!$B:$B,MATCH(C473,'Rule Updates'!$A:$A,0)),"Uncategorised"))</f>
        <v/>
      </c>
      <c r="E473" s="10">
        <f>IFERROR(INDEX('Review Items'!$E:$E,MATCH(C473,'Review Items'!$B:$B,0)),IFERROR(INDEX('Rule Updates'!$C:$C,MATCH(C473,'Rule Updates'!$A:$A,0)),"Review"))</f>
        <v/>
      </c>
      <c r="F473" s="12" t="n">
        <v>10.2</v>
      </c>
      <c r="G473" s="12" t="n">
        <v>107.63</v>
      </c>
      <c r="H473" s="10" t="n">
        <v>1</v>
      </c>
      <c r="I473" s="10">
        <f>IF(OR(D473="Uncategorised",E473=""),"Check","")</f>
        <v/>
      </c>
    </row>
    <row r="474">
      <c r="A474" s="10" t="inlineStr">
        <is>
          <t>Amex May-2025</t>
        </is>
      </c>
      <c r="B474" s="11" t="n">
        <v>45773</v>
      </c>
      <c r="C474" s="10" t="inlineStr">
        <is>
          <t>PAYPAL *CHOCOLATETR 08700508244</t>
        </is>
      </c>
      <c r="D474" s="10">
        <f>IFERROR(INDEX('Review Items'!$D:$D,MATCH(C474,'Review Items'!$B:$B,0)),IFERROR(INDEX('Rule Updates'!$B:$B,MATCH(C474,'Rule Updates'!$A:$A,0)),"Uncategorised"))</f>
        <v/>
      </c>
      <c r="E474" s="10">
        <f>IFERROR(INDEX('Review Items'!$E:$E,MATCH(C474,'Review Items'!$B:$B,0)),IFERROR(INDEX('Rule Updates'!$C:$C,MATCH(C474,'Rule Updates'!$A:$A,0)),"Review"))</f>
        <v/>
      </c>
      <c r="F474" s="12" t="n">
        <v>80.2</v>
      </c>
      <c r="G474" s="12" t="n">
        <v>846.09</v>
      </c>
      <c r="H474" s="10" t="n">
        <v>1</v>
      </c>
      <c r="I474" s="10">
        <f>IF(OR(D474="Uncategorised",E474=""),"Check","")</f>
        <v/>
      </c>
    </row>
    <row r="475">
      <c r="A475" s="10" t="inlineStr">
        <is>
          <t>Amex May-2025</t>
        </is>
      </c>
      <c r="B475" s="11" t="n">
        <v>45774</v>
      </c>
      <c r="C475" s="10" t="inlineStr">
        <is>
          <t>AMATHUS (Bath) Bath</t>
        </is>
      </c>
      <c r="D475" s="10">
        <f>IFERROR(INDEX('Review Items'!$D:$D,MATCH(C475,'Review Items'!$B:$B,0)),IFERROR(INDEX('Rule Updates'!$B:$B,MATCH(C475,'Rule Updates'!$A:$A,0)),"Uncategorised"))</f>
        <v/>
      </c>
      <c r="E475" s="10">
        <f>IFERROR(INDEX('Review Items'!$E:$E,MATCH(C475,'Review Items'!$B:$B,0)),IFERROR(INDEX('Rule Updates'!$C:$C,MATCH(C475,'Rule Updates'!$A:$A,0)),"Review"))</f>
        <v/>
      </c>
      <c r="F475" s="12" t="n">
        <v>57</v>
      </c>
      <c r="G475" s="12" t="n">
        <v>601.39</v>
      </c>
      <c r="H475" s="10" t="n">
        <v>2</v>
      </c>
      <c r="I475" s="10">
        <f>IF(OR(D475="Uncategorised",E475=""),"Check","")</f>
        <v/>
      </c>
    </row>
    <row r="476">
      <c r="A476" s="10" t="inlineStr">
        <is>
          <t>Amex May-2025</t>
        </is>
      </c>
      <c r="B476" s="11" t="n">
        <v>45774</v>
      </c>
      <c r="C476" s="10" t="inlineStr">
        <is>
          <t>AMZNMKTPLACE*CR43U3GB5 AMAZON.CO.UK</t>
        </is>
      </c>
      <c r="D476" s="10">
        <f>IFERROR(INDEX('Review Items'!$D:$D,MATCH(C476,'Review Items'!$B:$B,0)),IFERROR(INDEX('Rule Updates'!$B:$B,MATCH(C476,'Rule Updates'!$A:$A,0)),"Uncategorised"))</f>
        <v/>
      </c>
      <c r="E476" s="10">
        <f>IFERROR(INDEX('Review Items'!$E:$E,MATCH(C476,'Review Items'!$B:$B,0)),IFERROR(INDEX('Rule Updates'!$C:$C,MATCH(C476,'Rule Updates'!$A:$A,0)),"Review"))</f>
        <v/>
      </c>
      <c r="F476" s="10" t="n"/>
      <c r="G476" s="12" t="n">
        <v>262.64</v>
      </c>
      <c r="H476" s="10" t="n">
        <v>2</v>
      </c>
      <c r="I476" s="10">
        <f>IF(OR(D476="Uncategorised",E476=""),"Check","")</f>
        <v/>
      </c>
    </row>
    <row r="477">
      <c r="A477" s="10" t="inlineStr">
        <is>
          <t>Amex May-2025</t>
        </is>
      </c>
      <c r="B477" s="11" t="n">
        <v>45774</v>
      </c>
      <c r="C477" s="10" t="inlineStr">
        <is>
          <t>LANDRACE Bathwick</t>
        </is>
      </c>
      <c r="D477" s="10">
        <f>IFERROR(INDEX('Review Items'!$D:$D,MATCH(C477,'Review Items'!$B:$B,0)),IFERROR(INDEX('Rule Updates'!$B:$B,MATCH(C477,'Rule Updates'!$A:$A,0)),"Uncategorised"))</f>
        <v/>
      </c>
      <c r="E477" s="10">
        <f>IFERROR(INDEX('Review Items'!$E:$E,MATCH(C477,'Review Items'!$B:$B,0)),IFERROR(INDEX('Rule Updates'!$C:$C,MATCH(C477,'Rule Updates'!$A:$A,0)),"Review"))</f>
        <v/>
      </c>
      <c r="F477" s="12" t="n">
        <v>16.45</v>
      </c>
      <c r="G477" s="12" t="n">
        <v>173.55</v>
      </c>
      <c r="H477" s="10" t="n">
        <v>1</v>
      </c>
      <c r="I477" s="10">
        <f>IF(OR(D477="Uncategorised",E477=""),"Check","")</f>
        <v/>
      </c>
    </row>
    <row r="478">
      <c r="A478" s="10" t="inlineStr">
        <is>
          <t>Amex May-2025</t>
        </is>
      </c>
      <c r="B478" s="11" t="n">
        <v>45774</v>
      </c>
      <c r="C478" s="10" t="inlineStr">
        <is>
          <t>LANDRACE Bathwick</t>
        </is>
      </c>
      <c r="D478" s="10">
        <f>IFERROR(INDEX('Review Items'!$D:$D,MATCH(C478,'Review Items'!$B:$B,0)),IFERROR(INDEX('Rule Updates'!$B:$B,MATCH(C478,'Rule Updates'!$A:$A,0)),"Uncategorised"))</f>
        <v/>
      </c>
      <c r="E478" s="10">
        <f>IFERROR(INDEX('Review Items'!$E:$E,MATCH(C478,'Review Items'!$B:$B,0)),IFERROR(INDEX('Rule Updates'!$C:$C,MATCH(C478,'Rule Updates'!$A:$A,0)),"Review"))</f>
        <v/>
      </c>
      <c r="F478" s="12" t="n">
        <v>10.44</v>
      </c>
      <c r="G478" s="12" t="n">
        <v>110.16</v>
      </c>
      <c r="H478" s="10" t="n">
        <v>1</v>
      </c>
      <c r="I478" s="10">
        <f>IF(OR(D478="Uncategorised",E478=""),"Check","")</f>
        <v/>
      </c>
    </row>
    <row r="479">
      <c r="A479" s="10" t="inlineStr">
        <is>
          <t>Amex May-2025</t>
        </is>
      </c>
      <c r="B479" s="11" t="n">
        <v>45774</v>
      </c>
      <c r="C479" s="10" t="inlineStr">
        <is>
          <t>PAYPAL *CHAPELIER 4029357733</t>
        </is>
      </c>
      <c r="D479" s="10">
        <f>IFERROR(INDEX('Review Items'!$D:$D,MATCH(C479,'Review Items'!$B:$B,0)),IFERROR(INDEX('Rule Updates'!$B:$B,MATCH(C479,'Rule Updates'!$A:$A,0)),"Uncategorised"))</f>
        <v/>
      </c>
      <c r="E479" s="10">
        <f>IFERROR(INDEX('Review Items'!$E:$E,MATCH(C479,'Review Items'!$B:$B,0)),IFERROR(INDEX('Rule Updates'!$C:$C,MATCH(C479,'Rule Updates'!$A:$A,0)),"Review"))</f>
        <v/>
      </c>
      <c r="F479" s="12" t="n">
        <v>99043</v>
      </c>
      <c r="G479" s="12" t="n">
        <v>8923.200000000001</v>
      </c>
      <c r="H479" s="10" t="n">
        <v>2</v>
      </c>
      <c r="I479" s="10">
        <f>IF(OR(D479="Uncategorised",E479=""),"Check","")</f>
        <v/>
      </c>
    </row>
    <row r="480">
      <c r="A480" s="10" t="inlineStr">
        <is>
          <t>Amex May-2025</t>
        </is>
      </c>
      <c r="B480" s="11" t="n">
        <v>45774</v>
      </c>
      <c r="C480" s="10" t="inlineStr">
        <is>
          <t>TOPPING &amp; COMPANY BOOKS Bathwick</t>
        </is>
      </c>
      <c r="D480" s="10">
        <f>IFERROR(INDEX('Review Items'!$D:$D,MATCH(C480,'Review Items'!$B:$B,0)),IFERROR(INDEX('Rule Updates'!$B:$B,MATCH(C480,'Rule Updates'!$A:$A,0)),"Uncategorised"))</f>
        <v/>
      </c>
      <c r="E480" s="10">
        <f>IFERROR(INDEX('Review Items'!$E:$E,MATCH(C480,'Review Items'!$B:$B,0)),IFERROR(INDEX('Rule Updates'!$C:$C,MATCH(C480,'Rule Updates'!$A:$A,0)),"Review"))</f>
        <v/>
      </c>
      <c r="F480" s="12" t="n">
        <v>22</v>
      </c>
      <c r="G480" s="12" t="n">
        <v>232.12</v>
      </c>
      <c r="H480" s="10" t="n">
        <v>1</v>
      </c>
      <c r="I480" s="10">
        <f>IF(OR(D480="Uncategorised",E480=""),"Check","")</f>
        <v/>
      </c>
    </row>
    <row r="481">
      <c r="A481" s="10" t="inlineStr">
        <is>
          <t>Amex May-2025</t>
        </is>
      </c>
      <c r="B481" s="11" t="n">
        <v>45774</v>
      </c>
      <c r="C481" s="10" t="inlineStr">
        <is>
          <t>TOPPING &amp; COMPANY BOOKS Bathwick</t>
        </is>
      </c>
      <c r="D481" s="10">
        <f>IFERROR(INDEX('Review Items'!$D:$D,MATCH(C481,'Review Items'!$B:$B,0)),IFERROR(INDEX('Rule Updates'!$B:$B,MATCH(C481,'Rule Updates'!$A:$A,0)),"Uncategorised"))</f>
        <v/>
      </c>
      <c r="E481" s="10">
        <f>IFERROR(INDEX('Review Items'!$E:$E,MATCH(C481,'Review Items'!$B:$B,0)),IFERROR(INDEX('Rule Updates'!$C:$C,MATCH(C481,'Rule Updates'!$A:$A,0)),"Review"))</f>
        <v/>
      </c>
      <c r="F481" s="12" t="n">
        <v>75.97</v>
      </c>
      <c r="G481" s="12" t="n">
        <v>801.53</v>
      </c>
      <c r="H481" s="10" t="n">
        <v>2</v>
      </c>
      <c r="I481" s="10">
        <f>IF(OR(D481="Uncategorised",E481=""),"Check","")</f>
        <v/>
      </c>
    </row>
    <row r="482">
      <c r="A482" s="10" t="inlineStr">
        <is>
          <t>Amex May-2025</t>
        </is>
      </c>
      <c r="B482" s="11" t="n">
        <v>45774</v>
      </c>
      <c r="C482" s="10" t="inlineStr">
        <is>
          <t>TOPPING &amp; COMPANY BOOKS Bathwick</t>
        </is>
      </c>
      <c r="D482" s="10">
        <f>IFERROR(INDEX('Review Items'!$D:$D,MATCH(C482,'Review Items'!$B:$B,0)),IFERROR(INDEX('Rule Updates'!$B:$B,MATCH(C482,'Rule Updates'!$A:$A,0)),"Uncategorised"))</f>
        <v/>
      </c>
      <c r="E482" s="10">
        <f>IFERROR(INDEX('Review Items'!$E:$E,MATCH(C482,'Review Items'!$B:$B,0)),IFERROR(INDEX('Rule Updates'!$C:$C,MATCH(C482,'Rule Updates'!$A:$A,0)),"Review"))</f>
        <v/>
      </c>
      <c r="F482" s="12" t="n">
        <v>96.95</v>
      </c>
      <c r="G482" s="12" t="n">
        <v>1022.81</v>
      </c>
      <c r="H482" s="10" t="n">
        <v>2</v>
      </c>
      <c r="I482" s="10">
        <f>IF(OR(D482="Uncategorised",E482=""),"Check","")</f>
        <v/>
      </c>
    </row>
    <row r="483">
      <c r="A483" s="10" t="inlineStr">
        <is>
          <t>Amex May-2025</t>
        </is>
      </c>
      <c r="B483" s="11" t="n">
        <v>45774</v>
      </c>
      <c r="C483" s="10" t="inlineStr">
        <is>
          <t>WAITROSE BATH BATH</t>
        </is>
      </c>
      <c r="D483" s="10">
        <f>IFERROR(INDEX('Review Items'!$D:$D,MATCH(C483,'Review Items'!$B:$B,0)),IFERROR(INDEX('Rule Updates'!$B:$B,MATCH(C483,'Rule Updates'!$A:$A,0)),"Uncategorised"))</f>
        <v/>
      </c>
      <c r="E483" s="10">
        <f>IFERROR(INDEX('Review Items'!$E:$E,MATCH(C483,'Review Items'!$B:$B,0)),IFERROR(INDEX('Rule Updates'!$C:$C,MATCH(C483,'Rule Updates'!$A:$A,0)),"Review"))</f>
        <v/>
      </c>
      <c r="F483" s="12" t="n">
        <v>39.35</v>
      </c>
      <c r="G483" s="12" t="n">
        <v>415.17</v>
      </c>
      <c r="H483" s="10" t="n">
        <v>2</v>
      </c>
      <c r="I483" s="10">
        <f>IF(OR(D483="Uncategorised",E483=""),"Check","")</f>
        <v/>
      </c>
    </row>
    <row r="484">
      <c r="A484" s="10" t="inlineStr">
        <is>
          <t>Amex May-2025</t>
        </is>
      </c>
      <c r="B484" s="11" t="n">
        <v>45775</v>
      </c>
      <c r="C484" s="10" t="inlineStr">
        <is>
          <t>UNIQLO HONG KONG LIMITE TSIM SHA TSUI</t>
        </is>
      </c>
      <c r="D484" s="10">
        <f>IFERROR(INDEX('Review Items'!$D:$D,MATCH(C484,'Review Items'!$B:$B,0)),IFERROR(INDEX('Rule Updates'!$B:$B,MATCH(C484,'Rule Updates'!$A:$A,0)),"Uncategorised"))</f>
        <v/>
      </c>
      <c r="E484" s="10">
        <f>IFERROR(INDEX('Review Items'!$E:$E,MATCH(C484,'Review Items'!$B:$B,0)),IFERROR(INDEX('Rule Updates'!$C:$C,MATCH(C484,'Rule Updates'!$A:$A,0)),"Review"))</f>
        <v/>
      </c>
      <c r="F484" s="10" t="n"/>
      <c r="G484" s="12" t="n">
        <v>496</v>
      </c>
      <c r="H484" s="10" t="n">
        <v>2</v>
      </c>
      <c r="I484" s="10">
        <f>IF(OR(D484="Uncategorised",E484=""),"Check","")</f>
        <v/>
      </c>
    </row>
    <row r="485">
      <c r="A485" s="10" t="inlineStr">
        <is>
          <t>Amex May-2025</t>
        </is>
      </c>
      <c r="B485" s="11" t="n">
        <v>45776</v>
      </c>
      <c r="C485" s="10" t="inlineStr">
        <is>
          <t>NET-A-PORTER GROUP LTD LONDON</t>
        </is>
      </c>
      <c r="D485" s="10">
        <f>IFERROR(INDEX('Review Items'!$D:$D,MATCH(C485,'Review Items'!$B:$B,0)),IFERROR(INDEX('Rule Updates'!$B:$B,MATCH(C485,'Rule Updates'!$A:$A,0)),"Uncategorised"))</f>
        <v/>
      </c>
      <c r="E485" s="10">
        <f>IFERROR(INDEX('Review Items'!$E:$E,MATCH(C485,'Review Items'!$B:$B,0)),IFERROR(INDEX('Rule Updates'!$C:$C,MATCH(C485,'Rule Updates'!$A:$A,0)),"Review"))</f>
        <v/>
      </c>
      <c r="F485" s="12" t="n">
        <v>550</v>
      </c>
      <c r="G485" s="12" t="n">
        <v>-5726.54</v>
      </c>
      <c r="H485" s="10" t="n">
        <v>2</v>
      </c>
      <c r="I485" s="10">
        <f>IF(OR(D485="Uncategorised",E485=""),"Check","")</f>
        <v/>
      </c>
    </row>
    <row r="486">
      <c r="A486" s="10" t="inlineStr">
        <is>
          <t>Amex May-2025</t>
        </is>
      </c>
      <c r="B486" s="11" t="n">
        <v>45776</v>
      </c>
      <c r="C486" s="10" t="inlineStr">
        <is>
          <t>THE NET-A-PORTER GROUP HONG KONG</t>
        </is>
      </c>
      <c r="D486" s="10">
        <f>IFERROR(INDEX('Review Items'!$D:$D,MATCH(C486,'Review Items'!$B:$B,0)),IFERROR(INDEX('Rule Updates'!$B:$B,MATCH(C486,'Rule Updates'!$A:$A,0)),"Uncategorised"))</f>
        <v/>
      </c>
      <c r="E486" s="10">
        <f>IFERROR(INDEX('Review Items'!$E:$E,MATCH(C486,'Review Items'!$B:$B,0)),IFERROR(INDEX('Rule Updates'!$C:$C,MATCH(C486,'Rule Updates'!$A:$A,0)),"Review"))</f>
        <v/>
      </c>
      <c r="F486" s="10" t="n"/>
      <c r="G486" s="12" t="n">
        <v>9681</v>
      </c>
      <c r="H486" s="10" t="n">
        <v>2</v>
      </c>
      <c r="I486" s="10">
        <f>IF(OR(D486="Uncategorised",E486=""),"Check","")</f>
        <v/>
      </c>
    </row>
    <row r="487">
      <c r="A487" s="10" t="inlineStr">
        <is>
          <t>Amex May-2025</t>
        </is>
      </c>
      <c r="B487" s="11" t="n">
        <v>45777</v>
      </c>
      <c r="C487" s="10" t="inlineStr">
        <is>
          <t>3CPAYMENT*PARK HZ OPCO BERN</t>
        </is>
      </c>
      <c r="D487" s="10">
        <f>IFERROR(INDEX('Review Items'!$D:$D,MATCH(C487,'Review Items'!$B:$B,0)),IFERROR(INDEX('Rule Updates'!$B:$B,MATCH(C487,'Rule Updates'!$A:$A,0)),"Uncategorised"))</f>
        <v/>
      </c>
      <c r="E487" s="10">
        <f>IFERROR(INDEX('Review Items'!$E:$E,MATCH(C487,'Review Items'!$B:$B,0)),IFERROR(INDEX('Rule Updates'!$C:$C,MATCH(C487,'Rule Updates'!$A:$A,0)),"Review"))</f>
        <v/>
      </c>
      <c r="F487" s="12" t="n">
        <v>1601.64</v>
      </c>
      <c r="G487" s="12" t="n">
        <v>15429.61</v>
      </c>
      <c r="H487" s="10" t="n">
        <v>6</v>
      </c>
      <c r="I487" s="10">
        <f>IF(OR(D487="Uncategorised",E487=""),"Check","")</f>
        <v/>
      </c>
    </row>
    <row r="488">
      <c r="A488" s="10" t="inlineStr">
        <is>
          <t>Amex May-2025</t>
        </is>
      </c>
      <c r="B488" s="11" t="n">
        <v>45777</v>
      </c>
      <c r="C488" s="10" t="inlineStr">
        <is>
          <t>IL COLPO PACIFIC PLACE ADMIRALTY</t>
        </is>
      </c>
      <c r="D488" s="10">
        <f>IFERROR(INDEX('Review Items'!$D:$D,MATCH(C488,'Review Items'!$B:$B,0)),IFERROR(INDEX('Rule Updates'!$B:$B,MATCH(C488,'Rule Updates'!$A:$A,0)),"Uncategorised"))</f>
        <v/>
      </c>
      <c r="E488" s="10">
        <f>IFERROR(INDEX('Review Items'!$E:$E,MATCH(C488,'Review Items'!$B:$B,0)),IFERROR(INDEX('Rule Updates'!$C:$C,MATCH(C488,'Rule Updates'!$A:$A,0)),"Review"))</f>
        <v/>
      </c>
      <c r="F488" s="10" t="n"/>
      <c r="G488" s="12" t="n">
        <v>5760</v>
      </c>
      <c r="H488" s="10" t="n">
        <v>2</v>
      </c>
      <c r="I488" s="10">
        <f>IF(OR(D488="Uncategorised",E488=""),"Check","")</f>
        <v/>
      </c>
    </row>
    <row r="489">
      <c r="A489" s="10" t="inlineStr">
        <is>
          <t>Amex May-2025</t>
        </is>
      </c>
      <c r="B489" s="11" t="n">
        <v>45777</v>
      </c>
      <c r="C489" s="10" t="inlineStr">
        <is>
          <t>NET-A-PORTER GROUP LTD LONDON</t>
        </is>
      </c>
      <c r="D489" s="10">
        <f>IFERROR(INDEX('Review Items'!$D:$D,MATCH(C489,'Review Items'!$B:$B,0)),IFERROR(INDEX('Rule Updates'!$B:$B,MATCH(C489,'Rule Updates'!$A:$A,0)),"Uncategorised"))</f>
        <v/>
      </c>
      <c r="E489" s="10">
        <f>IFERROR(INDEX('Review Items'!$E:$E,MATCH(C489,'Review Items'!$B:$B,0)),IFERROR(INDEX('Rule Updates'!$C:$C,MATCH(C489,'Rule Updates'!$A:$A,0)),"Review"))</f>
        <v/>
      </c>
      <c r="F489" s="12" t="n">
        <v>2069</v>
      </c>
      <c r="G489" s="12" t="n">
        <v>-21558.63</v>
      </c>
      <c r="H489" s="10" t="n">
        <v>2</v>
      </c>
      <c r="I489" s="10">
        <f>IF(OR(D489="Uncategorised",E489=""),"Check","")</f>
        <v/>
      </c>
    </row>
    <row r="490">
      <c r="A490" s="10" t="inlineStr">
        <is>
          <t>Amex May-2025</t>
        </is>
      </c>
      <c r="B490" s="11" t="n">
        <v>45778</v>
      </c>
      <c r="C490" s="10" t="inlineStr">
        <is>
          <t>3CPAYMENT*EUROPCAR LISB LISBOA</t>
        </is>
      </c>
      <c r="D490" s="10">
        <f>IFERROR(INDEX('Review Items'!$D:$D,MATCH(C490,'Review Items'!$B:$B,0)),IFERROR(INDEX('Rule Updates'!$B:$B,MATCH(C490,'Rule Updates'!$A:$A,0)),"Uncategorised"))</f>
        <v/>
      </c>
      <c r="E490" s="10">
        <f>IFERROR(INDEX('Review Items'!$E:$E,MATCH(C490,'Review Items'!$B:$B,0)),IFERROR(INDEX('Rule Updates'!$C:$C,MATCH(C490,'Rule Updates'!$A:$A,0)),"Review"))</f>
        <v/>
      </c>
      <c r="F490" s="12" t="n">
        <v>915</v>
      </c>
      <c r="G490" s="12" t="n">
        <v>82.12</v>
      </c>
      <c r="H490" s="10" t="n">
        <v>6</v>
      </c>
      <c r="I490" s="10">
        <f>IF(OR(D490="Uncategorised",E490=""),"Check","")</f>
        <v/>
      </c>
    </row>
    <row r="491">
      <c r="A491" s="10" t="inlineStr">
        <is>
          <t>Amex May-2025</t>
        </is>
      </c>
      <c r="B491" s="11" t="n">
        <v>45778</v>
      </c>
      <c r="C491" s="10" t="inlineStr">
        <is>
          <t>AMAZON PRIME*N264D57N0 AMZN.COM/BILL</t>
        </is>
      </c>
      <c r="D491" s="10">
        <f>IFERROR(INDEX('Review Items'!$D:$D,MATCH(C491,'Review Items'!$B:$B,0)),IFERROR(INDEX('Rule Updates'!$B:$B,MATCH(C491,'Rule Updates'!$A:$A,0)),"Uncategorised"))</f>
        <v/>
      </c>
      <c r="E491" s="10">
        <f>IFERROR(INDEX('Review Items'!$E:$E,MATCH(C491,'Review Items'!$B:$B,0)),IFERROR(INDEX('Rule Updates'!$C:$C,MATCH(C491,'Rule Updates'!$A:$A,0)),"Review"))</f>
        <v/>
      </c>
      <c r="F491" s="12" t="n">
        <v>14.99</v>
      </c>
      <c r="G491" s="12" t="n">
        <v>118.6</v>
      </c>
      <c r="H491" s="10" t="n">
        <v>2</v>
      </c>
      <c r="I491" s="10">
        <f>IF(OR(D491="Uncategorised",E491=""),"Check","")</f>
        <v/>
      </c>
    </row>
    <row r="492">
      <c r="A492" s="10" t="inlineStr">
        <is>
          <t>Amex May-2025</t>
        </is>
      </c>
      <c r="B492" s="11" t="n">
        <v>45778</v>
      </c>
      <c r="C492" s="10" t="inlineStr">
        <is>
          <t>CITY'SUPER CENTRAL</t>
        </is>
      </c>
      <c r="D492" s="10">
        <f>IFERROR(INDEX('Review Items'!$D:$D,MATCH(C492,'Review Items'!$B:$B,0)),IFERROR(INDEX('Rule Updates'!$B:$B,MATCH(C492,'Rule Updates'!$A:$A,0)),"Uncategorised"))</f>
        <v/>
      </c>
      <c r="E492" s="10">
        <f>IFERROR(INDEX('Review Items'!$E:$E,MATCH(C492,'Review Items'!$B:$B,0)),IFERROR(INDEX('Rule Updates'!$C:$C,MATCH(C492,'Rule Updates'!$A:$A,0)),"Review"))</f>
        <v/>
      </c>
      <c r="F492" s="10" t="n"/>
      <c r="G492" s="12" t="n">
        <v>1537.7</v>
      </c>
      <c r="H492" s="10" t="n">
        <v>3</v>
      </c>
      <c r="I492" s="10">
        <f>IF(OR(D492="Uncategorised",E492=""),"Check","")</f>
        <v/>
      </c>
    </row>
    <row r="493">
      <c r="A493" s="10" t="inlineStr">
        <is>
          <t>Amex May-2025</t>
        </is>
      </c>
      <c r="B493" s="11" t="n">
        <v>45778</v>
      </c>
      <c r="C493" s="10" t="inlineStr">
        <is>
          <t>TEMPURA JIRO CENTRAL</t>
        </is>
      </c>
      <c r="D493" s="10">
        <f>IFERROR(INDEX('Review Items'!$D:$D,MATCH(C493,'Review Items'!$B:$B,0)),IFERROR(INDEX('Rule Updates'!$B:$B,MATCH(C493,'Rule Updates'!$A:$A,0)),"Uncategorised"))</f>
        <v/>
      </c>
      <c r="E493" s="10">
        <f>IFERROR(INDEX('Review Items'!$E:$E,MATCH(C493,'Review Items'!$B:$B,0)),IFERROR(INDEX('Rule Updates'!$C:$C,MATCH(C493,'Rule Updates'!$A:$A,0)),"Review"))</f>
        <v/>
      </c>
      <c r="F493" s="10" t="n"/>
      <c r="G493" s="12" t="n">
        <v>2970</v>
      </c>
      <c r="H493" s="10" t="n">
        <v>3</v>
      </c>
      <c r="I493" s="10">
        <f>IF(OR(D493="Uncategorised",E493=""),"Check","")</f>
        <v/>
      </c>
    </row>
    <row r="494">
      <c r="A494" s="10" t="inlineStr">
        <is>
          <t>Amex May-2025</t>
        </is>
      </c>
      <c r="B494" s="11" t="n">
        <v>45780</v>
      </c>
      <c r="C494" s="10" t="inlineStr">
        <is>
          <t>AMAZON PRIME*MK9TT81S5 AMZN.CO.UK/PM</t>
        </is>
      </c>
      <c r="D494" s="10">
        <f>IFERROR(INDEX('Review Items'!$D:$D,MATCH(C494,'Review Items'!$B:$B,0)),IFERROR(INDEX('Rule Updates'!$B:$B,MATCH(C494,'Rule Updates'!$A:$A,0)),"Uncategorised"))</f>
        <v/>
      </c>
      <c r="E494" s="10">
        <f>IFERROR(INDEX('Review Items'!$E:$E,MATCH(C494,'Review Items'!$B:$B,0)),IFERROR(INDEX('Rule Updates'!$C:$C,MATCH(C494,'Rule Updates'!$A:$A,0)),"Review"))</f>
        <v/>
      </c>
      <c r="F494" s="12" t="n">
        <v>8.99</v>
      </c>
      <c r="G494" s="12" t="n">
        <v>94.8</v>
      </c>
      <c r="H494" s="10" t="n">
        <v>3</v>
      </c>
      <c r="I494" s="10">
        <f>IF(OR(D494="Uncategorised",E494=""),"Check","")</f>
        <v/>
      </c>
    </row>
    <row r="495">
      <c r="A495" s="10" t="inlineStr">
        <is>
          <t>Amex May-2025</t>
        </is>
      </c>
      <c r="B495" s="11" t="n">
        <v>45780</v>
      </c>
      <c r="C495" s="10" t="inlineStr">
        <is>
          <t>RESERVEPS.COM LOS ANGELES</t>
        </is>
      </c>
      <c r="D495" s="10">
        <f>IFERROR(INDEX('Review Items'!$D:$D,MATCH(C495,'Review Items'!$B:$B,0)),IFERROR(INDEX('Rule Updates'!$B:$B,MATCH(C495,'Rule Updates'!$A:$A,0)),"Uncategorised"))</f>
        <v/>
      </c>
      <c r="E495" s="10">
        <f>IFERROR(INDEX('Review Items'!$E:$E,MATCH(C495,'Review Items'!$B:$B,0)),IFERROR(INDEX('Rule Updates'!$C:$C,MATCH(C495,'Rule Updates'!$A:$A,0)),"Review"))</f>
        <v/>
      </c>
      <c r="F495" s="12" t="n">
        <v>850</v>
      </c>
      <c r="G495" s="12" t="n">
        <v>6724.45</v>
      </c>
      <c r="H495" s="10" t="n">
        <v>3</v>
      </c>
      <c r="I495" s="10">
        <f>IF(OR(D495="Uncategorised",E495=""),"Check","")</f>
        <v/>
      </c>
    </row>
    <row r="496">
      <c r="A496" s="10" t="inlineStr">
        <is>
          <t>Amex May-2025</t>
        </is>
      </c>
      <c r="B496" s="11" t="n">
        <v>45781</v>
      </c>
      <c r="C496" s="10" t="inlineStr">
        <is>
          <t>Apple Store 9815038161 HongKong</t>
        </is>
      </c>
      <c r="D496" s="10">
        <f>IFERROR(INDEX('Review Items'!$D:$D,MATCH(C496,'Review Items'!$B:$B,0)),IFERROR(INDEX('Rule Updates'!$B:$B,MATCH(C496,'Rule Updates'!$A:$A,0)),"Uncategorised"))</f>
        <v/>
      </c>
      <c r="E496" s="10">
        <f>IFERROR(INDEX('Review Items'!$E:$E,MATCH(C496,'Review Items'!$B:$B,0)),IFERROR(INDEX('Rule Updates'!$C:$C,MATCH(C496,'Rule Updates'!$A:$A,0)),"Review"))</f>
        <v/>
      </c>
      <c r="F496" s="10" t="n"/>
      <c r="G496" s="12" t="n">
        <v>149</v>
      </c>
      <c r="H496" s="10" t="n">
        <v>3</v>
      </c>
      <c r="I496" s="10">
        <f>IF(OR(D496="Uncategorised",E496=""),"Check","")</f>
        <v/>
      </c>
    </row>
    <row r="497">
      <c r="A497" s="10" t="inlineStr">
        <is>
          <t>Amex May-2025</t>
        </is>
      </c>
      <c r="B497" s="11" t="n">
        <v>45781</v>
      </c>
      <c r="C497" s="10" t="inlineStr">
        <is>
          <t>CITY'SUPER CENTRAL</t>
        </is>
      </c>
      <c r="D497" s="10">
        <f>IFERROR(INDEX('Review Items'!$D:$D,MATCH(C497,'Review Items'!$B:$B,0)),IFERROR(INDEX('Rule Updates'!$B:$B,MATCH(C497,'Rule Updates'!$A:$A,0)),"Uncategorised"))</f>
        <v/>
      </c>
      <c r="E497" s="10">
        <f>IFERROR(INDEX('Review Items'!$E:$E,MATCH(C497,'Review Items'!$B:$B,0)),IFERROR(INDEX('Rule Updates'!$C:$C,MATCH(C497,'Rule Updates'!$A:$A,0)),"Review"))</f>
        <v/>
      </c>
      <c r="F497" s="10" t="n"/>
      <c r="G497" s="12" t="n">
        <v>904.1</v>
      </c>
      <c r="H497" s="10" t="n">
        <v>3</v>
      </c>
      <c r="I497" s="10">
        <f>IF(OR(D497="Uncategorised",E497=""),"Check","")</f>
        <v/>
      </c>
    </row>
    <row r="498">
      <c r="A498" s="10" t="inlineStr">
        <is>
          <t>Amex May-2025</t>
        </is>
      </c>
      <c r="B498" s="11" t="n">
        <v>45781</v>
      </c>
      <c r="C498" s="10" t="inlineStr">
        <is>
          <t>PAYPAL *LARQ 5106769438</t>
        </is>
      </c>
      <c r="D498" s="10">
        <f>IFERROR(INDEX('Review Items'!$D:$D,MATCH(C498,'Review Items'!$B:$B,0)),IFERROR(INDEX('Rule Updates'!$B:$B,MATCH(C498,'Rule Updates'!$A:$A,0)),"Uncategorised"))</f>
        <v/>
      </c>
      <c r="E498" s="10">
        <f>IFERROR(INDEX('Review Items'!$E:$E,MATCH(C498,'Review Items'!$B:$B,0)),IFERROR(INDEX('Rule Updates'!$C:$C,MATCH(C498,'Rule Updates'!$A:$A,0)),"Review"))</f>
        <v/>
      </c>
      <c r="F498" s="12" t="n">
        <v>28.54</v>
      </c>
      <c r="G498" s="12" t="n">
        <v>225.62</v>
      </c>
      <c r="H498" s="10" t="n">
        <v>3</v>
      </c>
      <c r="I498" s="10">
        <f>IF(OR(D498="Uncategorised",E498=""),"Check","")</f>
        <v/>
      </c>
    </row>
    <row r="499">
      <c r="A499" s="10" t="inlineStr">
        <is>
          <t>Amex May-2025</t>
        </is>
      </c>
      <c r="B499" s="11" t="n">
        <v>45781</v>
      </c>
      <c r="C499" s="10" t="inlineStr">
        <is>
          <t>SP MOMOFUKU PEACHY KNEW YORK</t>
        </is>
      </c>
      <c r="D499" s="10">
        <f>IFERROR(INDEX('Review Items'!$D:$D,MATCH(C499,'Review Items'!$B:$B,0)),IFERROR(INDEX('Rule Updates'!$B:$B,MATCH(C499,'Rule Updates'!$A:$A,0)),"Uncategorised"))</f>
        <v/>
      </c>
      <c r="E499" s="10">
        <f>IFERROR(INDEX('Review Items'!$E:$E,MATCH(C499,'Review Items'!$B:$B,0)),IFERROR(INDEX('Rule Updates'!$C:$C,MATCH(C499,'Rule Updates'!$A:$A,0)),"Review"))</f>
        <v/>
      </c>
      <c r="F499" s="12" t="n">
        <v>134</v>
      </c>
      <c r="G499" s="12" t="n">
        <v>1060.08</v>
      </c>
      <c r="H499" s="10" t="n">
        <v>3</v>
      </c>
      <c r="I499" s="10">
        <f>IF(OR(D499="Uncategorised",E499=""),"Check","")</f>
        <v/>
      </c>
    </row>
    <row r="500">
      <c r="A500" s="10" t="inlineStr">
        <is>
          <t>Amex May-2025</t>
        </is>
      </c>
      <c r="B500" s="11" t="n">
        <v>45782</v>
      </c>
      <c r="C500" s="10" t="inlineStr">
        <is>
          <t>SIXT PORTUGAL RAC_307_M PAREDES</t>
        </is>
      </c>
      <c r="D500" s="10">
        <f>IFERROR(INDEX('Review Items'!$D:$D,MATCH(C500,'Review Items'!$B:$B,0)),IFERROR(INDEX('Rule Updates'!$B:$B,MATCH(C500,'Rule Updates'!$A:$A,0)),"Uncategorised"))</f>
        <v/>
      </c>
      <c r="E500" s="10">
        <f>IFERROR(INDEX('Review Items'!$E:$E,MATCH(C500,'Review Items'!$B:$B,0)),IFERROR(INDEX('Rule Updates'!$C:$C,MATCH(C500,'Rule Updates'!$A:$A,0)),"Review"))</f>
        <v/>
      </c>
      <c r="F500" s="12" t="n">
        <v>668</v>
      </c>
      <c r="G500" s="12" t="n">
        <v>-58.92</v>
      </c>
      <c r="H500" s="10" t="n">
        <v>6</v>
      </c>
      <c r="I500" s="10">
        <f>IF(OR(D500="Uncategorised",E500=""),"Check","")</f>
        <v/>
      </c>
    </row>
    <row r="501">
      <c r="A501" s="10" t="inlineStr">
        <is>
          <t>Amex May-2025</t>
        </is>
      </c>
      <c r="B501" s="11" t="n">
        <v>45783</v>
      </c>
      <c r="C501" s="10" t="inlineStr">
        <is>
          <t>PAYMENT RECEIVED THROUGH AUTOPAY</t>
        </is>
      </c>
      <c r="D501" s="10">
        <f>IFERROR(INDEX('Review Items'!$D:$D,MATCH(C501,'Review Items'!$B:$B,0)),IFERROR(INDEX('Rule Updates'!$B:$B,MATCH(C501,'Rule Updates'!$A:$A,0)),"Uncategorised"))</f>
        <v/>
      </c>
      <c r="E501" s="10">
        <f>IFERROR(INDEX('Review Items'!$E:$E,MATCH(C501,'Review Items'!$B:$B,0)),IFERROR(INDEX('Rule Updates'!$C:$C,MATCH(C501,'Rule Updates'!$A:$A,0)),"Review"))</f>
        <v/>
      </c>
      <c r="F501" s="10" t="n"/>
      <c r="G501" s="12" t="n">
        <v>-293009.52</v>
      </c>
      <c r="H501" s="10" t="n">
        <v>1</v>
      </c>
      <c r="I501" s="10">
        <f>IF(OR(D501="Uncategorised",E501=""),"Check","")</f>
        <v/>
      </c>
    </row>
    <row r="502">
      <c r="A502" s="10" t="inlineStr">
        <is>
          <t>Amex May-2025</t>
        </is>
      </c>
      <c r="B502" s="11" t="n">
        <v>45785</v>
      </c>
      <c r="C502" s="10" t="inlineStr">
        <is>
          <t>BBMSL*ASOCIETY GROUP LHK</t>
        </is>
      </c>
      <c r="D502" s="10">
        <f>IFERROR(INDEX('Review Items'!$D:$D,MATCH(C502,'Review Items'!$B:$B,0)),IFERROR(INDEX('Rule Updates'!$B:$B,MATCH(C502,'Rule Updates'!$A:$A,0)),"Uncategorised"))</f>
        <v/>
      </c>
      <c r="E502" s="10">
        <f>IFERROR(INDEX('Review Items'!$E:$E,MATCH(C502,'Review Items'!$B:$B,0)),IFERROR(INDEX('Rule Updates'!$C:$C,MATCH(C502,'Rule Updates'!$A:$A,0)),"Review"))</f>
        <v/>
      </c>
      <c r="F502" s="10" t="n"/>
      <c r="G502" s="12" t="n">
        <v>1280</v>
      </c>
      <c r="H502" s="10" t="n">
        <v>3</v>
      </c>
      <c r="I502" s="10">
        <f>IF(OR(D502="Uncategorised",E502=""),"Check","")</f>
        <v/>
      </c>
    </row>
    <row r="503">
      <c r="A503" s="10" t="inlineStr">
        <is>
          <t>Amex May-2025</t>
        </is>
      </c>
      <c r="B503" s="11" t="n">
        <v>45785</v>
      </c>
      <c r="C503" s="10" t="inlineStr">
        <is>
          <t>PUYI OPTICAL LIMITED CENTRAL</t>
        </is>
      </c>
      <c r="D503" s="10">
        <f>IFERROR(INDEX('Review Items'!$D:$D,MATCH(C503,'Review Items'!$B:$B,0)),IFERROR(INDEX('Rule Updates'!$B:$B,MATCH(C503,'Rule Updates'!$A:$A,0)),"Uncategorised"))</f>
        <v/>
      </c>
      <c r="E503" s="10">
        <f>IFERROR(INDEX('Review Items'!$E:$E,MATCH(C503,'Review Items'!$B:$B,0)),IFERROR(INDEX('Rule Updates'!$C:$C,MATCH(C503,'Rule Updates'!$A:$A,0)),"Review"))</f>
        <v/>
      </c>
      <c r="F503" s="10" t="n"/>
      <c r="G503" s="12" t="n">
        <v>11305</v>
      </c>
      <c r="H503" s="10" t="n">
        <v>3</v>
      </c>
      <c r="I503" s="10">
        <f>IF(OR(D503="Uncategorised",E503=""),"Check","")</f>
        <v/>
      </c>
    </row>
    <row r="504">
      <c r="A504" s="10" t="inlineStr">
        <is>
          <t>Amex May-2025</t>
        </is>
      </c>
      <c r="B504" s="11" t="n">
        <v>45787</v>
      </c>
      <c r="C504" s="10" t="inlineStr">
        <is>
          <t>AMAZON PRIME*5Q56T0PF5 AMZN.CO.UK/PM</t>
        </is>
      </c>
      <c r="D504" s="10">
        <f>IFERROR(INDEX('Review Items'!$D:$D,MATCH(C504,'Review Items'!$B:$B,0)),IFERROR(INDEX('Rule Updates'!$B:$B,MATCH(C504,'Rule Updates'!$A:$A,0)),"Uncategorised"))</f>
        <v/>
      </c>
      <c r="E504" s="10">
        <f>IFERROR(INDEX('Review Items'!$E:$E,MATCH(C504,'Review Items'!$B:$B,0)),IFERROR(INDEX('Rule Updates'!$C:$C,MATCH(C504,'Rule Updates'!$A:$A,0)),"Review"))</f>
        <v/>
      </c>
      <c r="F504" s="12" t="n">
        <v>8.99</v>
      </c>
      <c r="G504" s="12" t="n">
        <v>95.04000000000001</v>
      </c>
      <c r="H504" s="10" t="n">
        <v>3</v>
      </c>
      <c r="I504" s="10">
        <f>IF(OR(D504="Uncategorised",E504=""),"Check","")</f>
        <v/>
      </c>
    </row>
    <row r="505">
      <c r="A505" s="10" t="inlineStr">
        <is>
          <t>Amex May-2025</t>
        </is>
      </c>
      <c r="B505" s="11" t="n">
        <v>45789</v>
      </c>
      <c r="C505" s="10" t="inlineStr">
        <is>
          <t>CINEMA.COM.HK LTD ADMIRALTY</t>
        </is>
      </c>
      <c r="D505" s="10">
        <f>IFERROR(INDEX('Review Items'!$D:$D,MATCH(C505,'Review Items'!$B:$B,0)),IFERROR(INDEX('Rule Updates'!$B:$B,MATCH(C505,'Rule Updates'!$A:$A,0)),"Uncategorised"))</f>
        <v/>
      </c>
      <c r="E505" s="10">
        <f>IFERROR(INDEX('Review Items'!$E:$E,MATCH(C505,'Review Items'!$B:$B,0)),IFERROR(INDEX('Rule Updates'!$C:$C,MATCH(C505,'Rule Updates'!$A:$A,0)),"Review"))</f>
        <v/>
      </c>
      <c r="F505" s="10" t="n"/>
      <c r="G505" s="12" t="n">
        <v>338</v>
      </c>
      <c r="H505" s="10" t="n">
        <v>6</v>
      </c>
      <c r="I505" s="10">
        <f>IF(OR(D505="Uncategorised",E505=""),"Check","")</f>
        <v/>
      </c>
    </row>
    <row r="506">
      <c r="A506" s="10" t="inlineStr">
        <is>
          <t>Amex May-2025</t>
        </is>
      </c>
      <c r="B506" s="11" t="n">
        <v>45789</v>
      </c>
      <c r="C506" s="10" t="inlineStr">
        <is>
          <t>MS* SHISHIIWAHOUSEKAR MINATOKU</t>
        </is>
      </c>
      <c r="D506" s="10">
        <f>IFERROR(INDEX('Review Items'!$D:$D,MATCH(C506,'Review Items'!$B:$B,0)),IFERROR(INDEX('Rule Updates'!$B:$B,MATCH(C506,'Rule Updates'!$A:$A,0)),"Uncategorised"))</f>
        <v/>
      </c>
      <c r="E506" s="10">
        <f>IFERROR(INDEX('Review Items'!$E:$E,MATCH(C506,'Review Items'!$B:$B,0)),IFERROR(INDEX('Rule Updates'!$C:$C,MATCH(C506,'Rule Updates'!$A:$A,0)),"Review"))</f>
        <v/>
      </c>
      <c r="F506" s="12" t="n">
        <v>727375</v>
      </c>
      <c r="G506" s="12" t="n">
        <v>39854.26</v>
      </c>
      <c r="H506" s="10" t="n">
        <v>3</v>
      </c>
      <c r="I506" s="10">
        <f>IF(OR(D506="Uncategorised",E506=""),"Check","")</f>
        <v/>
      </c>
    </row>
    <row r="507">
      <c r="A507" s="10" t="inlineStr">
        <is>
          <t>Amex May-2025</t>
        </is>
      </c>
      <c r="B507" s="11" t="n">
        <v>45789</v>
      </c>
      <c r="C507" s="10" t="inlineStr">
        <is>
          <t>PAYPAL *CHAPELIER 4029357733</t>
        </is>
      </c>
      <c r="D507" s="10">
        <f>IFERROR(INDEX('Review Items'!$D:$D,MATCH(C507,'Review Items'!$B:$B,0)),IFERROR(INDEX('Rule Updates'!$B:$B,MATCH(C507,'Rule Updates'!$A:$A,0)),"Uncategorised"))</f>
        <v/>
      </c>
      <c r="E507" s="10">
        <f>IFERROR(INDEX('Review Items'!$E:$E,MATCH(C507,'Review Items'!$B:$B,0)),IFERROR(INDEX('Rule Updates'!$C:$C,MATCH(C507,'Rule Updates'!$A:$A,0)),"Review"))</f>
        <v/>
      </c>
      <c r="F507" s="12" t="n">
        <v>559</v>
      </c>
      <c r="G507" s="12" t="n">
        <v>-49.08</v>
      </c>
      <c r="H507" s="10" t="n">
        <v>3</v>
      </c>
      <c r="I507" s="10">
        <f>IF(OR(D507="Uncategorised",E507=""),"Check","")</f>
        <v/>
      </c>
    </row>
    <row r="508">
      <c r="A508" s="10" t="inlineStr">
        <is>
          <t>Amex May-2025</t>
        </is>
      </c>
      <c r="B508" s="11" t="n">
        <v>45790</v>
      </c>
      <c r="C508" s="10" t="inlineStr">
        <is>
          <t>SP EIGHTH DAY SKINCA SANTA ANA</t>
        </is>
      </c>
      <c r="D508" s="10">
        <f>IFERROR(INDEX('Review Items'!$D:$D,MATCH(C508,'Review Items'!$B:$B,0)),IFERROR(INDEX('Rule Updates'!$B:$B,MATCH(C508,'Rule Updates'!$A:$A,0)),"Uncategorised"))</f>
        <v/>
      </c>
      <c r="E508" s="10">
        <f>IFERROR(INDEX('Review Items'!$E:$E,MATCH(C508,'Review Items'!$B:$B,0)),IFERROR(INDEX('Rule Updates'!$C:$C,MATCH(C508,'Rule Updates'!$A:$A,0)),"Review"))</f>
        <v/>
      </c>
      <c r="F508" s="12" t="n">
        <v>323.76</v>
      </c>
      <c r="G508" s="12" t="n">
        <v>2575.07</v>
      </c>
      <c r="H508" s="10" t="n">
        <v>3</v>
      </c>
      <c r="I508" s="10">
        <f>IF(OR(D508="Uncategorised",E508=""),"Check","")</f>
        <v/>
      </c>
    </row>
    <row r="509">
      <c r="A509" s="10" t="inlineStr">
        <is>
          <t>Amex May-2025</t>
        </is>
      </c>
      <c r="B509" s="11" t="n">
        <v>45790</v>
      </c>
      <c r="C509" s="10" t="inlineStr">
        <is>
          <t>SP EIGHTH DAY SKINCA SANTA ANA</t>
        </is>
      </c>
      <c r="D509" s="10">
        <f>IFERROR(INDEX('Review Items'!$D:$D,MATCH(C509,'Review Items'!$B:$B,0)),IFERROR(INDEX('Rule Updates'!$B:$B,MATCH(C509,'Rule Updates'!$A:$A,0)),"Uncategorised"))</f>
        <v/>
      </c>
      <c r="E509" s="10">
        <f>IFERROR(INDEX('Review Items'!$E:$E,MATCH(C509,'Review Items'!$B:$B,0)),IFERROR(INDEX('Rule Updates'!$C:$C,MATCH(C509,'Rule Updates'!$A:$A,0)),"Review"))</f>
        <v/>
      </c>
      <c r="F509" s="12" t="n">
        <v>702.4</v>
      </c>
      <c r="G509" s="12" t="n">
        <v>5585.42</v>
      </c>
      <c r="H509" s="10" t="n">
        <v>3</v>
      </c>
      <c r="I509" s="10">
        <f>IF(OR(D509="Uncategorised",E509=""),"Check","")</f>
        <v/>
      </c>
    </row>
    <row r="510">
      <c r="A510" s="10" t="inlineStr">
        <is>
          <t>Amex May-2025</t>
        </is>
      </c>
      <c r="B510" s="11" t="n">
        <v>45790</v>
      </c>
      <c r="C510" s="10" t="inlineStr">
        <is>
          <t>SP EIGHTH DAY SKINCA SANTA ANA</t>
        </is>
      </c>
      <c r="D510" s="10">
        <f>IFERROR(INDEX('Review Items'!$D:$D,MATCH(C510,'Review Items'!$B:$B,0)),IFERROR(INDEX('Rule Updates'!$B:$B,MATCH(C510,'Rule Updates'!$A:$A,0)),"Uncategorised"))</f>
        <v/>
      </c>
      <c r="E510" s="10">
        <f>IFERROR(INDEX('Review Items'!$E:$E,MATCH(C510,'Review Items'!$B:$B,0)),IFERROR(INDEX('Rule Updates'!$C:$C,MATCH(C510,'Rule Updates'!$A:$A,0)),"Review"))</f>
        <v/>
      </c>
      <c r="F510" s="12" t="n">
        <v>307.3</v>
      </c>
      <c r="G510" s="12" t="n">
        <v>2443.62</v>
      </c>
      <c r="H510" s="10" t="n">
        <v>3</v>
      </c>
      <c r="I510" s="10">
        <f>IF(OR(D510="Uncategorised",E510=""),"Check","")</f>
        <v/>
      </c>
    </row>
    <row r="511">
      <c r="A511" s="10" t="inlineStr">
        <is>
          <t>Amex May-2025</t>
        </is>
      </c>
      <c r="B511" s="11" t="n">
        <v>45790</v>
      </c>
      <c r="C511" s="10" t="inlineStr">
        <is>
          <t>SP EIGHTH DAY SKINCA SANTA ANA</t>
        </is>
      </c>
      <c r="D511" s="10">
        <f>IFERROR(INDEX('Review Items'!$D:$D,MATCH(C511,'Review Items'!$B:$B,0)),IFERROR(INDEX('Rule Updates'!$B:$B,MATCH(C511,'Rule Updates'!$A:$A,0)),"Uncategorised"))</f>
        <v/>
      </c>
      <c r="E511" s="10">
        <f>IFERROR(INDEX('Review Items'!$E:$E,MATCH(C511,'Review Items'!$B:$B,0)),IFERROR(INDEX('Rule Updates'!$C:$C,MATCH(C511,'Rule Updates'!$A:$A,0)),"Review"))</f>
        <v/>
      </c>
      <c r="F511" s="12" t="n">
        <v>153.65</v>
      </c>
      <c r="G511" s="12" t="n">
        <v>1221.81</v>
      </c>
      <c r="H511" s="10" t="n">
        <v>3</v>
      </c>
      <c r="I511" s="10">
        <f>IF(OR(D511="Uncategorised",E511=""),"Check","")</f>
        <v/>
      </c>
    </row>
    <row r="512">
      <c r="A512" s="10" t="inlineStr">
        <is>
          <t>Amex May-2025</t>
        </is>
      </c>
      <c r="B512" s="11" t="n">
        <v>45791</v>
      </c>
      <c r="C512" s="10" t="inlineStr">
        <is>
          <t>LIMITLESS SNOWSPORTS ABUTAGUN</t>
        </is>
      </c>
      <c r="D512" s="10">
        <f>IFERROR(INDEX('Review Items'!$D:$D,MATCH(C512,'Review Items'!$B:$B,0)),IFERROR(INDEX('Rule Updates'!$B:$B,MATCH(C512,'Rule Updates'!$A:$A,0)),"Uncategorised"))</f>
        <v/>
      </c>
      <c r="E512" s="10">
        <f>IFERROR(INDEX('Review Items'!$E:$E,MATCH(C512,'Review Items'!$B:$B,0)),IFERROR(INDEX('Rule Updates'!$C:$C,MATCH(C512,'Rule Updates'!$A:$A,0)),"Review"))</f>
        <v/>
      </c>
      <c r="F512" s="12" t="n">
        <v>473000</v>
      </c>
      <c r="G512" s="12" t="n">
        <v>25476.97</v>
      </c>
      <c r="H512" s="10" t="n">
        <v>3</v>
      </c>
      <c r="I512" s="10">
        <f>IF(OR(D512="Uncategorised",E512=""),"Check","")</f>
        <v/>
      </c>
    </row>
    <row r="513">
      <c r="A513" s="10" t="inlineStr">
        <is>
          <t>Amex May-2025</t>
        </is>
      </c>
      <c r="B513" s="11" t="n">
        <v>45791</v>
      </c>
      <c r="C513" s="10" t="inlineStr">
        <is>
          <t>MS* SHISHIIWAHOUSEKAR MINATOKU</t>
        </is>
      </c>
      <c r="D513" s="10">
        <f>IFERROR(INDEX('Review Items'!$D:$D,MATCH(C513,'Review Items'!$B:$B,0)),IFERROR(INDEX('Rule Updates'!$B:$B,MATCH(C513,'Rule Updates'!$A:$A,0)),"Uncategorised"))</f>
        <v/>
      </c>
      <c r="E513" s="10">
        <f>IFERROR(INDEX('Review Items'!$E:$E,MATCH(C513,'Review Items'!$B:$B,0)),IFERROR(INDEX('Rule Updates'!$C:$C,MATCH(C513,'Rule Updates'!$A:$A,0)),"Review"))</f>
        <v/>
      </c>
      <c r="F513" s="12" t="n">
        <v>727375</v>
      </c>
      <c r="G513" s="12" t="n">
        <v>39178.17</v>
      </c>
      <c r="H513" s="10" t="n">
        <v>4</v>
      </c>
      <c r="I513" s="10">
        <f>IF(OR(D513="Uncategorised",E513=""),"Check","")</f>
        <v/>
      </c>
    </row>
    <row r="514">
      <c r="A514" s="10" t="inlineStr">
        <is>
          <t>Amex May-2025</t>
        </is>
      </c>
      <c r="B514" s="11" t="n">
        <v>45793</v>
      </c>
      <c r="C514" s="10" t="inlineStr">
        <is>
          <t>CITY'SUPER CENTRAL</t>
        </is>
      </c>
      <c r="D514" s="10">
        <f>IFERROR(INDEX('Review Items'!$D:$D,MATCH(C514,'Review Items'!$B:$B,0)),IFERROR(INDEX('Rule Updates'!$B:$B,MATCH(C514,'Rule Updates'!$A:$A,0)),"Uncategorised"))</f>
        <v/>
      </c>
      <c r="E514" s="10">
        <f>IFERROR(INDEX('Review Items'!$E:$E,MATCH(C514,'Review Items'!$B:$B,0)),IFERROR(INDEX('Rule Updates'!$C:$C,MATCH(C514,'Rule Updates'!$A:$A,0)),"Review"))</f>
        <v/>
      </c>
      <c r="F514" s="10" t="n"/>
      <c r="G514" s="12" t="n">
        <v>1910.8</v>
      </c>
      <c r="H514" s="10" t="n">
        <v>4</v>
      </c>
      <c r="I514" s="10">
        <f>IF(OR(D514="Uncategorised",E514=""),"Check","")</f>
        <v/>
      </c>
    </row>
    <row r="515">
      <c r="A515" s="10" t="inlineStr">
        <is>
          <t>Amex May-2025</t>
        </is>
      </c>
      <c r="B515" s="11" t="n">
        <v>45793</v>
      </c>
      <c r="C515" s="10" t="inlineStr">
        <is>
          <t>NESPRESSO HONG KONG YUEN LONG</t>
        </is>
      </c>
      <c r="D515" s="10">
        <f>IFERROR(INDEX('Review Items'!$D:$D,MATCH(C515,'Review Items'!$B:$B,0)),IFERROR(INDEX('Rule Updates'!$B:$B,MATCH(C515,'Rule Updates'!$A:$A,0)),"Uncategorised"))</f>
        <v/>
      </c>
      <c r="E515" s="10">
        <f>IFERROR(INDEX('Review Items'!$E:$E,MATCH(C515,'Review Items'!$B:$B,0)),IFERROR(INDEX('Rule Updates'!$C:$C,MATCH(C515,'Rule Updates'!$A:$A,0)),"Review"))</f>
        <v/>
      </c>
      <c r="F515" s="10" t="n"/>
      <c r="G515" s="12" t="n">
        <v>1588</v>
      </c>
      <c r="H515" s="10" t="n">
        <v>4</v>
      </c>
      <c r="I515" s="10">
        <f>IF(OR(D515="Uncategorised",E515=""),"Check","")</f>
        <v/>
      </c>
    </row>
    <row r="516">
      <c r="A516" s="10" t="inlineStr">
        <is>
          <t>Amex May-2025</t>
        </is>
      </c>
      <c r="B516" s="11" t="n">
        <v>45793</v>
      </c>
      <c r="C516" s="10" t="inlineStr">
        <is>
          <t>ON HONG KONG LTD. WAN CHAI</t>
        </is>
      </c>
      <c r="D516" s="10">
        <f>IFERROR(INDEX('Review Items'!$D:$D,MATCH(C516,'Review Items'!$B:$B,0)),IFERROR(INDEX('Rule Updates'!$B:$B,MATCH(C516,'Rule Updates'!$A:$A,0)),"Uncategorised"))</f>
        <v/>
      </c>
      <c r="E516" s="10">
        <f>IFERROR(INDEX('Review Items'!$E:$E,MATCH(C516,'Review Items'!$B:$B,0)),IFERROR(INDEX('Rule Updates'!$C:$C,MATCH(C516,'Rule Updates'!$A:$A,0)),"Review"))</f>
        <v/>
      </c>
      <c r="F516" s="10" t="n"/>
      <c r="G516" s="12" t="n">
        <v>1490</v>
      </c>
      <c r="H516" s="10" t="n">
        <v>4</v>
      </c>
      <c r="I516" s="10">
        <f>IF(OR(D516="Uncategorised",E516=""),"Check","")</f>
        <v/>
      </c>
    </row>
    <row r="517">
      <c r="A517" s="10" t="inlineStr">
        <is>
          <t>Amex May-2025</t>
        </is>
      </c>
      <c r="B517" s="11" t="n">
        <v>45793</v>
      </c>
      <c r="C517" s="10" t="inlineStr">
        <is>
          <t>SOGO HONG KONG CO LTD CAUSEWAY BAY</t>
        </is>
      </c>
      <c r="D517" s="10">
        <f>IFERROR(INDEX('Review Items'!$D:$D,MATCH(C517,'Review Items'!$B:$B,0)),IFERROR(INDEX('Rule Updates'!$B:$B,MATCH(C517,'Rule Updates'!$A:$A,0)),"Uncategorised"))</f>
        <v/>
      </c>
      <c r="E517" s="10">
        <f>IFERROR(INDEX('Review Items'!$E:$E,MATCH(C517,'Review Items'!$B:$B,0)),IFERROR(INDEX('Rule Updates'!$C:$C,MATCH(C517,'Rule Updates'!$A:$A,0)),"Review"))</f>
        <v/>
      </c>
      <c r="F517" s="10" t="n"/>
      <c r="G517" s="12" t="n">
        <v>2462.5</v>
      </c>
      <c r="H517" s="10" t="n">
        <v>4</v>
      </c>
      <c r="I517" s="10">
        <f>IF(OR(D517="Uncategorised",E517=""),"Check","")</f>
        <v/>
      </c>
    </row>
    <row r="518">
      <c r="A518" s="10" t="inlineStr">
        <is>
          <t>Amex May-2025</t>
        </is>
      </c>
      <c r="B518" s="11" t="n">
        <v>45793</v>
      </c>
      <c r="C518" s="10" t="inlineStr">
        <is>
          <t>SOGO HONG KONG CO LTD CAUSEWAY BAY</t>
        </is>
      </c>
      <c r="D518" s="10">
        <f>IFERROR(INDEX('Review Items'!$D:$D,MATCH(C518,'Review Items'!$B:$B,0)),IFERROR(INDEX('Rule Updates'!$B:$B,MATCH(C518,'Rule Updates'!$A:$A,0)),"Uncategorised"))</f>
        <v/>
      </c>
      <c r="E518" s="10">
        <f>IFERROR(INDEX('Review Items'!$E:$E,MATCH(C518,'Review Items'!$B:$B,0)),IFERROR(INDEX('Rule Updates'!$C:$C,MATCH(C518,'Rule Updates'!$A:$A,0)),"Review"))</f>
        <v/>
      </c>
      <c r="F518" s="10" t="n"/>
      <c r="G518" s="12" t="n">
        <v>616</v>
      </c>
      <c r="H518" s="10" t="n">
        <v>4</v>
      </c>
      <c r="I518" s="10">
        <f>IF(OR(D518="Uncategorised",E518=""),"Check","")</f>
        <v/>
      </c>
    </row>
    <row r="519">
      <c r="A519" s="10" t="inlineStr">
        <is>
          <t>Amex May-2025</t>
        </is>
      </c>
      <c r="B519" s="11" t="n">
        <v>45794</v>
      </c>
      <c r="C519" s="10" t="inlineStr">
        <is>
          <t>MANDARIN ORIENTAL-BOOK CENTRAL</t>
        </is>
      </c>
      <c r="D519" s="10">
        <f>IFERROR(INDEX('Review Items'!$D:$D,MATCH(C519,'Review Items'!$B:$B,0)),IFERROR(INDEX('Rule Updates'!$B:$B,MATCH(C519,'Rule Updates'!$A:$A,0)),"Uncategorised"))</f>
        <v/>
      </c>
      <c r="E519" s="10">
        <f>IFERROR(INDEX('Review Items'!$E:$E,MATCH(C519,'Review Items'!$B:$B,0)),IFERROR(INDEX('Rule Updates'!$C:$C,MATCH(C519,'Rule Updates'!$A:$A,0)),"Review"))</f>
        <v/>
      </c>
      <c r="F519" s="10" t="n"/>
      <c r="G519" s="12" t="n">
        <v>45</v>
      </c>
      <c r="H519" s="10" t="n">
        <v>4</v>
      </c>
      <c r="I519" s="10">
        <f>IF(OR(D519="Uncategorised",E519=""),"Check","")</f>
        <v/>
      </c>
    </row>
    <row r="520">
      <c r="A520" s="10" t="inlineStr">
        <is>
          <t>Amex May-2025</t>
        </is>
      </c>
      <c r="B520" s="11" t="n">
        <v>45794</v>
      </c>
      <c r="C520" s="10" t="inlineStr">
        <is>
          <t>THE MANDARIN SALON CENTRAL</t>
        </is>
      </c>
      <c r="D520" s="10">
        <f>IFERROR(INDEX('Review Items'!$D:$D,MATCH(C520,'Review Items'!$B:$B,0)),IFERROR(INDEX('Rule Updates'!$B:$B,MATCH(C520,'Rule Updates'!$A:$A,0)),"Uncategorised"))</f>
        <v/>
      </c>
      <c r="E520" s="10">
        <f>IFERROR(INDEX('Review Items'!$E:$E,MATCH(C520,'Review Items'!$B:$B,0)),IFERROR(INDEX('Rule Updates'!$C:$C,MATCH(C520,'Rule Updates'!$A:$A,0)),"Review"))</f>
        <v/>
      </c>
      <c r="F520" s="10" t="n"/>
      <c r="G520" s="12" t="n">
        <v>2150</v>
      </c>
      <c r="H520" s="10" t="n">
        <v>4</v>
      </c>
      <c r="I520" s="10">
        <f>IF(OR(D520="Uncategorised",E520=""),"Check","")</f>
        <v/>
      </c>
    </row>
    <row r="521">
      <c r="A521" s="10" t="inlineStr">
        <is>
          <t>Amex May-2025</t>
        </is>
      </c>
      <c r="B521" s="11" t="n">
        <v>45795</v>
      </c>
      <c r="C521" s="10" t="inlineStr">
        <is>
          <t>RESERVEPS.COM LOS ANGELES</t>
        </is>
      </c>
      <c r="D521" s="10">
        <f>IFERROR(INDEX('Review Items'!$D:$D,MATCH(C521,'Review Items'!$B:$B,0)),IFERROR(INDEX('Rule Updates'!$B:$B,MATCH(C521,'Rule Updates'!$A:$A,0)),"Uncategorised"))</f>
        <v/>
      </c>
      <c r="E521" s="10">
        <f>IFERROR(INDEX('Review Items'!$E:$E,MATCH(C521,'Review Items'!$B:$B,0)),IFERROR(INDEX('Rule Updates'!$C:$C,MATCH(C521,'Rule Updates'!$A:$A,0)),"Review"))</f>
        <v/>
      </c>
      <c r="F521" s="12" t="n">
        <v>170</v>
      </c>
      <c r="G521" s="12" t="n">
        <v>1355.21</v>
      </c>
      <c r="H521" s="10" t="n">
        <v>4</v>
      </c>
      <c r="I521" s="10">
        <f>IF(OR(D521="Uncategorised",E521=""),"Check","")</f>
        <v/>
      </c>
    </row>
    <row r="522">
      <c r="A522" s="10" t="inlineStr">
        <is>
          <t>Amex May-2025</t>
        </is>
      </c>
      <c r="B522" s="11" t="n">
        <v>45796</v>
      </c>
      <c r="C522" s="10" t="inlineStr">
        <is>
          <t>CHEVRON 0090206/CHEVRON MILLBRAE</t>
        </is>
      </c>
      <c r="D522" s="10">
        <f>IFERROR(INDEX('Review Items'!$D:$D,MATCH(C522,'Review Items'!$B:$B,0)),IFERROR(INDEX('Rule Updates'!$B:$B,MATCH(C522,'Rule Updates'!$A:$A,0)),"Uncategorised"))</f>
        <v/>
      </c>
      <c r="E522" s="10">
        <f>IFERROR(INDEX('Review Items'!$E:$E,MATCH(C522,'Review Items'!$B:$B,0)),IFERROR(INDEX('Rule Updates'!$C:$C,MATCH(C522,'Rule Updates'!$A:$A,0)),"Review"))</f>
        <v/>
      </c>
      <c r="F522" s="12" t="n">
        <v>3.68</v>
      </c>
      <c r="G522" s="12" t="n">
        <v>29.35</v>
      </c>
      <c r="H522" s="10" t="n">
        <v>6</v>
      </c>
      <c r="I522" s="10">
        <f>IF(OR(D522="Uncategorised",E522=""),"Check","")</f>
        <v/>
      </c>
    </row>
    <row r="523">
      <c r="A523" s="10" t="inlineStr">
        <is>
          <t>Amex Jun-2025</t>
        </is>
      </c>
      <c r="B523" s="11" t="n">
        <v>45796</v>
      </c>
      <c r="C523" s="10" t="inlineStr">
        <is>
          <t>JAL INTL INFLIGHT SALES TOKYO JAPAN</t>
        </is>
      </c>
      <c r="D523" s="10">
        <f>IFERROR(INDEX('Review Items'!$D:$D,MATCH(C523,'Review Items'!$B:$B,0)),IFERROR(INDEX('Rule Updates'!$B:$B,MATCH(C523,'Rule Updates'!$A:$A,0)),"Uncategorised"))</f>
        <v/>
      </c>
      <c r="E523" s="10">
        <f>IFERROR(INDEX('Review Items'!$E:$E,MATCH(C523,'Review Items'!$B:$B,0)),IFERROR(INDEX('Rule Updates'!$C:$C,MATCH(C523,'Rule Updates'!$A:$A,0)),"Review"))</f>
        <v/>
      </c>
      <c r="F523" s="12" t="n">
        <v>3400</v>
      </c>
      <c r="G523" s="12" t="n">
        <v>190.51</v>
      </c>
      <c r="H523" s="10" t="n">
        <v>7</v>
      </c>
      <c r="I523" s="10">
        <f>IF(OR(D523="Uncategorised",E523=""),"Check","")</f>
        <v/>
      </c>
    </row>
    <row r="524">
      <c r="A524" s="10" t="inlineStr">
        <is>
          <t>Amex May-2025</t>
        </is>
      </c>
      <c r="B524" s="11" t="n">
        <v>45796</v>
      </c>
      <c r="C524" s="10" t="inlineStr">
        <is>
          <t>RESERVEPS.COM LOS ANGELES</t>
        </is>
      </c>
      <c r="D524" s="10">
        <f>IFERROR(INDEX('Review Items'!$D:$D,MATCH(C524,'Review Items'!$B:$B,0)),IFERROR(INDEX('Rule Updates'!$B:$B,MATCH(C524,'Rule Updates'!$A:$A,0)),"Uncategorised"))</f>
        <v/>
      </c>
      <c r="E524" s="10">
        <f>IFERROR(INDEX('Review Items'!$E:$E,MATCH(C524,'Review Items'!$B:$B,0)),IFERROR(INDEX('Rule Updates'!$C:$C,MATCH(C524,'Rule Updates'!$A:$A,0)),"Review"))</f>
        <v/>
      </c>
      <c r="F524" s="12" t="n">
        <v>850</v>
      </c>
      <c r="G524" s="12" t="n">
        <v>6776.04</v>
      </c>
      <c r="H524" s="10" t="n">
        <v>4</v>
      </c>
      <c r="I524" s="10">
        <f>IF(OR(D524="Uncategorised",E524=""),"Check","")</f>
        <v/>
      </c>
    </row>
    <row r="525">
      <c r="A525" s="10" t="inlineStr">
        <is>
          <t>Amex May-2025</t>
        </is>
      </c>
      <c r="B525" s="11" t="n">
        <v>45796</v>
      </c>
      <c r="C525" s="10" t="inlineStr">
        <is>
          <t>RESERVEPS.COM LOS ANGELES</t>
        </is>
      </c>
      <c r="D525" s="10">
        <f>IFERROR(INDEX('Review Items'!$D:$D,MATCH(C525,'Review Items'!$B:$B,0)),IFERROR(INDEX('Rule Updates'!$B:$B,MATCH(C525,'Rule Updates'!$A:$A,0)),"Uncategorised"))</f>
        <v/>
      </c>
      <c r="E525" s="10">
        <f>IFERROR(INDEX('Review Items'!$E:$E,MATCH(C525,'Review Items'!$B:$B,0)),IFERROR(INDEX('Rule Updates'!$C:$C,MATCH(C525,'Rule Updates'!$A:$A,0)),"Review"))</f>
        <v/>
      </c>
      <c r="F525" s="12" t="n">
        <v>850</v>
      </c>
      <c r="G525" s="12" t="n">
        <v>6776.04</v>
      </c>
      <c r="H525" s="10" t="n">
        <v>4</v>
      </c>
      <c r="I525" s="10">
        <f>IF(OR(D525="Uncategorised",E525=""),"Check","")</f>
        <v/>
      </c>
    </row>
    <row r="526">
      <c r="A526" s="10" t="inlineStr">
        <is>
          <t>Amex May-2025</t>
        </is>
      </c>
      <c r="B526" s="11" t="n">
        <v>45796</v>
      </c>
      <c r="C526" s="10" t="inlineStr">
        <is>
          <t>SHELL SERVICE STATION 1 SAN MATEO</t>
        </is>
      </c>
      <c r="D526" s="10">
        <f>IFERROR(INDEX('Review Items'!$D:$D,MATCH(C526,'Review Items'!$B:$B,0)),IFERROR(INDEX('Rule Updates'!$B:$B,MATCH(C526,'Rule Updates'!$A:$A,0)),"Uncategorised"))</f>
        <v/>
      </c>
      <c r="E526" s="10">
        <f>IFERROR(INDEX('Review Items'!$E:$E,MATCH(C526,'Review Items'!$B:$B,0)),IFERROR(INDEX('Rule Updates'!$C:$C,MATCH(C526,'Rule Updates'!$A:$A,0)),"Review"))</f>
        <v/>
      </c>
      <c r="F526" s="12" t="n">
        <v>10.78</v>
      </c>
      <c r="G526" s="12" t="n">
        <v>85.98999999999999</v>
      </c>
      <c r="H526" s="10" t="n">
        <v>6</v>
      </c>
      <c r="I526" s="10">
        <f>IF(OR(D526="Uncategorised",E526=""),"Check","")</f>
        <v/>
      </c>
    </row>
    <row r="527">
      <c r="A527" s="10" t="inlineStr">
        <is>
          <t>Amex May-2025</t>
        </is>
      </c>
      <c r="B527" s="11" t="n">
        <v>45796</v>
      </c>
      <c r="C527" s="10" t="inlineStr">
        <is>
          <t>SUIT SUPPLY HK NHH LIMI HONG KONG</t>
        </is>
      </c>
      <c r="D527" s="10">
        <f>IFERROR(INDEX('Review Items'!$D:$D,MATCH(C527,'Review Items'!$B:$B,0)),IFERROR(INDEX('Rule Updates'!$B:$B,MATCH(C527,'Rule Updates'!$A:$A,0)),"Uncategorised"))</f>
        <v/>
      </c>
      <c r="E527" s="10">
        <f>IFERROR(INDEX('Review Items'!$E:$E,MATCH(C527,'Review Items'!$B:$B,0)),IFERROR(INDEX('Rule Updates'!$C:$C,MATCH(C527,'Rule Updates'!$A:$A,0)),"Review"))</f>
        <v/>
      </c>
      <c r="F527" s="10" t="n"/>
      <c r="G527" s="12" t="n">
        <v>3398</v>
      </c>
      <c r="H527" s="10" t="n">
        <v>4</v>
      </c>
      <c r="I527" s="10">
        <f>IF(OR(D527="Uncategorised",E527=""),"Check","")</f>
        <v/>
      </c>
    </row>
    <row r="528">
      <c r="A528" s="10" t="inlineStr">
        <is>
          <t>Amex May-2025</t>
        </is>
      </c>
      <c r="B528" s="11" t="n">
        <v>45797</v>
      </c>
      <c r="C528" s="10" t="inlineStr">
        <is>
          <t>BOOKAZINE CENTRAL</t>
        </is>
      </c>
      <c r="D528" s="10">
        <f>IFERROR(INDEX('Review Items'!$D:$D,MATCH(C528,'Review Items'!$B:$B,0)),IFERROR(INDEX('Rule Updates'!$B:$B,MATCH(C528,'Rule Updates'!$A:$A,0)),"Uncategorised"))</f>
        <v/>
      </c>
      <c r="E528" s="10">
        <f>IFERROR(INDEX('Review Items'!$E:$E,MATCH(C528,'Review Items'!$B:$B,0)),IFERROR(INDEX('Rule Updates'!$C:$C,MATCH(C528,'Rule Updates'!$A:$A,0)),"Review"))</f>
        <v/>
      </c>
      <c r="F528" s="10" t="n"/>
      <c r="G528" s="12" t="n">
        <v>192</v>
      </c>
      <c r="H528" s="10" t="n">
        <v>4</v>
      </c>
      <c r="I528" s="10">
        <f>IF(OR(D528="Uncategorised",E528=""),"Check","")</f>
        <v/>
      </c>
    </row>
    <row r="529">
      <c r="A529" s="10" t="inlineStr">
        <is>
          <t>Amex May-2025</t>
        </is>
      </c>
      <c r="B529" s="11" t="n">
        <v>45797</v>
      </c>
      <c r="C529" s="10" t="inlineStr">
        <is>
          <t>CITY'SUPER CENTRAL</t>
        </is>
      </c>
      <c r="D529" s="10">
        <f>IFERROR(INDEX('Review Items'!$D:$D,MATCH(C529,'Review Items'!$B:$B,0)),IFERROR(INDEX('Rule Updates'!$B:$B,MATCH(C529,'Rule Updates'!$A:$A,0)),"Uncategorised"))</f>
        <v/>
      </c>
      <c r="E529" s="10">
        <f>IFERROR(INDEX('Review Items'!$E:$E,MATCH(C529,'Review Items'!$B:$B,0)),IFERROR(INDEX('Rule Updates'!$C:$C,MATCH(C529,'Rule Updates'!$A:$A,0)),"Review"))</f>
        <v/>
      </c>
      <c r="F529" s="10" t="n"/>
      <c r="G529" s="12" t="n">
        <v>32</v>
      </c>
      <c r="H529" s="10" t="n">
        <v>4</v>
      </c>
      <c r="I529" s="10">
        <f>IF(OR(D529="Uncategorised",E529=""),"Check","")</f>
        <v/>
      </c>
    </row>
    <row r="530">
      <c r="A530" s="10" t="inlineStr">
        <is>
          <t>Amex May-2025</t>
        </is>
      </c>
      <c r="B530" s="11" t="n">
        <v>45797</v>
      </c>
      <c r="C530" s="10" t="inlineStr">
        <is>
          <t>CVS/PHARMACY #09652 000 WEST HOLLYWOO</t>
        </is>
      </c>
      <c r="D530" s="10">
        <f>IFERROR(INDEX('Review Items'!$D:$D,MATCH(C530,'Review Items'!$B:$B,0)),IFERROR(INDEX('Rule Updates'!$B:$B,MATCH(C530,'Rule Updates'!$A:$A,0)),"Uncategorised"))</f>
        <v/>
      </c>
      <c r="E530" s="10">
        <f>IFERROR(INDEX('Review Items'!$E:$E,MATCH(C530,'Review Items'!$B:$B,0)),IFERROR(INDEX('Rule Updates'!$C:$C,MATCH(C530,'Rule Updates'!$A:$A,0)),"Review"))</f>
        <v/>
      </c>
      <c r="F530" s="12" t="n">
        <v>80.40000000000001</v>
      </c>
      <c r="G530" s="12" t="n">
        <v>642.11</v>
      </c>
      <c r="H530" s="10" t="n">
        <v>6</v>
      </c>
      <c r="I530" s="10">
        <f>IF(OR(D530="Uncategorised",E530=""),"Check","")</f>
        <v/>
      </c>
    </row>
    <row r="531">
      <c r="A531" s="10" t="inlineStr">
        <is>
          <t>Amex May-2025</t>
        </is>
      </c>
      <c r="B531" s="11" t="n">
        <v>45797</v>
      </c>
      <c r="C531" s="10" t="inlineStr">
        <is>
          <t>OMUSUBI - IFC CENTRAL</t>
        </is>
      </c>
      <c r="D531" s="10">
        <f>IFERROR(INDEX('Review Items'!$D:$D,MATCH(C531,'Review Items'!$B:$B,0)),IFERROR(INDEX('Rule Updates'!$B:$B,MATCH(C531,'Rule Updates'!$A:$A,0)),"Uncategorised"))</f>
        <v/>
      </c>
      <c r="E531" s="10">
        <f>IFERROR(INDEX('Review Items'!$E:$E,MATCH(C531,'Review Items'!$B:$B,0)),IFERROR(INDEX('Rule Updates'!$C:$C,MATCH(C531,'Rule Updates'!$A:$A,0)),"Review"))</f>
        <v/>
      </c>
      <c r="F531" s="10" t="n"/>
      <c r="G531" s="12" t="n">
        <v>38.5</v>
      </c>
      <c r="H531" s="10" t="n">
        <v>4</v>
      </c>
      <c r="I531" s="10">
        <f>IF(OR(D531="Uncategorised",E531=""),"Check","")</f>
        <v/>
      </c>
    </row>
    <row r="532">
      <c r="A532" s="10" t="inlineStr">
        <is>
          <t>Amex May-2025</t>
        </is>
      </c>
      <c r="B532" s="11" t="n">
        <v>45797</v>
      </c>
      <c r="C532" s="10" t="inlineStr">
        <is>
          <t>RAG &amp; BONE HOLDINGS, LL NEW YORK</t>
        </is>
      </c>
      <c r="D532" s="10">
        <f>IFERROR(INDEX('Review Items'!$D:$D,MATCH(C532,'Review Items'!$B:$B,0)),IFERROR(INDEX('Rule Updates'!$B:$B,MATCH(C532,'Rule Updates'!$A:$A,0)),"Uncategorised"))</f>
        <v/>
      </c>
      <c r="E532" s="10">
        <f>IFERROR(INDEX('Review Items'!$E:$E,MATCH(C532,'Review Items'!$B:$B,0)),IFERROR(INDEX('Rule Updates'!$C:$C,MATCH(C532,'Rule Updates'!$A:$A,0)),"Review"))</f>
        <v/>
      </c>
      <c r="F532" s="12" t="n">
        <v>379.57</v>
      </c>
      <c r="G532" s="12" t="n">
        <v>3028.06</v>
      </c>
      <c r="H532" s="10" t="n">
        <v>6</v>
      </c>
      <c r="I532" s="10">
        <f>IF(OR(D532="Uncategorised",E532=""),"Check","")</f>
        <v/>
      </c>
    </row>
    <row r="533">
      <c r="A533" s="10" t="inlineStr">
        <is>
          <t>Amex May-2025</t>
        </is>
      </c>
      <c r="B533" s="11" t="n">
        <v>45797</v>
      </c>
      <c r="C533" s="10" t="inlineStr">
        <is>
          <t>SP IPPODOTEAGLOBAL KYOUTOSHINAKAGY</t>
        </is>
      </c>
      <c r="D533" s="10">
        <f>IFERROR(INDEX('Review Items'!$D:$D,MATCH(C533,'Review Items'!$B:$B,0)),IFERROR(INDEX('Rule Updates'!$B:$B,MATCH(C533,'Rule Updates'!$A:$A,0)),"Uncategorised"))</f>
        <v/>
      </c>
      <c r="E533" s="10">
        <f>IFERROR(INDEX('Review Items'!$E:$E,MATCH(C533,'Review Items'!$B:$B,0)),IFERROR(INDEX('Rule Updates'!$C:$C,MATCH(C533,'Rule Updates'!$A:$A,0)),"Review"))</f>
        <v/>
      </c>
      <c r="F533" s="12" t="n">
        <v>26610</v>
      </c>
      <c r="G533" s="12" t="n">
        <v>1467.31</v>
      </c>
      <c r="H533" s="10" t="n">
        <v>4</v>
      </c>
      <c r="I533" s="10">
        <f>IF(OR(D533="Uncategorised",E533=""),"Check","")</f>
        <v/>
      </c>
    </row>
    <row r="534">
      <c r="A534" s="10" t="inlineStr">
        <is>
          <t>Amex May-2025</t>
        </is>
      </c>
      <c r="B534" s="11" t="n">
        <v>45798</v>
      </c>
      <c r="C534" s="10" t="inlineStr">
        <is>
          <t>EREWHON SANTA MONICA 00 Santa Monica</t>
        </is>
      </c>
      <c r="D534" s="10">
        <f>IFERROR(INDEX('Review Items'!$D:$D,MATCH(C534,'Review Items'!$B:$B,0)),IFERROR(INDEX('Rule Updates'!$B:$B,MATCH(C534,'Rule Updates'!$A:$A,0)),"Uncategorised"))</f>
        <v/>
      </c>
      <c r="E534" s="10">
        <f>IFERROR(INDEX('Review Items'!$E:$E,MATCH(C534,'Review Items'!$B:$B,0)),IFERROR(INDEX('Rule Updates'!$C:$C,MATCH(C534,'Rule Updates'!$A:$A,0)),"Review"))</f>
        <v/>
      </c>
      <c r="F534" s="12" t="n">
        <v>441.26</v>
      </c>
      <c r="G534" s="12" t="n">
        <v>3525.78</v>
      </c>
      <c r="H534" s="10" t="n">
        <v>6</v>
      </c>
      <c r="I534" s="10">
        <f>IF(OR(D534="Uncategorised",E534=""),"Check","")</f>
        <v/>
      </c>
    </row>
    <row r="535">
      <c r="A535" s="10" t="inlineStr">
        <is>
          <t>Amex May-2025</t>
        </is>
      </c>
      <c r="B535" s="11" t="n">
        <v>45798</v>
      </c>
      <c r="C535" s="10" t="inlineStr">
        <is>
          <t>GARMIN (EUROPE) LIMITED SOUTHAMPTON</t>
        </is>
      </c>
      <c r="D535" s="10">
        <f>IFERROR(INDEX('Review Items'!$D:$D,MATCH(C535,'Review Items'!$B:$B,0)),IFERROR(INDEX('Rule Updates'!$B:$B,MATCH(C535,'Rule Updates'!$A:$A,0)),"Uncategorised"))</f>
        <v/>
      </c>
      <c r="E535" s="10">
        <f>IFERROR(INDEX('Review Items'!$E:$E,MATCH(C535,'Review Items'!$B:$B,0)),IFERROR(INDEX('Rule Updates'!$C:$C,MATCH(C535,'Rule Updates'!$A:$A,0)),"Review"))</f>
        <v/>
      </c>
      <c r="F535" s="10" t="n"/>
      <c r="G535" s="12" t="n">
        <v>89</v>
      </c>
      <c r="H535" s="10" t="n">
        <v>4</v>
      </c>
      <c r="I535" s="10">
        <f>IF(OR(D535="Uncategorised",E535=""),"Check","")</f>
        <v/>
      </c>
    </row>
    <row r="536">
      <c r="A536" s="10" t="inlineStr">
        <is>
          <t>Amex May-2025</t>
        </is>
      </c>
      <c r="B536" s="11" t="n">
        <v>45798</v>
      </c>
      <c r="C536" s="10" t="inlineStr">
        <is>
          <t>KELLY &amp; WALSH LTD ADMIRALTY</t>
        </is>
      </c>
      <c r="D536" s="10">
        <f>IFERROR(INDEX('Review Items'!$D:$D,MATCH(C536,'Review Items'!$B:$B,0)),IFERROR(INDEX('Rule Updates'!$B:$B,MATCH(C536,'Rule Updates'!$A:$A,0)),"Uncategorised"))</f>
        <v/>
      </c>
      <c r="E536" s="10">
        <f>IFERROR(INDEX('Review Items'!$E:$E,MATCH(C536,'Review Items'!$B:$B,0)),IFERROR(INDEX('Rule Updates'!$C:$C,MATCH(C536,'Rule Updates'!$A:$A,0)),"Review"))</f>
        <v/>
      </c>
      <c r="F536" s="10" t="n"/>
      <c r="G536" s="12" t="n">
        <v>606</v>
      </c>
      <c r="H536" s="10" t="n">
        <v>4</v>
      </c>
      <c r="I536" s="10">
        <f>IF(OR(D536="Uncategorised",E536=""),"Check","")</f>
        <v/>
      </c>
    </row>
    <row r="537">
      <c r="A537" s="10" t="inlineStr">
        <is>
          <t>Amex May-2025</t>
        </is>
      </c>
      <c r="B537" s="11" t="n">
        <v>45798</v>
      </c>
      <c r="C537" s="10" t="inlineStr">
        <is>
          <t>SIMPLY TOYS ADMIRALTY</t>
        </is>
      </c>
      <c r="D537" s="10">
        <f>IFERROR(INDEX('Review Items'!$D:$D,MATCH(C537,'Review Items'!$B:$B,0)),IFERROR(INDEX('Rule Updates'!$B:$B,MATCH(C537,'Rule Updates'!$A:$A,0)),"Uncategorised"))</f>
        <v/>
      </c>
      <c r="E537" s="10">
        <f>IFERROR(INDEX('Review Items'!$E:$E,MATCH(C537,'Review Items'!$B:$B,0)),IFERROR(INDEX('Rule Updates'!$C:$C,MATCH(C537,'Rule Updates'!$A:$A,0)),"Review"))</f>
        <v/>
      </c>
      <c r="F537" s="10" t="n"/>
      <c r="G537" s="12" t="n">
        <v>983</v>
      </c>
      <c r="H537" s="10" t="n">
        <v>4</v>
      </c>
      <c r="I537" s="10">
        <f>IF(OR(D537="Uncategorised",E537=""),"Check","")</f>
        <v/>
      </c>
    </row>
    <row r="538">
      <c r="A538" s="10" t="inlineStr">
        <is>
          <t>Amex May-2025</t>
        </is>
      </c>
      <c r="B538" s="11" t="n">
        <v>45798</v>
      </c>
      <c r="C538" s="10" t="inlineStr">
        <is>
          <t>SIXT USA POS FORT LAUDERDALE</t>
        </is>
      </c>
      <c r="D538" s="10">
        <f>IFERROR(INDEX('Review Items'!$D:$D,MATCH(C538,'Review Items'!$B:$B,0)),IFERROR(INDEX('Rule Updates'!$B:$B,MATCH(C538,'Rule Updates'!$A:$A,0)),"Uncategorised"))</f>
        <v/>
      </c>
      <c r="E538" s="10">
        <f>IFERROR(INDEX('Review Items'!$E:$E,MATCH(C538,'Review Items'!$B:$B,0)),IFERROR(INDEX('Rule Updates'!$C:$C,MATCH(C538,'Rule Updates'!$A:$A,0)),"Review"))</f>
        <v/>
      </c>
      <c r="F538" s="12" t="n">
        <v>79.26000000000001</v>
      </c>
      <c r="G538" s="12" t="n">
        <v>633.01</v>
      </c>
      <c r="H538" s="10" t="n">
        <v>6</v>
      </c>
      <c r="I538" s="10">
        <f>IF(OR(D538="Uncategorised",E538=""),"Check","")</f>
        <v/>
      </c>
    </row>
    <row r="539">
      <c r="A539" s="10" t="inlineStr">
        <is>
          <t>Amex May-2025</t>
        </is>
      </c>
      <c r="B539" s="11" t="n">
        <v>45798</v>
      </c>
      <c r="C539" s="10" t="inlineStr">
        <is>
          <t>THE NET-A-PORTER GROUP HONG KONG</t>
        </is>
      </c>
      <c r="D539" s="10">
        <f>IFERROR(INDEX('Review Items'!$D:$D,MATCH(C539,'Review Items'!$B:$B,0)),IFERROR(INDEX('Rule Updates'!$B:$B,MATCH(C539,'Rule Updates'!$A:$A,0)),"Uncategorised"))</f>
        <v/>
      </c>
      <c r="E539" s="10">
        <f>IFERROR(INDEX('Review Items'!$E:$E,MATCH(C539,'Review Items'!$B:$B,0)),IFERROR(INDEX('Rule Updates'!$C:$C,MATCH(C539,'Rule Updates'!$A:$A,0)),"Review"))</f>
        <v/>
      </c>
      <c r="F539" s="10" t="n"/>
      <c r="G539" s="12" t="n">
        <v>42924</v>
      </c>
      <c r="H539" s="10" t="n">
        <v>4</v>
      </c>
      <c r="I539" s="10">
        <f>IF(OR(D539="Uncategorised",E539=""),"Check","")</f>
        <v/>
      </c>
    </row>
    <row r="540">
      <c r="A540" s="10" t="inlineStr">
        <is>
          <t>Amex May-2025</t>
        </is>
      </c>
      <c r="B540" s="11" t="n">
        <v>45798</v>
      </c>
      <c r="C540" s="10" t="inlineStr">
        <is>
          <t>UBER TRIP HTTPS://HELP.UB</t>
        </is>
      </c>
      <c r="D540" s="10">
        <f>IFERROR(INDEX('Review Items'!$D:$D,MATCH(C540,'Review Items'!$B:$B,0)),IFERROR(INDEX('Rule Updates'!$B:$B,MATCH(C540,'Rule Updates'!$A:$A,0)),"Uncategorised"))</f>
        <v/>
      </c>
      <c r="E540" s="10">
        <f>IFERROR(INDEX('Review Items'!$E:$E,MATCH(C540,'Review Items'!$B:$B,0)),IFERROR(INDEX('Rule Updates'!$C:$C,MATCH(C540,'Rule Updates'!$A:$A,0)),"Review"))</f>
        <v/>
      </c>
      <c r="F540" s="10" t="n"/>
      <c r="G540" s="12" t="n">
        <v>35.3</v>
      </c>
      <c r="H540" s="10" t="n">
        <v>4</v>
      </c>
      <c r="I540" s="10">
        <f>IF(OR(D540="Uncategorised",E540=""),"Check","")</f>
        <v/>
      </c>
    </row>
    <row r="541">
      <c r="A541" s="10" t="inlineStr">
        <is>
          <t>Amex May-2025</t>
        </is>
      </c>
      <c r="B541" s="11" t="n">
        <v>45798</v>
      </c>
      <c r="C541" s="10" t="inlineStr">
        <is>
          <t>ZARA - PACIFIC PLACE ADMIRALTY</t>
        </is>
      </c>
      <c r="D541" s="10">
        <f>IFERROR(INDEX('Review Items'!$D:$D,MATCH(C541,'Review Items'!$B:$B,0)),IFERROR(INDEX('Rule Updates'!$B:$B,MATCH(C541,'Rule Updates'!$A:$A,0)),"Uncategorised"))</f>
        <v/>
      </c>
      <c r="E541" s="10">
        <f>IFERROR(INDEX('Review Items'!$E:$E,MATCH(C541,'Review Items'!$B:$B,0)),IFERROR(INDEX('Rule Updates'!$C:$C,MATCH(C541,'Rule Updates'!$A:$A,0)),"Review"))</f>
        <v/>
      </c>
      <c r="F541" s="10" t="n"/>
      <c r="G541" s="12" t="n">
        <v>399</v>
      </c>
      <c r="H541" s="10" t="n">
        <v>4</v>
      </c>
      <c r="I541" s="10">
        <f>IF(OR(D541="Uncategorised",E541=""),"Check","")</f>
        <v/>
      </c>
    </row>
    <row r="542">
      <c r="A542" s="10" t="inlineStr">
        <is>
          <t>Amex May-2025</t>
        </is>
      </c>
      <c r="B542" s="11" t="n">
        <v>45799</v>
      </c>
      <c r="C542" s="10" t="inlineStr">
        <is>
          <t>AMV RETAIL ASIA HONG KO ADMIRALTY</t>
        </is>
      </c>
      <c r="D542" s="10">
        <f>IFERROR(INDEX('Review Items'!$D:$D,MATCH(C542,'Review Items'!$B:$B,0)),IFERROR(INDEX('Rule Updates'!$B:$B,MATCH(C542,'Rule Updates'!$A:$A,0)),"Uncategorised"))</f>
        <v/>
      </c>
      <c r="E542" s="10">
        <f>IFERROR(INDEX('Review Items'!$E:$E,MATCH(C542,'Review Items'!$B:$B,0)),IFERROR(INDEX('Rule Updates'!$C:$C,MATCH(C542,'Rule Updates'!$A:$A,0)),"Review"))</f>
        <v/>
      </c>
      <c r="F542" s="10" t="n"/>
      <c r="G542" s="12" t="n">
        <v>1620</v>
      </c>
      <c r="H542" s="10" t="n">
        <v>5</v>
      </c>
      <c r="I542" s="10">
        <f>IF(OR(D542="Uncategorised",E542=""),"Check","")</f>
        <v/>
      </c>
    </row>
    <row r="543">
      <c r="A543" s="10" t="inlineStr">
        <is>
          <t>Amex May-2025</t>
        </is>
      </c>
      <c r="B543" s="11" t="n">
        <v>45799</v>
      </c>
      <c r="C543" s="10" t="inlineStr">
        <is>
          <t>KATES BREAD OJAI</t>
        </is>
      </c>
      <c r="D543" s="10">
        <f>IFERROR(INDEX('Review Items'!$D:$D,MATCH(C543,'Review Items'!$B:$B,0)),IFERROR(INDEX('Rule Updates'!$B:$B,MATCH(C543,'Rule Updates'!$A:$A,0)),"Uncategorised"))</f>
        <v/>
      </c>
      <c r="E543" s="10">
        <f>IFERROR(INDEX('Review Items'!$E:$E,MATCH(C543,'Review Items'!$B:$B,0)),IFERROR(INDEX('Rule Updates'!$C:$C,MATCH(C543,'Rule Updates'!$A:$A,0)),"Review"))</f>
        <v/>
      </c>
      <c r="F543" s="12" t="n">
        <v>5</v>
      </c>
      <c r="G543" s="12" t="n">
        <v>39.95</v>
      </c>
      <c r="H543" s="10" t="n">
        <v>5</v>
      </c>
      <c r="I543" s="10">
        <f>IF(OR(D543="Uncategorised",E543=""),"Check","")</f>
        <v/>
      </c>
    </row>
    <row r="544">
      <c r="A544" s="10" t="inlineStr">
        <is>
          <t>Amex May-2025</t>
        </is>
      </c>
      <c r="B544" s="11" t="n">
        <v>45799</v>
      </c>
      <c r="C544" s="10" t="inlineStr">
        <is>
          <t>LANE CRAWFORD (FURNITUR ADMIRALTY</t>
        </is>
      </c>
      <c r="D544" s="10">
        <f>IFERROR(INDEX('Review Items'!$D:$D,MATCH(C544,'Review Items'!$B:$B,0)),IFERROR(INDEX('Rule Updates'!$B:$B,MATCH(C544,'Rule Updates'!$A:$A,0)),"Uncategorised"))</f>
        <v/>
      </c>
      <c r="E544" s="10">
        <f>IFERROR(INDEX('Review Items'!$E:$E,MATCH(C544,'Review Items'!$B:$B,0)),IFERROR(INDEX('Rule Updates'!$C:$C,MATCH(C544,'Rule Updates'!$A:$A,0)),"Review"))</f>
        <v/>
      </c>
      <c r="F544" s="10" t="n"/>
      <c r="G544" s="12" t="n">
        <v>165700</v>
      </c>
      <c r="H544" s="10" t="n">
        <v>4</v>
      </c>
      <c r="I544" s="10">
        <f>IF(OR(D544="Uncategorised",E544=""),"Check","")</f>
        <v/>
      </c>
    </row>
    <row r="545">
      <c r="A545" s="10" t="inlineStr">
        <is>
          <t>Amex May-2025</t>
        </is>
      </c>
      <c r="B545" s="11" t="n">
        <v>45799</v>
      </c>
      <c r="C545" s="10" t="inlineStr">
        <is>
          <t>LANE CRAWFORD (IFC) CENTRAL</t>
        </is>
      </c>
      <c r="D545" s="10">
        <f>IFERROR(INDEX('Review Items'!$D:$D,MATCH(C545,'Review Items'!$B:$B,0)),IFERROR(INDEX('Rule Updates'!$B:$B,MATCH(C545,'Rule Updates'!$A:$A,0)),"Uncategorised"))</f>
        <v/>
      </c>
      <c r="E545" s="10">
        <f>IFERROR(INDEX('Review Items'!$E:$E,MATCH(C545,'Review Items'!$B:$B,0)),IFERROR(INDEX('Rule Updates'!$C:$C,MATCH(C545,'Rule Updates'!$A:$A,0)),"Review"))</f>
        <v/>
      </c>
      <c r="F545" s="10" t="n"/>
      <c r="G545" s="12" t="n">
        <v>4083</v>
      </c>
      <c r="H545" s="10" t="n">
        <v>5</v>
      </c>
      <c r="I545" s="10">
        <f>IF(OR(D545="Uncategorised",E545=""),"Check","")</f>
        <v/>
      </c>
    </row>
    <row r="546">
      <c r="A546" s="10" t="inlineStr">
        <is>
          <t>Amex May-2025</t>
        </is>
      </c>
      <c r="B546" s="11" t="n">
        <v>45799</v>
      </c>
      <c r="C546" s="10" t="inlineStr">
        <is>
          <t>LANE CRAWFORD (IFC) CENTRAL</t>
        </is>
      </c>
      <c r="D546" s="10">
        <f>IFERROR(INDEX('Review Items'!$D:$D,MATCH(C546,'Review Items'!$B:$B,0)),IFERROR(INDEX('Rule Updates'!$B:$B,MATCH(C546,'Rule Updates'!$A:$A,0)),"Uncategorised"))</f>
        <v/>
      </c>
      <c r="E546" s="10">
        <f>IFERROR(INDEX('Review Items'!$E:$E,MATCH(C546,'Review Items'!$B:$B,0)),IFERROR(INDEX('Rule Updates'!$C:$C,MATCH(C546,'Rule Updates'!$A:$A,0)),"Review"))</f>
        <v/>
      </c>
      <c r="F546" s="10" t="n"/>
      <c r="G546" s="12" t="n">
        <v>3960</v>
      </c>
      <c r="H546" s="10" t="n">
        <v>5</v>
      </c>
      <c r="I546" s="10">
        <f>IF(OR(D546="Uncategorised",E546=""),"Check","")</f>
        <v/>
      </c>
    </row>
    <row r="547">
      <c r="A547" s="10" t="inlineStr">
        <is>
          <t>Amex May-2025</t>
        </is>
      </c>
      <c r="B547" s="11" t="n">
        <v>45799</v>
      </c>
      <c r="C547" s="10" t="inlineStr">
        <is>
          <t>LANE CRAWFORD (IFC) CENTRAL</t>
        </is>
      </c>
      <c r="D547" s="10">
        <f>IFERROR(INDEX('Review Items'!$D:$D,MATCH(C547,'Review Items'!$B:$B,0)),IFERROR(INDEX('Rule Updates'!$B:$B,MATCH(C547,'Rule Updates'!$A:$A,0)),"Uncategorised"))</f>
        <v/>
      </c>
      <c r="E547" s="10">
        <f>IFERROR(INDEX('Review Items'!$E:$E,MATCH(C547,'Review Items'!$B:$B,0)),IFERROR(INDEX('Rule Updates'!$C:$C,MATCH(C547,'Rule Updates'!$A:$A,0)),"Review"))</f>
        <v/>
      </c>
      <c r="F547" s="10" t="n"/>
      <c r="G547" s="12" t="n">
        <v>1358</v>
      </c>
      <c r="H547" s="10" t="n">
        <v>5</v>
      </c>
      <c r="I547" s="10">
        <f>IF(OR(D547="Uncategorised",E547=""),"Check","")</f>
        <v/>
      </c>
    </row>
    <row r="548">
      <c r="A548" s="10" t="inlineStr">
        <is>
          <t>Amex May-2025</t>
        </is>
      </c>
      <c r="B548" s="11" t="n">
        <v>45799</v>
      </c>
      <c r="C548" s="10" t="inlineStr">
        <is>
          <t>LANE CRAWFORD (IFC) CENTRAL</t>
        </is>
      </c>
      <c r="D548" s="10">
        <f>IFERROR(INDEX('Review Items'!$D:$D,MATCH(C548,'Review Items'!$B:$B,0)),IFERROR(INDEX('Rule Updates'!$B:$B,MATCH(C548,'Rule Updates'!$A:$A,0)),"Uncategorised"))</f>
        <v/>
      </c>
      <c r="E548" s="10">
        <f>IFERROR(INDEX('Review Items'!$E:$E,MATCH(C548,'Review Items'!$B:$B,0)),IFERROR(INDEX('Rule Updates'!$C:$C,MATCH(C548,'Rule Updates'!$A:$A,0)),"Review"))</f>
        <v/>
      </c>
      <c r="F548" s="10" t="n"/>
      <c r="G548" s="12" t="n">
        <v>2200</v>
      </c>
      <c r="H548" s="10" t="n">
        <v>5</v>
      </c>
      <c r="I548" s="10">
        <f>IF(OR(D548="Uncategorised",E548=""),"Check","")</f>
        <v/>
      </c>
    </row>
    <row r="549">
      <c r="A549" s="10" t="inlineStr">
        <is>
          <t>Amex May-2025</t>
        </is>
      </c>
      <c r="B549" s="11" t="n">
        <v>45799</v>
      </c>
      <c r="C549" s="10" t="inlineStr">
        <is>
          <t>MUJI (PACIFIC PLACE) ADMIRALTY</t>
        </is>
      </c>
      <c r="D549" s="10">
        <f>IFERROR(INDEX('Review Items'!$D:$D,MATCH(C549,'Review Items'!$B:$B,0)),IFERROR(INDEX('Rule Updates'!$B:$B,MATCH(C549,'Rule Updates'!$A:$A,0)),"Uncategorised"))</f>
        <v/>
      </c>
      <c r="E549" s="10">
        <f>IFERROR(INDEX('Review Items'!$E:$E,MATCH(C549,'Review Items'!$B:$B,0)),IFERROR(INDEX('Rule Updates'!$C:$C,MATCH(C549,'Rule Updates'!$A:$A,0)),"Review"))</f>
        <v/>
      </c>
      <c r="F549" s="10" t="n"/>
      <c r="G549" s="12" t="n">
        <v>132</v>
      </c>
      <c r="H549" s="10" t="n">
        <v>5</v>
      </c>
      <c r="I549" s="10">
        <f>IF(OR(D549="Uncategorised",E549=""),"Check","")</f>
        <v/>
      </c>
    </row>
    <row r="550">
      <c r="A550" s="10" t="inlineStr">
        <is>
          <t>Amex May-2025</t>
        </is>
      </c>
      <c r="B550" s="11" t="n">
        <v>45799</v>
      </c>
      <c r="C550" s="10" t="inlineStr">
        <is>
          <t>PAYPAL *CONDE NAST 8008252510</t>
        </is>
      </c>
      <c r="D550" s="10">
        <f>IFERROR(INDEX('Review Items'!$D:$D,MATCH(C550,'Review Items'!$B:$B,0)),IFERROR(INDEX('Rule Updates'!$B:$B,MATCH(C550,'Rule Updates'!$A:$A,0)),"Uncategorised"))</f>
        <v/>
      </c>
      <c r="E550" s="10">
        <f>IFERROR(INDEX('Review Items'!$E:$E,MATCH(C550,'Review Items'!$B:$B,0)),IFERROR(INDEX('Rule Updates'!$C:$C,MATCH(C550,'Rule Updates'!$A:$A,0)),"Review"))</f>
        <v/>
      </c>
      <c r="F550" s="12" t="n">
        <v>129.99</v>
      </c>
      <c r="G550" s="12" t="n">
        <v>1038.58</v>
      </c>
      <c r="H550" s="10" t="n">
        <v>5</v>
      </c>
      <c r="I550" s="10">
        <f>IF(OR(D550="Uncategorised",E550=""),"Check","")</f>
        <v/>
      </c>
    </row>
    <row r="551">
      <c r="A551" s="10" t="inlineStr">
        <is>
          <t>Amex May-2025</t>
        </is>
      </c>
      <c r="B551" s="11" t="n">
        <v>45799</v>
      </c>
      <c r="C551" s="10" t="inlineStr">
        <is>
          <t>SP TOAST UK LONDON</t>
        </is>
      </c>
      <c r="D551" s="10">
        <f>IFERROR(INDEX('Review Items'!$D:$D,MATCH(C551,'Review Items'!$B:$B,0)),IFERROR(INDEX('Rule Updates'!$B:$B,MATCH(C551,'Rule Updates'!$A:$A,0)),"Uncategorised"))</f>
        <v/>
      </c>
      <c r="E551" s="10">
        <f>IFERROR(INDEX('Review Items'!$E:$E,MATCH(C551,'Review Items'!$B:$B,0)),IFERROR(INDEX('Rule Updates'!$C:$C,MATCH(C551,'Rule Updates'!$A:$A,0)),"Review"))</f>
        <v/>
      </c>
      <c r="F551" s="12" t="n">
        <v>165</v>
      </c>
      <c r="G551" s="12" t="n">
        <v>1773.09</v>
      </c>
      <c r="H551" s="10" t="n">
        <v>5</v>
      </c>
      <c r="I551" s="10">
        <f>IF(OR(D551="Uncategorised",E551=""),"Check","")</f>
        <v/>
      </c>
    </row>
    <row r="552">
      <c r="A552" s="10" t="inlineStr">
        <is>
          <t>Amex May-2025</t>
        </is>
      </c>
      <c r="B552" s="11" t="n">
        <v>45799</v>
      </c>
      <c r="C552" s="10" t="inlineStr">
        <is>
          <t>ZADIGVOLTAIRE US NEW YORK</t>
        </is>
      </c>
      <c r="D552" s="10">
        <f>IFERROR(INDEX('Review Items'!$D:$D,MATCH(C552,'Review Items'!$B:$B,0)),IFERROR(INDEX('Rule Updates'!$B:$B,MATCH(C552,'Rule Updates'!$A:$A,0)),"Uncategorised"))</f>
        <v/>
      </c>
      <c r="E552" s="10">
        <f>IFERROR(INDEX('Review Items'!$E:$E,MATCH(C552,'Review Items'!$B:$B,0)),IFERROR(INDEX('Rule Updates'!$C:$C,MATCH(C552,'Rule Updates'!$A:$A,0)),"Review"))</f>
        <v/>
      </c>
      <c r="F552" s="12" t="n">
        <v>1095.03</v>
      </c>
      <c r="G552" s="12" t="n">
        <v>8749.59</v>
      </c>
      <c r="H552" s="10" t="n">
        <v>5</v>
      </c>
      <c r="I552" s="10">
        <f>IF(OR(D552="Uncategorised",E552=""),"Check","")</f>
        <v/>
      </c>
    </row>
    <row r="553">
      <c r="A553" s="10" t="inlineStr">
        <is>
          <t>Amex May-2025</t>
        </is>
      </c>
      <c r="B553" s="11" t="n">
        <v>45801</v>
      </c>
      <c r="C553" s="10" t="inlineStr">
        <is>
          <t>COHIBA CIGAR DIVAN HONG KONG</t>
        </is>
      </c>
      <c r="D553" s="10">
        <f>IFERROR(INDEX('Review Items'!$D:$D,MATCH(C553,'Review Items'!$B:$B,0)),IFERROR(INDEX('Rule Updates'!$B:$B,MATCH(C553,'Rule Updates'!$A:$A,0)),"Uncategorised"))</f>
        <v/>
      </c>
      <c r="E553" s="10">
        <f>IFERROR(INDEX('Review Items'!$E:$E,MATCH(C553,'Review Items'!$B:$B,0)),IFERROR(INDEX('Rule Updates'!$C:$C,MATCH(C553,'Rule Updates'!$A:$A,0)),"Review"))</f>
        <v/>
      </c>
      <c r="F553" s="10" t="n"/>
      <c r="G553" s="12" t="n">
        <v>20400</v>
      </c>
      <c r="H553" s="10" t="n">
        <v>5</v>
      </c>
      <c r="I553" s="10">
        <f>IF(OR(D553="Uncategorised",E553=""),"Check","")</f>
        <v/>
      </c>
    </row>
    <row r="554">
      <c r="A554" s="10" t="inlineStr">
        <is>
          <t>Amex May-2025</t>
        </is>
      </c>
      <c r="B554" s="11" t="n">
        <v>45801</v>
      </c>
      <c r="C554" s="10" t="inlineStr">
        <is>
          <t>ISABEL MARANT - LANDMAR CENTRAL</t>
        </is>
      </c>
      <c r="D554" s="10">
        <f>IFERROR(INDEX('Review Items'!$D:$D,MATCH(C554,'Review Items'!$B:$B,0)),IFERROR(INDEX('Rule Updates'!$B:$B,MATCH(C554,'Rule Updates'!$A:$A,0)),"Uncategorised"))</f>
        <v/>
      </c>
      <c r="E554" s="10">
        <f>IFERROR(INDEX('Review Items'!$E:$E,MATCH(C554,'Review Items'!$B:$B,0)),IFERROR(INDEX('Rule Updates'!$C:$C,MATCH(C554,'Rule Updates'!$A:$A,0)),"Review"))</f>
        <v/>
      </c>
      <c r="F554" s="10" t="n"/>
      <c r="G554" s="12" t="n">
        <v>6631</v>
      </c>
      <c r="H554" s="10" t="n">
        <v>5</v>
      </c>
      <c r="I554" s="10">
        <f>IF(OR(D554="Uncategorised",E554=""),"Check","")</f>
        <v/>
      </c>
    </row>
    <row r="555">
      <c r="A555" s="10" t="inlineStr">
        <is>
          <t>Amex May-2025</t>
        </is>
      </c>
      <c r="B555" s="11" t="n">
        <v>45801</v>
      </c>
      <c r="C555" s="10" t="inlineStr">
        <is>
          <t>KANESAKA HONG KONG CENTRAL</t>
        </is>
      </c>
      <c r="D555" s="10">
        <f>IFERROR(INDEX('Review Items'!$D:$D,MATCH(C555,'Review Items'!$B:$B,0)),IFERROR(INDEX('Rule Updates'!$B:$B,MATCH(C555,'Rule Updates'!$A:$A,0)),"Uncategorised"))</f>
        <v/>
      </c>
      <c r="E555" s="10">
        <f>IFERROR(INDEX('Review Items'!$E:$E,MATCH(C555,'Review Items'!$B:$B,0)),IFERROR(INDEX('Rule Updates'!$C:$C,MATCH(C555,'Rule Updates'!$A:$A,0)),"Review"))</f>
        <v/>
      </c>
      <c r="F555" s="10" t="n"/>
      <c r="G555" s="12" t="n">
        <v>6171</v>
      </c>
      <c r="H555" s="10" t="n">
        <v>5</v>
      </c>
      <c r="I555" s="10">
        <f>IF(OR(D555="Uncategorised",E555=""),"Check","")</f>
        <v/>
      </c>
    </row>
    <row r="556">
      <c r="A556" s="10" t="inlineStr">
        <is>
          <t>Amex Jun-2025</t>
        </is>
      </c>
      <c r="B556" s="11" t="n">
        <v>45803</v>
      </c>
      <c r="C556" s="10" t="inlineStr">
        <is>
          <t>IL COLPO PACIFIC PLACE ADMIRALTY</t>
        </is>
      </c>
      <c r="D556" s="10">
        <f>IFERROR(INDEX('Review Items'!$D:$D,MATCH(C556,'Review Items'!$B:$B,0)),IFERROR(INDEX('Rule Updates'!$B:$B,MATCH(C556,'Rule Updates'!$A:$A,0)),"Uncategorised"))</f>
        <v/>
      </c>
      <c r="E556" s="10">
        <f>IFERROR(INDEX('Review Items'!$E:$E,MATCH(C556,'Review Items'!$B:$B,0)),IFERROR(INDEX('Rule Updates'!$C:$C,MATCH(C556,'Rule Updates'!$A:$A,0)),"Review"))</f>
        <v/>
      </c>
      <c r="F556" s="10" t="n"/>
      <c r="G556" s="12" t="n">
        <v>10020</v>
      </c>
      <c r="H556" s="10" t="n">
        <v>1</v>
      </c>
      <c r="I556" s="10">
        <f>IF(OR(D556="Uncategorised",E556=""),"Check","")</f>
        <v/>
      </c>
    </row>
    <row r="557">
      <c r="A557" s="10" t="inlineStr">
        <is>
          <t>Amex Jun-2025</t>
        </is>
      </c>
      <c r="B557" s="11" t="n">
        <v>45803</v>
      </c>
      <c r="C557" s="10" t="inlineStr">
        <is>
          <t>SP VIOLETGREYSTORE WILMINGTON</t>
        </is>
      </c>
      <c r="D557" s="10">
        <f>IFERROR(INDEX('Review Items'!$D:$D,MATCH(C557,'Review Items'!$B:$B,0)),IFERROR(INDEX('Rule Updates'!$B:$B,MATCH(C557,'Rule Updates'!$A:$A,0)),"Uncategorised"))</f>
        <v/>
      </c>
      <c r="E557" s="10">
        <f>IFERROR(INDEX('Review Items'!$E:$E,MATCH(C557,'Review Items'!$B:$B,0)),IFERROR(INDEX('Rule Updates'!$C:$C,MATCH(C557,'Rule Updates'!$A:$A,0)),"Review"))</f>
        <v/>
      </c>
      <c r="F557" s="12" t="n">
        <v>847.83</v>
      </c>
      <c r="G557" s="12" t="n">
        <v>6778.28</v>
      </c>
      <c r="H557" s="10" t="n">
        <v>1</v>
      </c>
      <c r="I557" s="10">
        <f>IF(OR(D557="Uncategorised",E557=""),"Check","")</f>
        <v/>
      </c>
    </row>
    <row r="558">
      <c r="A558" s="10" t="inlineStr">
        <is>
          <t>Amex Jun-2025</t>
        </is>
      </c>
      <c r="B558" s="11" t="n">
        <v>45803</v>
      </c>
      <c r="C558" s="10" t="inlineStr">
        <is>
          <t>THE DAIRY FARM - MANNIN LANTAU</t>
        </is>
      </c>
      <c r="D558" s="10">
        <f>IFERROR(INDEX('Review Items'!$D:$D,MATCH(C558,'Review Items'!$B:$B,0)),IFERROR(INDEX('Rule Updates'!$B:$B,MATCH(C558,'Rule Updates'!$A:$A,0)),"Uncategorised"))</f>
        <v/>
      </c>
      <c r="E558" s="10">
        <f>IFERROR(INDEX('Review Items'!$E:$E,MATCH(C558,'Review Items'!$B:$B,0)),IFERROR(INDEX('Rule Updates'!$C:$C,MATCH(C558,'Rule Updates'!$A:$A,0)),"Review"))</f>
        <v/>
      </c>
      <c r="F558" s="10" t="n"/>
      <c r="G558" s="12" t="n">
        <v>422</v>
      </c>
      <c r="H558" s="10" t="n">
        <v>1</v>
      </c>
      <c r="I558" s="10">
        <f>IF(OR(D558="Uncategorised",E558=""),"Check","")</f>
        <v/>
      </c>
    </row>
    <row r="559">
      <c r="A559" s="10" t="inlineStr">
        <is>
          <t>Amex Jun-2025</t>
        </is>
      </c>
      <c r="B559" s="11" t="n">
        <v>45804</v>
      </c>
      <c r="C559" s="10" t="inlineStr">
        <is>
          <t>NATIONAL CAR RENTAL SAN JOSE DEL CA</t>
        </is>
      </c>
      <c r="D559" s="10">
        <f>IFERROR(INDEX('Review Items'!$D:$D,MATCH(C559,'Review Items'!$B:$B,0)),IFERROR(INDEX('Rule Updates'!$B:$B,MATCH(C559,'Rule Updates'!$A:$A,0)),"Uncategorised"))</f>
        <v/>
      </c>
      <c r="E559" s="10">
        <f>IFERROR(INDEX('Review Items'!$E:$E,MATCH(C559,'Review Items'!$B:$B,0)),IFERROR(INDEX('Rule Updates'!$C:$C,MATCH(C559,'Rule Updates'!$A:$A,0)),"Review"))</f>
        <v/>
      </c>
      <c r="F559" s="12" t="n">
        <v>108460</v>
      </c>
      <c r="G559" s="12" t="n">
        <v>45214.7</v>
      </c>
      <c r="H559" s="10" t="n">
        <v>7</v>
      </c>
      <c r="I559" s="10">
        <f>IF(OR(D559="Uncategorised",E559=""),"Check","")</f>
        <v/>
      </c>
    </row>
    <row r="560">
      <c r="A560" s="10" t="inlineStr">
        <is>
          <t>Amex Jun-2025</t>
        </is>
      </c>
      <c r="B560" s="11" t="n">
        <v>45804</v>
      </c>
      <c r="C560" s="10" t="inlineStr">
        <is>
          <t>UBER TRIP HTTPS://HELP.UB</t>
        </is>
      </c>
      <c r="D560" s="10">
        <f>IFERROR(INDEX('Review Items'!$D:$D,MATCH(C560,'Review Items'!$B:$B,0)),IFERROR(INDEX('Rule Updates'!$B:$B,MATCH(C560,'Rule Updates'!$A:$A,0)),"Uncategorised"))</f>
        <v/>
      </c>
      <c r="E560" s="10">
        <f>IFERROR(INDEX('Review Items'!$E:$E,MATCH(C560,'Review Items'!$B:$B,0)),IFERROR(INDEX('Rule Updates'!$C:$C,MATCH(C560,'Rule Updates'!$A:$A,0)),"Review"))</f>
        <v/>
      </c>
      <c r="F560" s="10" t="n"/>
      <c r="G560" s="12" t="n">
        <v>5</v>
      </c>
      <c r="H560" s="10" t="n">
        <v>1</v>
      </c>
      <c r="I560" s="10">
        <f>IF(OR(D560="Uncategorised",E560=""),"Check","")</f>
        <v/>
      </c>
    </row>
    <row r="561">
      <c r="A561" s="10" t="inlineStr">
        <is>
          <t>Amex Jun-2025</t>
        </is>
      </c>
      <c r="B561" s="11" t="n">
        <v>45804</v>
      </c>
      <c r="C561" s="10" t="inlineStr">
        <is>
          <t>UBER TRIP HTTPS://HELP.UB</t>
        </is>
      </c>
      <c r="D561" s="10">
        <f>IFERROR(INDEX('Review Items'!$D:$D,MATCH(C561,'Review Items'!$B:$B,0)),IFERROR(INDEX('Rule Updates'!$B:$B,MATCH(C561,'Rule Updates'!$A:$A,0)),"Uncategorised"))</f>
        <v/>
      </c>
      <c r="E561" s="10">
        <f>IFERROR(INDEX('Review Items'!$E:$E,MATCH(C561,'Review Items'!$B:$B,0)),IFERROR(INDEX('Rule Updates'!$C:$C,MATCH(C561,'Rule Updates'!$A:$A,0)),"Review"))</f>
        <v/>
      </c>
      <c r="F561" s="12" t="n">
        <v>119.17</v>
      </c>
      <c r="G561" s="12" t="n">
        <v>952.75</v>
      </c>
      <c r="H561" s="10" t="n">
        <v>1</v>
      </c>
      <c r="I561" s="10">
        <f>IF(OR(D561="Uncategorised",E561=""),"Check","")</f>
        <v/>
      </c>
    </row>
    <row r="562">
      <c r="A562" s="10" t="inlineStr">
        <is>
          <t>Amex Jun-2025</t>
        </is>
      </c>
      <c r="B562" s="11" t="n">
        <v>45804</v>
      </c>
      <c r="C562" s="10" t="inlineStr">
        <is>
          <t>UBER TRIP HTTPS://HELP.UB</t>
        </is>
      </c>
      <c r="D562" s="10">
        <f>IFERROR(INDEX('Review Items'!$D:$D,MATCH(C562,'Review Items'!$B:$B,0)),IFERROR(INDEX('Rule Updates'!$B:$B,MATCH(C562,'Rule Updates'!$A:$A,0)),"Uncategorised"))</f>
        <v/>
      </c>
      <c r="E562" s="10">
        <f>IFERROR(INDEX('Review Items'!$E:$E,MATCH(C562,'Review Items'!$B:$B,0)),IFERROR(INDEX('Rule Updates'!$C:$C,MATCH(C562,'Rule Updates'!$A:$A,0)),"Review"))</f>
        <v/>
      </c>
      <c r="F562" s="12" t="n">
        <v>91.43000000000001</v>
      </c>
      <c r="G562" s="12" t="n">
        <v>730.97</v>
      </c>
      <c r="H562" s="10" t="n">
        <v>1</v>
      </c>
      <c r="I562" s="10">
        <f>IF(OR(D562="Uncategorised",E562=""),"Check","")</f>
        <v/>
      </c>
    </row>
    <row r="563">
      <c r="A563" s="10" t="inlineStr">
        <is>
          <t>Amex Jun-2025</t>
        </is>
      </c>
      <c r="B563" s="11" t="n">
        <v>45805</v>
      </c>
      <c r="C563" s="10" t="inlineStr">
        <is>
          <t>RESERVEPS.COM LOS ANGELES</t>
        </is>
      </c>
      <c r="D563" s="10">
        <f>IFERROR(INDEX('Review Items'!$D:$D,MATCH(C563,'Review Items'!$B:$B,0)),IFERROR(INDEX('Rule Updates'!$B:$B,MATCH(C563,'Rule Updates'!$A:$A,0)),"Uncategorised"))</f>
        <v/>
      </c>
      <c r="E563" s="10">
        <f>IFERROR(INDEX('Review Items'!$E:$E,MATCH(C563,'Review Items'!$B:$B,0)),IFERROR(INDEX('Rule Updates'!$C:$C,MATCH(C563,'Rule Updates'!$A:$A,0)),"Review"))</f>
        <v/>
      </c>
      <c r="F563" s="12" t="n">
        <v>8.800000000000001</v>
      </c>
      <c r="G563" s="12" t="n">
        <v>70.36</v>
      </c>
      <c r="H563" s="10" t="n">
        <v>2</v>
      </c>
      <c r="I563" s="10">
        <f>IF(OR(D563="Uncategorised",E563=""),"Check","")</f>
        <v/>
      </c>
    </row>
    <row r="564">
      <c r="A564" s="10" t="inlineStr">
        <is>
          <t>Amex Jun-2025</t>
        </is>
      </c>
      <c r="B564" s="11" t="n">
        <v>45806</v>
      </c>
      <c r="C564" s="10" t="inlineStr">
        <is>
          <t>RESERVEPS.COM LOS ANGELES</t>
        </is>
      </c>
      <c r="D564" s="10">
        <f>IFERROR(INDEX('Review Items'!$D:$D,MATCH(C564,'Review Items'!$B:$B,0)),IFERROR(INDEX('Rule Updates'!$B:$B,MATCH(C564,'Rule Updates'!$A:$A,0)),"Uncategorised"))</f>
        <v/>
      </c>
      <c r="E564" s="10">
        <f>IFERROR(INDEX('Review Items'!$E:$E,MATCH(C564,'Review Items'!$B:$B,0)),IFERROR(INDEX('Rule Updates'!$C:$C,MATCH(C564,'Rule Updates'!$A:$A,0)),"Review"))</f>
        <v/>
      </c>
      <c r="F564" s="12" t="n">
        <v>11.38</v>
      </c>
      <c r="G564" s="12" t="n">
        <v>90.98999999999999</v>
      </c>
      <c r="H564" s="10" t="n">
        <v>2</v>
      </c>
      <c r="I564" s="10">
        <f>IF(OR(D564="Uncategorised",E564=""),"Check","")</f>
        <v/>
      </c>
    </row>
    <row r="565">
      <c r="A565" s="10" t="inlineStr">
        <is>
          <t>Amex Jun-2025</t>
        </is>
      </c>
      <c r="B565" s="11" t="n">
        <v>45806</v>
      </c>
      <c r="C565" s="10" t="inlineStr">
        <is>
          <t>SP AMONG EQUALS CLOVELLY</t>
        </is>
      </c>
      <c r="D565" s="10">
        <f>IFERROR(INDEX('Review Items'!$D:$D,MATCH(C565,'Review Items'!$B:$B,0)),IFERROR(INDEX('Rule Updates'!$B:$B,MATCH(C565,'Rule Updates'!$A:$A,0)),"Uncategorised"))</f>
        <v/>
      </c>
      <c r="E565" s="10">
        <f>IFERROR(INDEX('Review Items'!$E:$E,MATCH(C565,'Review Items'!$B:$B,0)),IFERROR(INDEX('Rule Updates'!$C:$C,MATCH(C565,'Rule Updates'!$A:$A,0)),"Review"))</f>
        <v/>
      </c>
      <c r="F565" s="12" t="n">
        <v>476</v>
      </c>
      <c r="G565" s="12" t="n">
        <v>5163.71</v>
      </c>
      <c r="H565" s="10" t="n">
        <v>2</v>
      </c>
      <c r="I565" s="10">
        <f>IF(OR(D565="Uncategorised",E565=""),"Check","")</f>
        <v/>
      </c>
    </row>
    <row r="566">
      <c r="A566" s="10" t="inlineStr">
        <is>
          <t>Amex Jun-2025</t>
        </is>
      </c>
      <c r="B566" s="11" t="n">
        <v>45806</v>
      </c>
      <c r="C566" s="10" t="inlineStr">
        <is>
          <t>SP LOUISE JACKSON LONDON</t>
        </is>
      </c>
      <c r="D566" s="10">
        <f>IFERROR(INDEX('Review Items'!$D:$D,MATCH(C566,'Review Items'!$B:$B,0)),IFERROR(INDEX('Rule Updates'!$B:$B,MATCH(C566,'Rule Updates'!$A:$A,0)),"Uncategorised"))</f>
        <v/>
      </c>
      <c r="E566" s="10">
        <f>IFERROR(INDEX('Review Items'!$E:$E,MATCH(C566,'Review Items'!$B:$B,0)),IFERROR(INDEX('Rule Updates'!$C:$C,MATCH(C566,'Rule Updates'!$A:$A,0)),"Review"))</f>
        <v/>
      </c>
      <c r="F566" s="12" t="n">
        <v>808</v>
      </c>
      <c r="G566" s="12" t="n">
        <v>8735.33</v>
      </c>
      <c r="H566" s="10" t="n">
        <v>2</v>
      </c>
      <c r="I566" s="10">
        <f>IF(OR(D566="Uncategorised",E566=""),"Check","")</f>
        <v/>
      </c>
    </row>
    <row r="567">
      <c r="A567" s="10" t="inlineStr">
        <is>
          <t>Amex Jun-2025</t>
        </is>
      </c>
      <c r="B567" s="11" t="n">
        <v>45806</v>
      </c>
      <c r="C567" s="10" t="inlineStr">
        <is>
          <t>SP SUMMERILLBISHOP LONDON</t>
        </is>
      </c>
      <c r="D567" s="10">
        <f>IFERROR(INDEX('Review Items'!$D:$D,MATCH(C567,'Review Items'!$B:$B,0)),IFERROR(INDEX('Rule Updates'!$B:$B,MATCH(C567,'Rule Updates'!$A:$A,0)),"Uncategorised"))</f>
        <v/>
      </c>
      <c r="E567" s="10">
        <f>IFERROR(INDEX('Review Items'!$E:$E,MATCH(C567,'Review Items'!$B:$B,0)),IFERROR(INDEX('Rule Updates'!$C:$C,MATCH(C567,'Rule Updates'!$A:$A,0)),"Review"))</f>
        <v/>
      </c>
      <c r="F567" s="10" t="n"/>
      <c r="G567" s="12" t="n">
        <v>7612</v>
      </c>
      <c r="H567" s="10" t="n">
        <v>2</v>
      </c>
      <c r="I567" s="10">
        <f>IF(OR(D567="Uncategorised",E567=""),"Check","")</f>
        <v/>
      </c>
    </row>
    <row r="568">
      <c r="A568" s="10" t="inlineStr">
        <is>
          <t>Amex Jun-2025</t>
        </is>
      </c>
      <c r="B568" s="11" t="n">
        <v>45807</v>
      </c>
      <c r="C568" s="10" t="inlineStr">
        <is>
          <t>EAST CAPE CO PESOS LOS CABOS</t>
        </is>
      </c>
      <c r="D568" s="10">
        <f>IFERROR(INDEX('Review Items'!$D:$D,MATCH(C568,'Review Items'!$B:$B,0)),IFERROR(INDEX('Rule Updates'!$B:$B,MATCH(C568,'Rule Updates'!$A:$A,0)),"Uncategorised"))</f>
        <v/>
      </c>
      <c r="E568" s="10">
        <f>IFERROR(INDEX('Review Items'!$E:$E,MATCH(C568,'Review Items'!$B:$B,0)),IFERROR(INDEX('Rule Updates'!$C:$C,MATCH(C568,'Rule Updates'!$A:$A,0)),"Review"))</f>
        <v/>
      </c>
      <c r="F568" s="12" t="n">
        <v>5900.92</v>
      </c>
      <c r="G568" s="12" t="n">
        <v>2444.5</v>
      </c>
      <c r="H568" s="10" t="n">
        <v>2</v>
      </c>
      <c r="I568" s="10">
        <f>IF(OR(D568="Uncategorised",E568=""),"Check","")</f>
        <v/>
      </c>
    </row>
    <row r="569">
      <c r="A569" s="10" t="inlineStr">
        <is>
          <t>Amex Jun-2025</t>
        </is>
      </c>
      <c r="B569" s="11" t="n">
        <v>45808</v>
      </c>
      <c r="C569" s="10" t="inlineStr">
        <is>
          <t>RIMOWA - ECOMMERCE 832 DALLAS</t>
        </is>
      </c>
      <c r="D569" s="10">
        <f>IFERROR(INDEX('Review Items'!$D:$D,MATCH(C569,'Review Items'!$B:$B,0)),IFERROR(INDEX('Rule Updates'!$B:$B,MATCH(C569,'Rule Updates'!$A:$A,0)),"Uncategorised"))</f>
        <v/>
      </c>
      <c r="E569" s="10">
        <f>IFERROR(INDEX('Review Items'!$E:$E,MATCH(C569,'Review Items'!$B:$B,0)),IFERROR(INDEX('Rule Updates'!$C:$C,MATCH(C569,'Rule Updates'!$A:$A,0)),"Review"))</f>
        <v/>
      </c>
      <c r="F569" s="12" t="n">
        <v>1626.38</v>
      </c>
      <c r="G569" s="12" t="n">
        <v>13014.12</v>
      </c>
      <c r="H569" s="10" t="n">
        <v>2</v>
      </c>
      <c r="I569" s="10">
        <f>IF(OR(D569="Uncategorised",E569=""),"Check","")</f>
        <v/>
      </c>
    </row>
    <row r="570">
      <c r="A570" s="10" t="inlineStr">
        <is>
          <t>Amex Jun-2025</t>
        </is>
      </c>
      <c r="B570" s="11" t="n">
        <v>45808</v>
      </c>
      <c r="C570" s="10" t="inlineStr">
        <is>
          <t>SP INSTANT SWIM GUILDFORD</t>
        </is>
      </c>
      <c r="D570" s="10">
        <f>IFERROR(INDEX('Review Items'!$D:$D,MATCH(C570,'Review Items'!$B:$B,0)),IFERROR(INDEX('Rule Updates'!$B:$B,MATCH(C570,'Rule Updates'!$A:$A,0)),"Uncategorised"))</f>
        <v/>
      </c>
      <c r="E570" s="10">
        <f>IFERROR(INDEX('Review Items'!$E:$E,MATCH(C570,'Review Items'!$B:$B,0)),IFERROR(INDEX('Rule Updates'!$C:$C,MATCH(C570,'Rule Updates'!$A:$A,0)),"Review"))</f>
        <v/>
      </c>
      <c r="F570" s="12" t="n">
        <v>94</v>
      </c>
      <c r="G570" s="12" t="n">
        <v>1015.31</v>
      </c>
      <c r="H570" s="10" t="n">
        <v>2</v>
      </c>
      <c r="I570" s="10">
        <f>IF(OR(D570="Uncategorised",E570=""),"Check","")</f>
        <v/>
      </c>
    </row>
    <row r="571">
      <c r="A571" s="10" t="inlineStr">
        <is>
          <t>Amex Jun-2025</t>
        </is>
      </c>
      <c r="B571" s="11" t="n">
        <v>45809</v>
      </c>
      <c r="C571" s="10" t="inlineStr">
        <is>
          <t>AMAZON PRIME*N60L36LH1 AMZN.COM/BILL</t>
        </is>
      </c>
      <c r="D571" s="10">
        <f>IFERROR(INDEX('Review Items'!$D:$D,MATCH(C571,'Review Items'!$B:$B,0)),IFERROR(INDEX('Rule Updates'!$B:$B,MATCH(C571,'Rule Updates'!$A:$A,0)),"Uncategorised"))</f>
        <v/>
      </c>
      <c r="E571" s="10">
        <f>IFERROR(INDEX('Review Items'!$E:$E,MATCH(C571,'Review Items'!$B:$B,0)),IFERROR(INDEX('Rule Updates'!$C:$C,MATCH(C571,'Rule Updates'!$A:$A,0)),"Review"))</f>
        <v/>
      </c>
      <c r="F571" s="12" t="n">
        <v>14.99</v>
      </c>
      <c r="G571" s="12" t="n">
        <v>119.95</v>
      </c>
      <c r="H571" s="10" t="n">
        <v>2</v>
      </c>
      <c r="I571" s="10">
        <f>IF(OR(D571="Uncategorised",E571=""),"Check","")</f>
        <v/>
      </c>
    </row>
    <row r="572">
      <c r="A572" s="10" t="inlineStr">
        <is>
          <t>Amex Jun-2025</t>
        </is>
      </c>
      <c r="B572" s="11" t="n">
        <v>45811</v>
      </c>
      <c r="C572" s="10" t="inlineStr">
        <is>
          <t>AMAZON PRIME*ZM62Y7I15 AMZN.CO.UK/PM</t>
        </is>
      </c>
      <c r="D572" s="10">
        <f>IFERROR(INDEX('Review Items'!$D:$D,MATCH(C572,'Review Items'!$B:$B,0)),IFERROR(INDEX('Rule Updates'!$B:$B,MATCH(C572,'Rule Updates'!$A:$A,0)),"Uncategorised"))</f>
        <v/>
      </c>
      <c r="E572" s="10">
        <f>IFERROR(INDEX('Review Items'!$E:$E,MATCH(C572,'Review Items'!$B:$B,0)),IFERROR(INDEX('Rule Updates'!$C:$C,MATCH(C572,'Rule Updates'!$A:$A,0)),"Review"))</f>
        <v/>
      </c>
      <c r="F572" s="12" t="n">
        <v>8.99</v>
      </c>
      <c r="G572" s="12" t="n">
        <v>97.53</v>
      </c>
      <c r="H572" s="10" t="n">
        <v>2</v>
      </c>
      <c r="I572" s="10">
        <f>IF(OR(D572="Uncategorised",E572=""),"Check","")</f>
        <v/>
      </c>
    </row>
    <row r="573">
      <c r="A573" s="10" t="inlineStr">
        <is>
          <t>Amex Jun-2025</t>
        </is>
      </c>
      <c r="B573" s="11" t="n">
        <v>45811</v>
      </c>
      <c r="C573" s="10" t="inlineStr">
        <is>
          <t>CAMPOS POLANCO MIGUEL HIDALG</t>
        </is>
      </c>
      <c r="D573" s="10">
        <f>IFERROR(INDEX('Review Items'!$D:$D,MATCH(C573,'Review Items'!$B:$B,0)),IFERROR(INDEX('Rule Updates'!$B:$B,MATCH(C573,'Rule Updates'!$A:$A,0)),"Uncategorised"))</f>
        <v/>
      </c>
      <c r="E573" s="10">
        <f>IFERROR(INDEX('Review Items'!$E:$E,MATCH(C573,'Review Items'!$B:$B,0)),IFERROR(INDEX('Rule Updates'!$C:$C,MATCH(C573,'Rule Updates'!$A:$A,0)),"Review"))</f>
        <v/>
      </c>
      <c r="F573" s="12" t="n">
        <v>44766.55</v>
      </c>
      <c r="G573" s="12" t="n">
        <v>18769.87</v>
      </c>
      <c r="H573" s="10" t="n">
        <v>7</v>
      </c>
      <c r="I573" s="10">
        <f>IF(OR(D573="Uncategorised",E573=""),"Check","")</f>
        <v/>
      </c>
    </row>
    <row r="574">
      <c r="A574" s="10" t="inlineStr">
        <is>
          <t>Amex Jun-2025</t>
        </is>
      </c>
      <c r="B574" s="11" t="n">
        <v>45811</v>
      </c>
      <c r="C574" s="10" t="inlineStr">
        <is>
          <t>RESERVEPS.COM LOS ANGELES</t>
        </is>
      </c>
      <c r="D574" s="10">
        <f>IFERROR(INDEX('Review Items'!$D:$D,MATCH(C574,'Review Items'!$B:$B,0)),IFERROR(INDEX('Rule Updates'!$B:$B,MATCH(C574,'Rule Updates'!$A:$A,0)),"Uncategorised"))</f>
        <v/>
      </c>
      <c r="E574" s="10">
        <f>IFERROR(INDEX('Review Items'!$E:$E,MATCH(C574,'Review Items'!$B:$B,0)),IFERROR(INDEX('Rule Updates'!$C:$C,MATCH(C574,'Rule Updates'!$A:$A,0)),"Review"))</f>
        <v/>
      </c>
      <c r="F574" s="12" t="n">
        <v>4850</v>
      </c>
      <c r="G574" s="12" t="n">
        <v>38809.21</v>
      </c>
      <c r="H574" s="10" t="n">
        <v>2</v>
      </c>
      <c r="I574" s="10">
        <f>IF(OR(D574="Uncategorised",E574=""),"Check","")</f>
        <v/>
      </c>
    </row>
    <row r="575">
      <c r="A575" s="10" t="inlineStr">
        <is>
          <t>Amex Jun-2025</t>
        </is>
      </c>
      <c r="B575" s="11" t="n">
        <v>45812</v>
      </c>
      <c r="C575" s="10" t="inlineStr">
        <is>
          <t>EAST CAPE CO PESOS LOS CABOS</t>
        </is>
      </c>
      <c r="D575" s="10">
        <f>IFERROR(INDEX('Review Items'!$D:$D,MATCH(C575,'Review Items'!$B:$B,0)),IFERROR(INDEX('Rule Updates'!$B:$B,MATCH(C575,'Rule Updates'!$A:$A,0)),"Uncategorised"))</f>
        <v/>
      </c>
      <c r="E575" s="10">
        <f>IFERROR(INDEX('Review Items'!$E:$E,MATCH(C575,'Review Items'!$B:$B,0)),IFERROR(INDEX('Rule Updates'!$C:$C,MATCH(C575,'Rule Updates'!$A:$A,0)),"Review"))</f>
        <v/>
      </c>
      <c r="F575" s="12" t="n">
        <v>11549.01</v>
      </c>
      <c r="G575" s="12" t="n">
        <v>4813.45</v>
      </c>
      <c r="H575" s="10" t="n">
        <v>3</v>
      </c>
      <c r="I575" s="10">
        <f>IF(OR(D575="Uncategorised",E575=""),"Check","")</f>
        <v/>
      </c>
    </row>
    <row r="576">
      <c r="A576" s="10" t="inlineStr">
        <is>
          <t>Amex Jun-2025</t>
        </is>
      </c>
      <c r="B576" s="11" t="n">
        <v>45812</v>
      </c>
      <c r="C576" s="10" t="inlineStr">
        <is>
          <t>NET-A-PORTER GROUP LTD LONDON</t>
        </is>
      </c>
      <c r="D576" s="10">
        <f>IFERROR(INDEX('Review Items'!$D:$D,MATCH(C576,'Review Items'!$B:$B,0)),IFERROR(INDEX('Rule Updates'!$B:$B,MATCH(C576,'Rule Updates'!$A:$A,0)),"Uncategorised"))</f>
        <v/>
      </c>
      <c r="E576" s="10">
        <f>IFERROR(INDEX('Review Items'!$E:$E,MATCH(C576,'Review Items'!$B:$B,0)),IFERROR(INDEX('Rule Updates'!$C:$C,MATCH(C576,'Rule Updates'!$A:$A,0)),"Review"))</f>
        <v/>
      </c>
      <c r="F576" s="12" t="n">
        <v>1471</v>
      </c>
      <c r="G576" s="12" t="n">
        <v>15974.15</v>
      </c>
      <c r="H576" s="10" t="n">
        <v>3</v>
      </c>
      <c r="I576" s="10">
        <f>IF(OR(D576="Uncategorised",E576=""),"Check","")</f>
        <v/>
      </c>
    </row>
    <row r="577">
      <c r="A577" s="10" t="inlineStr">
        <is>
          <t>Amex Jun-2025</t>
        </is>
      </c>
      <c r="B577" s="11" t="n">
        <v>45812</v>
      </c>
      <c r="C577" s="10" t="inlineStr">
        <is>
          <t>SP IPPODOTEAGLOBAL KYOUTOSHINAKAGY</t>
        </is>
      </c>
      <c r="D577" s="10">
        <f>IFERROR(INDEX('Review Items'!$D:$D,MATCH(C577,'Review Items'!$B:$B,0)),IFERROR(INDEX('Rule Updates'!$B:$B,MATCH(C577,'Rule Updates'!$A:$A,0)),"Uncategorised"))</f>
        <v/>
      </c>
      <c r="E577" s="10">
        <f>IFERROR(INDEX('Review Items'!$E:$E,MATCH(C577,'Review Items'!$B:$B,0)),IFERROR(INDEX('Rule Updates'!$C:$C,MATCH(C577,'Rule Updates'!$A:$A,0)),"Review"))</f>
        <v/>
      </c>
      <c r="F577" s="12" t="n">
        <v>9310</v>
      </c>
      <c r="G577" s="12" t="n">
        <v>522.47</v>
      </c>
      <c r="H577" s="10" t="n">
        <v>3</v>
      </c>
      <c r="I577" s="10">
        <f>IF(OR(D577="Uncategorised",E577=""),"Check","")</f>
        <v/>
      </c>
    </row>
    <row r="578">
      <c r="A578" s="10" t="inlineStr">
        <is>
          <t>Amex Jun-2025</t>
        </is>
      </c>
      <c r="B578" s="11" t="n">
        <v>45813</v>
      </c>
      <c r="C578" s="10" t="inlineStr">
        <is>
          <t>BLOOMINGDALES CENTURY LOS ANGELES</t>
        </is>
      </c>
      <c r="D578" s="10">
        <f>IFERROR(INDEX('Review Items'!$D:$D,MATCH(C578,'Review Items'!$B:$B,0)),IFERROR(INDEX('Rule Updates'!$B:$B,MATCH(C578,'Rule Updates'!$A:$A,0)),"Uncategorised"))</f>
        <v/>
      </c>
      <c r="E578" s="10">
        <f>IFERROR(INDEX('Review Items'!$E:$E,MATCH(C578,'Review Items'!$B:$B,0)),IFERROR(INDEX('Rule Updates'!$C:$C,MATCH(C578,'Rule Updates'!$A:$A,0)),"Review"))</f>
        <v/>
      </c>
      <c r="F578" s="12" t="n">
        <v>212.37</v>
      </c>
      <c r="G578" s="12" t="n">
        <v>1699.95</v>
      </c>
      <c r="H578" s="10" t="n">
        <v>3</v>
      </c>
      <c r="I578" s="10">
        <f>IF(OR(D578="Uncategorised",E578=""),"Check","")</f>
        <v/>
      </c>
    </row>
    <row r="579">
      <c r="A579" s="10" t="inlineStr">
        <is>
          <t>Amex Jun-2025</t>
        </is>
      </c>
      <c r="B579" s="11" t="n">
        <v>45813</v>
      </c>
      <c r="C579" s="10" t="inlineStr">
        <is>
          <t>PAYMENT RECEIVED THROUGH AUTOPAY</t>
        </is>
      </c>
      <c r="D579" s="10">
        <f>IFERROR(INDEX('Review Items'!$D:$D,MATCH(C579,'Review Items'!$B:$B,0)),IFERROR(INDEX('Rule Updates'!$B:$B,MATCH(C579,'Rule Updates'!$A:$A,0)),"Uncategorised"))</f>
        <v/>
      </c>
      <c r="E579" s="10">
        <f>IFERROR(INDEX('Review Items'!$E:$E,MATCH(C579,'Review Items'!$B:$B,0)),IFERROR(INDEX('Rule Updates'!$C:$C,MATCH(C579,'Rule Updates'!$A:$A,0)),"Review"))</f>
        <v/>
      </c>
      <c r="F579" s="10" t="n"/>
      <c r="G579" s="12" t="n">
        <v>-467823.77</v>
      </c>
      <c r="H579" s="10" t="n">
        <v>1</v>
      </c>
      <c r="I579" s="10">
        <f>IF(OR(D579="Uncategorised",E579=""),"Check","")</f>
        <v/>
      </c>
    </row>
    <row r="580">
      <c r="A580" s="10" t="inlineStr">
        <is>
          <t>Amex Jun-2025</t>
        </is>
      </c>
      <c r="B580" s="11" t="n">
        <v>45813</v>
      </c>
      <c r="C580" s="10" t="inlineStr">
        <is>
          <t>SP VUORI CLOTHING ENCINITAS</t>
        </is>
      </c>
      <c r="D580" s="10">
        <f>IFERROR(INDEX('Review Items'!$D:$D,MATCH(C580,'Review Items'!$B:$B,0)),IFERROR(INDEX('Rule Updates'!$B:$B,MATCH(C580,'Rule Updates'!$A:$A,0)),"Uncategorised"))</f>
        <v/>
      </c>
      <c r="E580" s="10">
        <f>IFERROR(INDEX('Review Items'!$E:$E,MATCH(C580,'Review Items'!$B:$B,0)),IFERROR(INDEX('Rule Updates'!$C:$C,MATCH(C580,'Rule Updates'!$A:$A,0)),"Review"))</f>
        <v/>
      </c>
      <c r="F580" s="12" t="n">
        <v>298.52</v>
      </c>
      <c r="G580" s="12" t="n">
        <v>2389.64</v>
      </c>
      <c r="H580" s="10" t="n">
        <v>3</v>
      </c>
      <c r="I580" s="10">
        <f>IF(OR(D580="Uncategorised",E580=""),"Check","")</f>
        <v/>
      </c>
    </row>
    <row r="581">
      <c r="A581" s="10" t="inlineStr">
        <is>
          <t>Amex Jun-2025</t>
        </is>
      </c>
      <c r="B581" s="11" t="n">
        <v>45813</v>
      </c>
      <c r="C581" s="10" t="inlineStr">
        <is>
          <t>SUITSUPPLYPOS_LACENTURY WILMINGTON</t>
        </is>
      </c>
      <c r="D581" s="10">
        <f>IFERROR(INDEX('Review Items'!$D:$D,MATCH(C581,'Review Items'!$B:$B,0)),IFERROR(INDEX('Rule Updates'!$B:$B,MATCH(C581,'Rule Updates'!$A:$A,0)),"Uncategorised"))</f>
        <v/>
      </c>
      <c r="E581" s="10">
        <f>IFERROR(INDEX('Review Items'!$E:$E,MATCH(C581,'Review Items'!$B:$B,0)),IFERROR(INDEX('Rule Updates'!$C:$C,MATCH(C581,'Rule Updates'!$A:$A,0)),"Review"))</f>
        <v/>
      </c>
      <c r="F581" s="12" t="n">
        <v>959.23</v>
      </c>
      <c r="G581" s="12" t="n">
        <v>7678.3</v>
      </c>
      <c r="H581" s="10" t="n">
        <v>3</v>
      </c>
      <c r="I581" s="10">
        <f>IF(OR(D581="Uncategorised",E581=""),"Check","")</f>
        <v/>
      </c>
    </row>
    <row r="582">
      <c r="A582" s="10" t="inlineStr">
        <is>
          <t>Amex Jun-2025</t>
        </is>
      </c>
      <c r="B582" s="11" t="n">
        <v>45813</v>
      </c>
      <c r="C582" s="10" t="inlineStr">
        <is>
          <t>SUITSUPPLYPOS_LACENTURY WILMINGTON</t>
        </is>
      </c>
      <c r="D582" s="10">
        <f>IFERROR(INDEX('Review Items'!$D:$D,MATCH(C582,'Review Items'!$B:$B,0)),IFERROR(INDEX('Rule Updates'!$B:$B,MATCH(C582,'Rule Updates'!$A:$A,0)),"Uncategorised"))</f>
        <v/>
      </c>
      <c r="E582" s="10">
        <f>IFERROR(INDEX('Review Items'!$E:$E,MATCH(C582,'Review Items'!$B:$B,0)),IFERROR(INDEX('Rule Updates'!$C:$C,MATCH(C582,'Rule Updates'!$A:$A,0)),"Review"))</f>
        <v/>
      </c>
      <c r="F582" s="12" t="n">
        <v>262.32</v>
      </c>
      <c r="G582" s="12" t="n">
        <v>2099.78</v>
      </c>
      <c r="H582" s="10" t="n">
        <v>3</v>
      </c>
      <c r="I582" s="10">
        <f>IF(OR(D582="Uncategorised",E582=""),"Check","")</f>
        <v/>
      </c>
    </row>
    <row r="583">
      <c r="A583" s="10" t="inlineStr">
        <is>
          <t>Amex Jun-2025</t>
        </is>
      </c>
      <c r="B583" s="11" t="n">
        <v>45814</v>
      </c>
      <c r="C583" s="10" t="inlineStr">
        <is>
          <t>AMAZON.CO.UK*UW4HA5C25 353-12477661</t>
        </is>
      </c>
      <c r="D583" s="10">
        <f>IFERROR(INDEX('Review Items'!$D:$D,MATCH(C583,'Review Items'!$B:$B,0)),IFERROR(INDEX('Rule Updates'!$B:$B,MATCH(C583,'Rule Updates'!$A:$A,0)),"Uncategorised"))</f>
        <v/>
      </c>
      <c r="E583" s="10">
        <f>IFERROR(INDEX('Review Items'!$E:$E,MATCH(C583,'Review Items'!$B:$B,0)),IFERROR(INDEX('Rule Updates'!$C:$C,MATCH(C583,'Rule Updates'!$A:$A,0)),"Review"))</f>
        <v/>
      </c>
      <c r="F583" s="12" t="n">
        <v>48</v>
      </c>
      <c r="G583" s="12" t="n">
        <v>5.2</v>
      </c>
      <c r="H583" s="10" t="n">
        <v>3</v>
      </c>
      <c r="I583" s="10">
        <f>IF(OR(D583="Uncategorised",E583=""),"Check","")</f>
        <v/>
      </c>
    </row>
    <row r="584">
      <c r="A584" s="10" t="inlineStr">
        <is>
          <t>Amex Jun-2025</t>
        </is>
      </c>
      <c r="B584" s="11" t="n">
        <v>45814</v>
      </c>
      <c r="C584" s="10" t="inlineStr">
        <is>
          <t>RESERVEPS.COM LOS ANGELES</t>
        </is>
      </c>
      <c r="D584" s="10">
        <f>IFERROR(INDEX('Review Items'!$D:$D,MATCH(C584,'Review Items'!$B:$B,0)),IFERROR(INDEX('Rule Updates'!$B:$B,MATCH(C584,'Rule Updates'!$A:$A,0)),"Uncategorised"))</f>
        <v/>
      </c>
      <c r="E584" s="10">
        <f>IFERROR(INDEX('Review Items'!$E:$E,MATCH(C584,'Review Items'!$B:$B,0)),IFERROR(INDEX('Rule Updates'!$C:$C,MATCH(C584,'Rule Updates'!$A:$A,0)),"Review"))</f>
        <v/>
      </c>
      <c r="F584" s="12" t="n">
        <v>30</v>
      </c>
      <c r="G584" s="12" t="n">
        <v>240.13</v>
      </c>
      <c r="H584" s="10" t="n">
        <v>3</v>
      </c>
      <c r="I584" s="10">
        <f>IF(OR(D584="Uncategorised",E584=""),"Check","")</f>
        <v/>
      </c>
    </row>
    <row r="585">
      <c r="A585" s="10" t="inlineStr">
        <is>
          <t>Amex Jun-2025</t>
        </is>
      </c>
      <c r="B585" s="11" t="n">
        <v>45814</v>
      </c>
      <c r="C585" s="10" t="inlineStr">
        <is>
          <t>SP CHALKSTREAM ROMSEY</t>
        </is>
      </c>
      <c r="D585" s="10">
        <f>IFERROR(INDEX('Review Items'!$D:$D,MATCH(C585,'Review Items'!$B:$B,0)),IFERROR(INDEX('Rule Updates'!$B:$B,MATCH(C585,'Rule Updates'!$A:$A,0)),"Uncategorised"))</f>
        <v/>
      </c>
      <c r="E585" s="10">
        <f>IFERROR(INDEX('Review Items'!$E:$E,MATCH(C585,'Review Items'!$B:$B,0)),IFERROR(INDEX('Rule Updates'!$C:$C,MATCH(C585,'Rule Updates'!$A:$A,0)),"Review"))</f>
        <v/>
      </c>
      <c r="F585" s="12" t="n">
        <v>91.31</v>
      </c>
      <c r="G585" s="12" t="n">
        <v>995.29</v>
      </c>
      <c r="H585" s="10" t="n">
        <v>3</v>
      </c>
      <c r="I585" s="10">
        <f>IF(OR(D585="Uncategorised",E585=""),"Check","")</f>
        <v/>
      </c>
    </row>
    <row r="586">
      <c r="A586" s="10" t="inlineStr">
        <is>
          <t>Amex Jun-2025</t>
        </is>
      </c>
      <c r="B586" s="11" t="n">
        <v>45815</v>
      </c>
      <c r="C586" s="10" t="inlineStr">
        <is>
          <t>LS UPSTAIRS AT LANDRAC BATH</t>
        </is>
      </c>
      <c r="D586" s="10">
        <f>IFERROR(INDEX('Review Items'!$D:$D,MATCH(C586,'Review Items'!$B:$B,0)),IFERROR(INDEX('Rule Updates'!$B:$B,MATCH(C586,'Rule Updates'!$A:$A,0)),"Uncategorised"))</f>
        <v/>
      </c>
      <c r="E586" s="10">
        <f>IFERROR(INDEX('Review Items'!$E:$E,MATCH(C586,'Review Items'!$B:$B,0)),IFERROR(INDEX('Rule Updates'!$C:$C,MATCH(C586,'Rule Updates'!$A:$A,0)),"Review"))</f>
        <v/>
      </c>
      <c r="F586" s="12" t="n">
        <v>255.25</v>
      </c>
      <c r="G586" s="12" t="n">
        <v>2771.87</v>
      </c>
      <c r="H586" s="10" t="n">
        <v>3</v>
      </c>
      <c r="I586" s="10">
        <f>IF(OR(D586="Uncategorised",E586=""),"Check","")</f>
        <v/>
      </c>
    </row>
    <row r="587">
      <c r="A587" s="10" t="inlineStr">
        <is>
          <t>Amex Jun-2025</t>
        </is>
      </c>
      <c r="B587" s="11" t="n">
        <v>45815</v>
      </c>
      <c r="C587" s="10" t="inlineStr">
        <is>
          <t>MOBILE NEWT SOMERSET</t>
        </is>
      </c>
      <c r="D587" s="10">
        <f>IFERROR(INDEX('Review Items'!$D:$D,MATCH(C587,'Review Items'!$B:$B,0)),IFERROR(INDEX('Rule Updates'!$B:$B,MATCH(C587,'Rule Updates'!$A:$A,0)),"Uncategorised"))</f>
        <v/>
      </c>
      <c r="E587" s="10">
        <f>IFERROR(INDEX('Review Items'!$E:$E,MATCH(C587,'Review Items'!$B:$B,0)),IFERROR(INDEX('Rule Updates'!$C:$C,MATCH(C587,'Rule Updates'!$A:$A,0)),"Review"))</f>
        <v/>
      </c>
      <c r="F587" s="12" t="n">
        <v>79.75</v>
      </c>
      <c r="G587" s="12" t="n">
        <v>866.0599999999999</v>
      </c>
      <c r="H587" s="10" t="n">
        <v>3</v>
      </c>
      <c r="I587" s="10">
        <f>IF(OR(D587="Uncategorised",E587=""),"Check","")</f>
        <v/>
      </c>
    </row>
    <row r="588">
      <c r="A588" s="10" t="inlineStr">
        <is>
          <t>Amex Jun-2025</t>
        </is>
      </c>
      <c r="B588" s="11" t="n">
        <v>45815</v>
      </c>
      <c r="C588" s="10" t="inlineStr">
        <is>
          <t>NET-A-PORTER GROUP LTD LONDON</t>
        </is>
      </c>
      <c r="D588" s="10">
        <f>IFERROR(INDEX('Review Items'!$D:$D,MATCH(C588,'Review Items'!$B:$B,0)),IFERROR(INDEX('Rule Updates'!$B:$B,MATCH(C588,'Rule Updates'!$A:$A,0)),"Uncategorised"))</f>
        <v/>
      </c>
      <c r="E588" s="10">
        <f>IFERROR(INDEX('Review Items'!$E:$E,MATCH(C588,'Review Items'!$B:$B,0)),IFERROR(INDEX('Rule Updates'!$C:$C,MATCH(C588,'Rule Updates'!$A:$A,0)),"Review"))</f>
        <v/>
      </c>
      <c r="F588" s="12" t="n">
        <v>1265</v>
      </c>
      <c r="G588" s="12" t="n">
        <v>13757.74</v>
      </c>
      <c r="H588" s="10" t="n">
        <v>3</v>
      </c>
      <c r="I588" s="10">
        <f>IF(OR(D588="Uncategorised",E588=""),"Check","")</f>
        <v/>
      </c>
    </row>
    <row r="589">
      <c r="A589" s="10" t="inlineStr">
        <is>
          <t>Amex Jun-2025</t>
        </is>
      </c>
      <c r="B589" s="11" t="n">
        <v>45816</v>
      </c>
      <c r="C589" s="10" t="inlineStr">
        <is>
          <t>AMATHUS (Bath) Bath</t>
        </is>
      </c>
      <c r="D589" s="10">
        <f>IFERROR(INDEX('Review Items'!$D:$D,MATCH(C589,'Review Items'!$B:$B,0)),IFERROR(INDEX('Rule Updates'!$B:$B,MATCH(C589,'Rule Updates'!$A:$A,0)),"Uncategorised"))</f>
        <v/>
      </c>
      <c r="E589" s="10">
        <f>IFERROR(INDEX('Review Items'!$E:$E,MATCH(C589,'Review Items'!$B:$B,0)),IFERROR(INDEX('Rule Updates'!$C:$C,MATCH(C589,'Rule Updates'!$A:$A,0)),"Review"))</f>
        <v/>
      </c>
      <c r="F589" s="12" t="n">
        <v>28.5</v>
      </c>
      <c r="G589" s="12" t="n">
        <v>309.52</v>
      </c>
      <c r="H589" s="10" t="n">
        <v>3</v>
      </c>
      <c r="I589" s="10">
        <f>IF(OR(D589="Uncategorised",E589=""),"Check","")</f>
        <v/>
      </c>
    </row>
    <row r="590">
      <c r="A590" s="10" t="inlineStr">
        <is>
          <t>Amex Jun-2025</t>
        </is>
      </c>
      <c r="B590" s="11" t="n">
        <v>45816</v>
      </c>
      <c r="C590" s="10" t="inlineStr">
        <is>
          <t>CHEQUERS BATH</t>
        </is>
      </c>
      <c r="D590" s="10">
        <f>IFERROR(INDEX('Review Items'!$D:$D,MATCH(C590,'Review Items'!$B:$B,0)),IFERROR(INDEX('Rule Updates'!$B:$B,MATCH(C590,'Rule Updates'!$A:$A,0)),"Uncategorised"))</f>
        <v/>
      </c>
      <c r="E590" s="10">
        <f>IFERROR(INDEX('Review Items'!$E:$E,MATCH(C590,'Review Items'!$B:$B,0)),IFERROR(INDEX('Rule Updates'!$C:$C,MATCH(C590,'Rule Updates'!$A:$A,0)),"Review"))</f>
        <v/>
      </c>
      <c r="F590" s="12" t="n">
        <v>20</v>
      </c>
      <c r="G590" s="12" t="n">
        <v>217.15</v>
      </c>
      <c r="H590" s="10" t="n">
        <v>3</v>
      </c>
      <c r="I590" s="10">
        <f>IF(OR(D590="Uncategorised",E590=""),"Check","")</f>
        <v/>
      </c>
    </row>
    <row r="591">
      <c r="A591" s="10" t="inlineStr">
        <is>
          <t>Amex Jun-2025</t>
        </is>
      </c>
      <c r="B591" s="11" t="n">
        <v>45816</v>
      </c>
      <c r="C591" s="10" t="inlineStr">
        <is>
          <t>LANDRACE BAKERY Bathwick</t>
        </is>
      </c>
      <c r="D591" s="10">
        <f>IFERROR(INDEX('Review Items'!$D:$D,MATCH(C591,'Review Items'!$B:$B,0)),IFERROR(INDEX('Rule Updates'!$B:$B,MATCH(C591,'Rule Updates'!$A:$A,0)),"Uncategorised"))</f>
        <v/>
      </c>
      <c r="E591" s="10">
        <f>IFERROR(INDEX('Review Items'!$E:$E,MATCH(C591,'Review Items'!$B:$B,0)),IFERROR(INDEX('Rule Updates'!$C:$C,MATCH(C591,'Rule Updates'!$A:$A,0)),"Review"))</f>
        <v/>
      </c>
      <c r="F591" s="12" t="n">
        <v>32.42</v>
      </c>
      <c r="G591" s="12" t="n">
        <v>352.02</v>
      </c>
      <c r="H591" s="10" t="n">
        <v>3</v>
      </c>
      <c r="I591" s="10">
        <f>IF(OR(D591="Uncategorised",E591=""),"Check","")</f>
        <v/>
      </c>
    </row>
    <row r="592">
      <c r="A592" s="10" t="inlineStr">
        <is>
          <t>Amex Jun-2025</t>
        </is>
      </c>
      <c r="B592" s="11" t="n">
        <v>45816</v>
      </c>
      <c r="C592" s="10" t="inlineStr">
        <is>
          <t>Mr B's Emporium Bath</t>
        </is>
      </c>
      <c r="D592" s="10">
        <f>IFERROR(INDEX('Review Items'!$D:$D,MATCH(C592,'Review Items'!$B:$B,0)),IFERROR(INDEX('Rule Updates'!$B:$B,MATCH(C592,'Rule Updates'!$A:$A,0)),"Uncategorised"))</f>
        <v/>
      </c>
      <c r="E592" s="10">
        <f>IFERROR(INDEX('Review Items'!$E:$E,MATCH(C592,'Review Items'!$B:$B,0)),IFERROR(INDEX('Rule Updates'!$C:$C,MATCH(C592,'Rule Updates'!$A:$A,0)),"Review"))</f>
        <v/>
      </c>
      <c r="F592" s="12" t="n">
        <v>20.98</v>
      </c>
      <c r="G592" s="12" t="n">
        <v>227.79</v>
      </c>
      <c r="H592" s="10" t="n">
        <v>4</v>
      </c>
      <c r="I592" s="10">
        <f>IF(OR(D592="Uncategorised",E592=""),"Check","")</f>
        <v/>
      </c>
    </row>
    <row r="593">
      <c r="A593" s="10" t="inlineStr">
        <is>
          <t>Amex Jun-2025</t>
        </is>
      </c>
      <c r="B593" s="11" t="n">
        <v>45817</v>
      </c>
      <c r="C593" s="10" t="inlineStr">
        <is>
          <t>RESERVEPS.COM LOS ANGELES</t>
        </is>
      </c>
      <c r="D593" s="10">
        <f>IFERROR(INDEX('Review Items'!$D:$D,MATCH(C593,'Review Items'!$B:$B,0)),IFERROR(INDEX('Rule Updates'!$B:$B,MATCH(C593,'Rule Updates'!$A:$A,0)),"Uncategorised"))</f>
        <v/>
      </c>
      <c r="E593" s="10">
        <f>IFERROR(INDEX('Review Items'!$E:$E,MATCH(C593,'Review Items'!$B:$B,0)),IFERROR(INDEX('Rule Updates'!$C:$C,MATCH(C593,'Rule Updates'!$A:$A,0)),"Review"))</f>
        <v/>
      </c>
      <c r="F593" s="12" t="n">
        <v>17.5</v>
      </c>
      <c r="G593" s="12" t="n">
        <v>140.08</v>
      </c>
      <c r="H593" s="10" t="n">
        <v>4</v>
      </c>
      <c r="I593" s="10">
        <f>IF(OR(D593="Uncategorised",E593=""),"Check","")</f>
        <v/>
      </c>
    </row>
    <row r="594">
      <c r="A594" s="10" t="inlineStr">
        <is>
          <t>Amex Jun-2025</t>
        </is>
      </c>
      <c r="B594" s="11" t="n">
        <v>45818</v>
      </c>
      <c r="C594" s="10" t="inlineStr">
        <is>
          <t>AMAZON PRIME*CT7099AT5 AMZN.CO.UK/PM</t>
        </is>
      </c>
      <c r="D594" s="10">
        <f>IFERROR(INDEX('Review Items'!$D:$D,MATCH(C594,'Review Items'!$B:$B,0)),IFERROR(INDEX('Rule Updates'!$B:$B,MATCH(C594,'Rule Updates'!$A:$A,0)),"Uncategorised"))</f>
        <v/>
      </c>
      <c r="E594" s="10">
        <f>IFERROR(INDEX('Review Items'!$E:$E,MATCH(C594,'Review Items'!$B:$B,0)),IFERROR(INDEX('Rule Updates'!$C:$C,MATCH(C594,'Rule Updates'!$A:$A,0)),"Review"))</f>
        <v/>
      </c>
      <c r="F594" s="12" t="n">
        <v>8.99</v>
      </c>
      <c r="G594" s="12" t="n">
        <v>97.73999999999999</v>
      </c>
      <c r="H594" s="10" t="n">
        <v>4</v>
      </c>
      <c r="I594" s="10">
        <f>IF(OR(D594="Uncategorised",E594=""),"Check","")</f>
        <v/>
      </c>
    </row>
    <row r="595">
      <c r="A595" s="10" t="inlineStr">
        <is>
          <t>Amex Jun-2025</t>
        </is>
      </c>
      <c r="B595" s="11" t="n">
        <v>45818</v>
      </c>
      <c r="C595" s="10" t="inlineStr">
        <is>
          <t>OTTOLENGHI.CO.UK LONDON</t>
        </is>
      </c>
      <c r="D595" s="10">
        <f>IFERROR(INDEX('Review Items'!$D:$D,MATCH(C595,'Review Items'!$B:$B,0)),IFERROR(INDEX('Rule Updates'!$B:$B,MATCH(C595,'Rule Updates'!$A:$A,0)),"Uncategorised"))</f>
        <v/>
      </c>
      <c r="E595" s="10">
        <f>IFERROR(INDEX('Review Items'!$E:$E,MATCH(C595,'Review Items'!$B:$B,0)),IFERROR(INDEX('Rule Updates'!$C:$C,MATCH(C595,'Rule Updates'!$A:$A,0)),"Review"))</f>
        <v/>
      </c>
      <c r="F595" s="12" t="n">
        <v>54.99</v>
      </c>
      <c r="G595" s="12" t="n">
        <v>598.02</v>
      </c>
      <c r="H595" s="10" t="n">
        <v>4</v>
      </c>
      <c r="I595" s="10">
        <f>IF(OR(D595="Uncategorised",E595=""),"Check","")</f>
        <v/>
      </c>
    </row>
    <row r="596">
      <c r="A596" s="10" t="inlineStr">
        <is>
          <t>Amex Jun-2025</t>
        </is>
      </c>
      <c r="B596" s="11" t="n">
        <v>45818</v>
      </c>
      <c r="C596" s="10" t="inlineStr">
        <is>
          <t>PRIORITY PASS (A.P.) LI HONG KONG</t>
        </is>
      </c>
      <c r="D596" s="10">
        <f>IFERROR(INDEX('Review Items'!$D:$D,MATCH(C596,'Review Items'!$B:$B,0)),IFERROR(INDEX('Rule Updates'!$B:$B,MATCH(C596,'Rule Updates'!$A:$A,0)),"Uncategorised"))</f>
        <v/>
      </c>
      <c r="E596" s="10">
        <f>IFERROR(INDEX('Review Items'!$E:$E,MATCH(C596,'Review Items'!$B:$B,0)),IFERROR(INDEX('Rule Updates'!$C:$C,MATCH(C596,'Rule Updates'!$A:$A,0)),"Review"))</f>
        <v/>
      </c>
      <c r="F596" s="12" t="n">
        <v>35</v>
      </c>
      <c r="G596" s="12" t="n">
        <v>280.2</v>
      </c>
      <c r="H596" s="10" t="n">
        <v>4</v>
      </c>
      <c r="I596" s="10">
        <f>IF(OR(D596="Uncategorised",E596=""),"Check","")</f>
        <v/>
      </c>
    </row>
    <row r="597">
      <c r="A597" s="10" t="inlineStr">
        <is>
          <t>Amex Jun-2025</t>
        </is>
      </c>
      <c r="B597" s="11" t="n">
        <v>45818</v>
      </c>
      <c r="C597" s="10" t="inlineStr">
        <is>
          <t>THE NET-A-PORTER GROUP HONG KONG</t>
        </is>
      </c>
      <c r="D597" s="10">
        <f>IFERROR(INDEX('Review Items'!$D:$D,MATCH(C597,'Review Items'!$B:$B,0)),IFERROR(INDEX('Rule Updates'!$B:$B,MATCH(C597,'Rule Updates'!$A:$A,0)),"Uncategorised"))</f>
        <v/>
      </c>
      <c r="E597" s="10">
        <f>IFERROR(INDEX('Review Items'!$E:$E,MATCH(C597,'Review Items'!$B:$B,0)),IFERROR(INDEX('Rule Updates'!$C:$C,MATCH(C597,'Rule Updates'!$A:$A,0)),"Review"))</f>
        <v/>
      </c>
      <c r="F597" s="10" t="n"/>
      <c r="G597" s="12" t="n">
        <v>-1473</v>
      </c>
      <c r="H597" s="10" t="n">
        <v>4</v>
      </c>
      <c r="I597" s="10">
        <f>IF(OR(D597="Uncategorised",E597=""),"Check","")</f>
        <v/>
      </c>
    </row>
    <row r="598">
      <c r="A598" s="10" t="inlineStr">
        <is>
          <t>Amex Jun-2025</t>
        </is>
      </c>
      <c r="B598" s="11" t="n">
        <v>45818</v>
      </c>
      <c r="C598" s="10" t="inlineStr">
        <is>
          <t>THE PURE PRACTICE LIMI BATH</t>
        </is>
      </c>
      <c r="D598" s="10">
        <f>IFERROR(INDEX('Review Items'!$D:$D,MATCH(C598,'Review Items'!$B:$B,0)),IFERROR(INDEX('Rule Updates'!$B:$B,MATCH(C598,'Rule Updates'!$A:$A,0)),"Uncategorised"))</f>
        <v/>
      </c>
      <c r="E598" s="10">
        <f>IFERROR(INDEX('Review Items'!$E:$E,MATCH(C598,'Review Items'!$B:$B,0)),IFERROR(INDEX('Rule Updates'!$C:$C,MATCH(C598,'Rule Updates'!$A:$A,0)),"Review"))</f>
        <v/>
      </c>
      <c r="F598" s="12" t="n">
        <v>60</v>
      </c>
      <c r="G598" s="12" t="n">
        <v>650.37</v>
      </c>
      <c r="H598" s="10" t="n">
        <v>4</v>
      </c>
      <c r="I598" s="10">
        <f>IF(OR(D598="Uncategorised",E598=""),"Check","")</f>
        <v/>
      </c>
    </row>
    <row r="599">
      <c r="A599" s="10" t="inlineStr">
        <is>
          <t>Amex Jun-2025</t>
        </is>
      </c>
      <c r="B599" s="11" t="n">
        <v>45818</v>
      </c>
      <c r="C599" s="10" t="inlineStr">
        <is>
          <t>TRAINLINE Trainline LONDON</t>
        </is>
      </c>
      <c r="D599" s="10">
        <f>IFERROR(INDEX('Review Items'!$D:$D,MATCH(C599,'Review Items'!$B:$B,0)),IFERROR(INDEX('Rule Updates'!$B:$B,MATCH(C599,'Rule Updates'!$A:$A,0)),"Uncategorised"))</f>
        <v/>
      </c>
      <c r="E599" s="10">
        <f>IFERROR(INDEX('Review Items'!$E:$E,MATCH(C599,'Review Items'!$B:$B,0)),IFERROR(INDEX('Rule Updates'!$C:$C,MATCH(C599,'Rule Updates'!$A:$A,0)),"Review"))</f>
        <v/>
      </c>
      <c r="F599" s="12" t="n">
        <v>224.59</v>
      </c>
      <c r="G599" s="12" t="n">
        <v>2442.61</v>
      </c>
      <c r="H599" s="10" t="n">
        <v>4</v>
      </c>
      <c r="I599" s="10">
        <f>IF(OR(D599="Uncategorised",E599=""),"Check","")</f>
        <v/>
      </c>
    </row>
    <row r="600">
      <c r="A600" s="10" t="inlineStr">
        <is>
          <t>Amex Jun-2025</t>
        </is>
      </c>
      <c r="B600" s="11" t="n">
        <v>45819</v>
      </c>
      <c r="C600" s="10" t="inlineStr">
        <is>
          <t>3CPAYMENT*ISABEL MARANT LONDON</t>
        </is>
      </c>
      <c r="D600" s="10">
        <f>IFERROR(INDEX('Review Items'!$D:$D,MATCH(C600,'Review Items'!$B:$B,0)),IFERROR(INDEX('Rule Updates'!$B:$B,MATCH(C600,'Rule Updates'!$A:$A,0)),"Uncategorised"))</f>
        <v/>
      </c>
      <c r="E600" s="10">
        <f>IFERROR(INDEX('Review Items'!$E:$E,MATCH(C600,'Review Items'!$B:$B,0)),IFERROR(INDEX('Rule Updates'!$C:$C,MATCH(C600,'Rule Updates'!$A:$A,0)),"Review"))</f>
        <v/>
      </c>
      <c r="F600" s="12" t="n">
        <v>785</v>
      </c>
      <c r="G600" s="12" t="n">
        <v>8518.290000000001</v>
      </c>
      <c r="H600" s="10" t="n">
        <v>4</v>
      </c>
      <c r="I600" s="10">
        <f>IF(OR(D600="Uncategorised",E600=""),"Check","")</f>
        <v/>
      </c>
    </row>
    <row r="601">
      <c r="A601" s="10" t="inlineStr">
        <is>
          <t>Amex Jun-2025</t>
        </is>
      </c>
      <c r="B601" s="11" t="n">
        <v>45819</v>
      </c>
      <c r="C601" s="10" t="inlineStr">
        <is>
          <t>5 HERTFORD STREET LIMIT LONDON</t>
        </is>
      </c>
      <c r="D601" s="10">
        <f>IFERROR(INDEX('Review Items'!$D:$D,MATCH(C601,'Review Items'!$B:$B,0)),IFERROR(INDEX('Rule Updates'!$B:$B,MATCH(C601,'Rule Updates'!$A:$A,0)),"Uncategorised"))</f>
        <v/>
      </c>
      <c r="E601" s="10">
        <f>IFERROR(INDEX('Review Items'!$E:$E,MATCH(C601,'Review Items'!$B:$B,0)),IFERROR(INDEX('Rule Updates'!$C:$C,MATCH(C601,'Rule Updates'!$A:$A,0)),"Review"))</f>
        <v/>
      </c>
      <c r="F601" s="12" t="n">
        <v>744.3</v>
      </c>
      <c r="G601" s="12" t="n">
        <v>8067.85</v>
      </c>
      <c r="H601" s="10" t="n">
        <v>4</v>
      </c>
      <c r="I601" s="10">
        <f>IF(OR(D601="Uncategorised",E601=""),"Check","")</f>
        <v/>
      </c>
    </row>
    <row r="602">
      <c r="A602" s="10" t="inlineStr">
        <is>
          <t>Amex Jun-2025</t>
        </is>
      </c>
      <c r="B602" s="11" t="n">
        <v>45819</v>
      </c>
      <c r="C602" s="10" t="inlineStr">
        <is>
          <t>5 HERTFORD STREET LIMIT LONDON</t>
        </is>
      </c>
      <c r="D602" s="10">
        <f>IFERROR(INDEX('Review Items'!$D:$D,MATCH(C602,'Review Items'!$B:$B,0)),IFERROR(INDEX('Rule Updates'!$B:$B,MATCH(C602,'Rule Updates'!$A:$A,0)),"Uncategorised"))</f>
        <v/>
      </c>
      <c r="E602" s="10">
        <f>IFERROR(INDEX('Review Items'!$E:$E,MATCH(C602,'Review Items'!$B:$B,0)),IFERROR(INDEX('Rule Updates'!$C:$C,MATCH(C602,'Rule Updates'!$A:$A,0)),"Review"))</f>
        <v/>
      </c>
      <c r="F602" s="12" t="n">
        <v>57.5</v>
      </c>
      <c r="G602" s="12" t="n">
        <v>623.3099999999999</v>
      </c>
      <c r="H602" s="10" t="n">
        <v>4</v>
      </c>
      <c r="I602" s="10">
        <f>IF(OR(D602="Uncategorised",E602=""),"Check","")</f>
        <v/>
      </c>
    </row>
    <row r="603">
      <c r="A603" s="10" t="inlineStr">
        <is>
          <t>Amex Jun-2025</t>
        </is>
      </c>
      <c r="B603" s="11" t="n">
        <v>45819</v>
      </c>
      <c r="C603" s="10" t="inlineStr">
        <is>
          <t>5 HERTFORD STREET LIMIT LONDON</t>
        </is>
      </c>
      <c r="D603" s="10">
        <f>IFERROR(INDEX('Review Items'!$D:$D,MATCH(C603,'Review Items'!$B:$B,0)),IFERROR(INDEX('Rule Updates'!$B:$B,MATCH(C603,'Rule Updates'!$A:$A,0)),"Uncategorised"))</f>
        <v/>
      </c>
      <c r="E603" s="10">
        <f>IFERROR(INDEX('Review Items'!$E:$E,MATCH(C603,'Review Items'!$B:$B,0)),IFERROR(INDEX('Rule Updates'!$C:$C,MATCH(C603,'Rule Updates'!$A:$A,0)),"Review"))</f>
        <v/>
      </c>
      <c r="F603" s="12" t="n">
        <v>67.84999999999999</v>
      </c>
      <c r="G603" s="12" t="n">
        <v>735.47</v>
      </c>
      <c r="H603" s="10" t="n">
        <v>4</v>
      </c>
      <c r="I603" s="10">
        <f>IF(OR(D603="Uncategorised",E603=""),"Check","")</f>
        <v/>
      </c>
    </row>
    <row r="604">
      <c r="A604" s="10" t="inlineStr">
        <is>
          <t>Amex Jun-2025</t>
        </is>
      </c>
      <c r="B604" s="11" t="n">
        <v>45819</v>
      </c>
      <c r="C604" s="10" t="inlineStr">
        <is>
          <t>5 HERTFORD STREET LIMIT LONDON</t>
        </is>
      </c>
      <c r="D604" s="10">
        <f>IFERROR(INDEX('Review Items'!$D:$D,MATCH(C604,'Review Items'!$B:$B,0)),IFERROR(INDEX('Rule Updates'!$B:$B,MATCH(C604,'Rule Updates'!$A:$A,0)),"Uncategorised"))</f>
        <v/>
      </c>
      <c r="E604" s="10">
        <f>IFERROR(INDEX('Review Items'!$E:$E,MATCH(C604,'Review Items'!$B:$B,0)),IFERROR(INDEX('Rule Updates'!$C:$C,MATCH(C604,'Rule Updates'!$A:$A,0)),"Review"))</f>
        <v/>
      </c>
      <c r="F604" s="12" t="n">
        <v>27.6</v>
      </c>
      <c r="G604" s="12" t="n">
        <v>299.16</v>
      </c>
      <c r="H604" s="10" t="n">
        <v>7</v>
      </c>
      <c r="I604" s="10">
        <f>IF(OR(D604="Uncategorised",E604=""),"Check","")</f>
        <v/>
      </c>
    </row>
    <row r="605">
      <c r="A605" s="10" t="inlineStr">
        <is>
          <t>Amex Jun-2025</t>
        </is>
      </c>
      <c r="B605" s="11" t="n">
        <v>45819</v>
      </c>
      <c r="C605" s="10" t="inlineStr">
        <is>
          <t>5 HERTFORD STREET LIMIT LONDON</t>
        </is>
      </c>
      <c r="D605" s="10">
        <f>IFERROR(INDEX('Review Items'!$D:$D,MATCH(C605,'Review Items'!$B:$B,0)),IFERROR(INDEX('Rule Updates'!$B:$B,MATCH(C605,'Rule Updates'!$A:$A,0)),"Uncategorised"))</f>
        <v/>
      </c>
      <c r="E605" s="10">
        <f>IFERROR(INDEX('Review Items'!$E:$E,MATCH(C605,'Review Items'!$B:$B,0)),IFERROR(INDEX('Rule Updates'!$C:$C,MATCH(C605,'Rule Updates'!$A:$A,0)),"Review"))</f>
        <v/>
      </c>
      <c r="F605" s="12" t="n">
        <v>58.65</v>
      </c>
      <c r="G605" s="12" t="n">
        <v>635.72</v>
      </c>
      <c r="H605" s="10" t="n">
        <v>7</v>
      </c>
      <c r="I605" s="10">
        <f>IF(OR(D605="Uncategorised",E605=""),"Check","")</f>
        <v/>
      </c>
    </row>
    <row r="606">
      <c r="A606" s="10" t="inlineStr">
        <is>
          <t>Amex Jun-2025</t>
        </is>
      </c>
      <c r="B606" s="11" t="n">
        <v>45819</v>
      </c>
      <c r="C606" s="10" t="inlineStr">
        <is>
          <t>5 HERTFORD STREET LIMIT LONDON</t>
        </is>
      </c>
      <c r="D606" s="10">
        <f>IFERROR(INDEX('Review Items'!$D:$D,MATCH(C606,'Review Items'!$B:$B,0)),IFERROR(INDEX('Rule Updates'!$B:$B,MATCH(C606,'Rule Updates'!$A:$A,0)),"Uncategorised"))</f>
        <v/>
      </c>
      <c r="E606" s="10">
        <f>IFERROR(INDEX('Review Items'!$E:$E,MATCH(C606,'Review Items'!$B:$B,0)),IFERROR(INDEX('Rule Updates'!$C:$C,MATCH(C606,'Rule Updates'!$A:$A,0)),"Review"))</f>
        <v/>
      </c>
      <c r="F606" s="12" t="n">
        <v>125</v>
      </c>
      <c r="G606" s="12" t="n">
        <v>1354.94</v>
      </c>
      <c r="H606" s="10" t="n">
        <v>7</v>
      </c>
      <c r="I606" s="10">
        <f>IF(OR(D606="Uncategorised",E606=""),"Check","")</f>
        <v/>
      </c>
    </row>
    <row r="607">
      <c r="A607" s="10" t="inlineStr">
        <is>
          <t>Amex Jun-2025</t>
        </is>
      </c>
      <c r="B607" s="11" t="n">
        <v>45819</v>
      </c>
      <c r="C607" s="10" t="inlineStr">
        <is>
          <t>BP LONDON * BPLONDONTA BRENTWOOD</t>
        </is>
      </c>
      <c r="D607" s="10">
        <f>IFERROR(INDEX('Review Items'!$D:$D,MATCH(C607,'Review Items'!$B:$B,0)),IFERROR(INDEX('Rule Updates'!$B:$B,MATCH(C607,'Rule Updates'!$A:$A,0)),"Uncategorised"))</f>
        <v/>
      </c>
      <c r="E607" s="10">
        <f>IFERROR(INDEX('Review Items'!$E:$E,MATCH(C607,'Review Items'!$B:$B,0)),IFERROR(INDEX('Rule Updates'!$C:$C,MATCH(C607,'Rule Updates'!$A:$A,0)),"Review"))</f>
        <v/>
      </c>
      <c r="F607" s="12" t="n">
        <v>21.78</v>
      </c>
      <c r="G607" s="12" t="n">
        <v>236.08</v>
      </c>
      <c r="H607" s="10" t="n">
        <v>4</v>
      </c>
      <c r="I607" s="10">
        <f>IF(OR(D607="Uncategorised",E607=""),"Check","")</f>
        <v/>
      </c>
    </row>
    <row r="608">
      <c r="A608" s="10" t="inlineStr">
        <is>
          <t>Amex Jun-2025</t>
        </is>
      </c>
      <c r="B608" s="11" t="n">
        <v>45819</v>
      </c>
      <c r="C608" s="10" t="inlineStr">
        <is>
          <t>ERES FASHION UK LTD LONDON</t>
        </is>
      </c>
      <c r="D608" s="10">
        <f>IFERROR(INDEX('Review Items'!$D:$D,MATCH(C608,'Review Items'!$B:$B,0)),IFERROR(INDEX('Rule Updates'!$B:$B,MATCH(C608,'Rule Updates'!$A:$A,0)),"Uncategorised"))</f>
        <v/>
      </c>
      <c r="E608" s="10">
        <f>IFERROR(INDEX('Review Items'!$E:$E,MATCH(C608,'Review Items'!$B:$B,0)),IFERROR(INDEX('Rule Updates'!$C:$C,MATCH(C608,'Rule Updates'!$A:$A,0)),"Review"))</f>
        <v/>
      </c>
      <c r="F608" s="12" t="n">
        <v>1180</v>
      </c>
      <c r="G608" s="12" t="n">
        <v>12790.66</v>
      </c>
      <c r="H608" s="10" t="n">
        <v>4</v>
      </c>
      <c r="I608" s="10">
        <f>IF(OR(D608="Uncategorised",E608=""),"Check","")</f>
        <v/>
      </c>
    </row>
    <row r="609">
      <c r="A609" s="10" t="inlineStr">
        <is>
          <t>Amex Jun-2025</t>
        </is>
      </c>
      <c r="B609" s="11" t="n">
        <v>45819</v>
      </c>
      <c r="C609" s="10" t="inlineStr">
        <is>
          <t>NOBU LONDON LONDON</t>
        </is>
      </c>
      <c r="D609" s="10">
        <f>IFERROR(INDEX('Review Items'!$D:$D,MATCH(C609,'Review Items'!$B:$B,0)),IFERROR(INDEX('Rule Updates'!$B:$B,MATCH(C609,'Rule Updates'!$A:$A,0)),"Uncategorised"))</f>
        <v/>
      </c>
      <c r="E609" s="10">
        <f>IFERROR(INDEX('Review Items'!$E:$E,MATCH(C609,'Review Items'!$B:$B,0)),IFERROR(INDEX('Rule Updates'!$C:$C,MATCH(C609,'Rule Updates'!$A:$A,0)),"Review"))</f>
        <v/>
      </c>
      <c r="F609" s="12" t="n">
        <v>544.8</v>
      </c>
      <c r="G609" s="12" t="n">
        <v>5905.39</v>
      </c>
      <c r="H609" s="10" t="n">
        <v>7</v>
      </c>
      <c r="I609" s="10">
        <f>IF(OR(D609="Uncategorised",E609=""),"Check","")</f>
        <v/>
      </c>
    </row>
    <row r="610">
      <c r="A610" s="10" t="inlineStr">
        <is>
          <t>Amex Jun-2025</t>
        </is>
      </c>
      <c r="B610" s="11" t="n">
        <v>45819</v>
      </c>
      <c r="C610" s="10" t="inlineStr">
        <is>
          <t>THE NET-A-PORTER GROUP HONG KONG</t>
        </is>
      </c>
      <c r="D610" s="10">
        <f>IFERROR(INDEX('Review Items'!$D:$D,MATCH(C610,'Review Items'!$B:$B,0)),IFERROR(INDEX('Rule Updates'!$B:$B,MATCH(C610,'Rule Updates'!$A:$A,0)),"Uncategorised"))</f>
        <v/>
      </c>
      <c r="E610" s="10">
        <f>IFERROR(INDEX('Review Items'!$E:$E,MATCH(C610,'Review Items'!$B:$B,0)),IFERROR(INDEX('Rule Updates'!$C:$C,MATCH(C610,'Rule Updates'!$A:$A,0)),"Review"))</f>
        <v/>
      </c>
      <c r="F610" s="10" t="n"/>
      <c r="G610" s="12" t="n">
        <v>-32328</v>
      </c>
      <c r="H610" s="10" t="n">
        <v>4</v>
      </c>
      <c r="I610" s="10">
        <f>IF(OR(D610="Uncategorised",E610=""),"Check","")</f>
        <v/>
      </c>
    </row>
    <row r="611">
      <c r="A611" s="10" t="inlineStr">
        <is>
          <t>Amex Jun-2025</t>
        </is>
      </c>
      <c r="B611" s="11" t="n">
        <v>45819</v>
      </c>
      <c r="C611" s="10" t="inlineStr">
        <is>
          <t>ZVUK LIMITED LONDON</t>
        </is>
      </c>
      <c r="D611" s="10">
        <f>IFERROR(INDEX('Review Items'!$D:$D,MATCH(C611,'Review Items'!$B:$B,0)),IFERROR(INDEX('Rule Updates'!$B:$B,MATCH(C611,'Rule Updates'!$A:$A,0)),"Uncategorised"))</f>
        <v/>
      </c>
      <c r="E611" s="10">
        <f>IFERROR(INDEX('Review Items'!$E:$E,MATCH(C611,'Review Items'!$B:$B,0)),IFERROR(INDEX('Rule Updates'!$C:$C,MATCH(C611,'Rule Updates'!$A:$A,0)),"Review"))</f>
        <v/>
      </c>
      <c r="F611" s="12" t="n">
        <v>285</v>
      </c>
      <c r="G611" s="12" t="n">
        <v>3089.27</v>
      </c>
      <c r="H611" s="10" t="n">
        <v>4</v>
      </c>
      <c r="I611" s="10">
        <f>IF(OR(D611="Uncategorised",E611=""),"Check","")</f>
        <v/>
      </c>
    </row>
    <row r="612">
      <c r="A612" s="10" t="inlineStr">
        <is>
          <t>Amex Jun-2025</t>
        </is>
      </c>
      <c r="B612" s="11" t="n">
        <v>45820</v>
      </c>
      <c r="C612" s="10" t="inlineStr">
        <is>
          <t>CURB MOBILITY LONDON</t>
        </is>
      </c>
      <c r="D612" s="10">
        <f>IFERROR(INDEX('Review Items'!$D:$D,MATCH(C612,'Review Items'!$B:$B,0)),IFERROR(INDEX('Rule Updates'!$B:$B,MATCH(C612,'Rule Updates'!$A:$A,0)),"Uncategorised"))</f>
        <v/>
      </c>
      <c r="E612" s="10">
        <f>IFERROR(INDEX('Review Items'!$E:$E,MATCH(C612,'Review Items'!$B:$B,0)),IFERROR(INDEX('Rule Updates'!$C:$C,MATCH(C612,'Rule Updates'!$A:$A,0)),"Review"))</f>
        <v/>
      </c>
      <c r="F612" s="12" t="n">
        <v>20.46</v>
      </c>
      <c r="G612" s="12" t="n">
        <v>222.02</v>
      </c>
      <c r="H612" s="10" t="n">
        <v>5</v>
      </c>
      <c r="I612" s="10">
        <f>IF(OR(D612="Uncategorised",E612=""),"Check","")</f>
        <v/>
      </c>
    </row>
    <row r="613">
      <c r="A613" s="10" t="inlineStr">
        <is>
          <t>Amex Jun-2025</t>
        </is>
      </c>
      <c r="B613" s="11" t="n">
        <v>45820</v>
      </c>
      <c r="C613" s="10" t="inlineStr">
        <is>
          <t>DOJO*OTTOLENGHI NOTTING LONDON</t>
        </is>
      </c>
      <c r="D613" s="10">
        <f>IFERROR(INDEX('Review Items'!$D:$D,MATCH(C613,'Review Items'!$B:$B,0)),IFERROR(INDEX('Rule Updates'!$B:$B,MATCH(C613,'Rule Updates'!$A:$A,0)),"Uncategorised"))</f>
        <v/>
      </c>
      <c r="E613" s="10">
        <f>IFERROR(INDEX('Review Items'!$E:$E,MATCH(C613,'Review Items'!$B:$B,0)),IFERROR(INDEX('Rule Updates'!$C:$C,MATCH(C613,'Rule Updates'!$A:$A,0)),"Review"))</f>
        <v/>
      </c>
      <c r="F613" s="12" t="n">
        <v>19.2</v>
      </c>
      <c r="G613" s="12" t="n">
        <v>208.33</v>
      </c>
      <c r="H613" s="10" t="n">
        <v>4</v>
      </c>
      <c r="I613" s="10">
        <f>IF(OR(D613="Uncategorised",E613=""),"Check","")</f>
        <v/>
      </c>
    </row>
    <row r="614">
      <c r="A614" s="10" t="inlineStr">
        <is>
          <t>Amex Jun-2025</t>
        </is>
      </c>
      <c r="B614" s="11" t="n">
        <v>45820</v>
      </c>
      <c r="C614" s="10" t="inlineStr">
        <is>
          <t>OH MY CREAM LTD LONDON</t>
        </is>
      </c>
      <c r="D614" s="10">
        <f>IFERROR(INDEX('Review Items'!$D:$D,MATCH(C614,'Review Items'!$B:$B,0)),IFERROR(INDEX('Rule Updates'!$B:$B,MATCH(C614,'Rule Updates'!$A:$A,0)),"Uncategorised"))</f>
        <v/>
      </c>
      <c r="E614" s="10">
        <f>IFERROR(INDEX('Review Items'!$E:$E,MATCH(C614,'Review Items'!$B:$B,0)),IFERROR(INDEX('Rule Updates'!$C:$C,MATCH(C614,'Rule Updates'!$A:$A,0)),"Review"))</f>
        <v/>
      </c>
      <c r="F614" s="12" t="n">
        <v>30</v>
      </c>
      <c r="G614" s="12" t="n">
        <v>325.54</v>
      </c>
      <c r="H614" s="10" t="n">
        <v>5</v>
      </c>
      <c r="I614" s="10">
        <f>IF(OR(D614="Uncategorised",E614=""),"Check","")</f>
        <v/>
      </c>
    </row>
    <row r="615">
      <c r="A615" s="10" t="inlineStr">
        <is>
          <t>Amex Jun-2025</t>
        </is>
      </c>
      <c r="B615" s="11" t="n">
        <v>45820</v>
      </c>
      <c r="C615" s="10" t="inlineStr">
        <is>
          <t>SP AIME LONDON LONDON</t>
        </is>
      </c>
      <c r="D615" s="10">
        <f>IFERROR(INDEX('Review Items'!$D:$D,MATCH(C615,'Review Items'!$B:$B,0)),IFERROR(INDEX('Rule Updates'!$B:$B,MATCH(C615,'Rule Updates'!$A:$A,0)),"Uncategorised"))</f>
        <v/>
      </c>
      <c r="E615" s="10">
        <f>IFERROR(INDEX('Review Items'!$E:$E,MATCH(C615,'Review Items'!$B:$B,0)),IFERROR(INDEX('Rule Updates'!$C:$C,MATCH(C615,'Rule Updates'!$A:$A,0)),"Review"))</f>
        <v/>
      </c>
      <c r="F615" s="12" t="n">
        <v>4089</v>
      </c>
      <c r="G615" s="12" t="n">
        <v>44371.09</v>
      </c>
      <c r="H615" s="10" t="n">
        <v>5</v>
      </c>
      <c r="I615" s="10">
        <f>IF(OR(D615="Uncategorised",E615=""),"Check","")</f>
        <v/>
      </c>
    </row>
    <row r="616">
      <c r="A616" s="10" t="inlineStr">
        <is>
          <t>Amex Jun-2025</t>
        </is>
      </c>
      <c r="B616" s="11" t="n">
        <v>45820</v>
      </c>
      <c r="C616" s="10" t="inlineStr">
        <is>
          <t>TAXIWORLD*LONDON TAXI 6 GLASGOW</t>
        </is>
      </c>
      <c r="D616" s="10">
        <f>IFERROR(INDEX('Review Items'!$D:$D,MATCH(C616,'Review Items'!$B:$B,0)),IFERROR(INDEX('Rule Updates'!$B:$B,MATCH(C616,'Rule Updates'!$A:$A,0)),"Uncategorised"))</f>
        <v/>
      </c>
      <c r="E616" s="10">
        <f>IFERROR(INDEX('Review Items'!$E:$E,MATCH(C616,'Review Items'!$B:$B,0)),IFERROR(INDEX('Rule Updates'!$C:$C,MATCH(C616,'Rule Updates'!$A:$A,0)),"Review"))</f>
        <v/>
      </c>
      <c r="F616" s="12" t="n">
        <v>21.3</v>
      </c>
      <c r="G616" s="12" t="n">
        <v>231.15</v>
      </c>
      <c r="H616" s="10" t="n">
        <v>5</v>
      </c>
      <c r="I616" s="10">
        <f>IF(OR(D616="Uncategorised",E616=""),"Check","")</f>
        <v/>
      </c>
    </row>
    <row r="617">
      <c r="A617" s="10" t="inlineStr">
        <is>
          <t>Amex Jun-2025</t>
        </is>
      </c>
      <c r="B617" s="11" t="n">
        <v>45821</v>
      </c>
      <c r="C617" s="10" t="inlineStr">
        <is>
          <t>SP CHALKSTREAM ROMSEY</t>
        </is>
      </c>
      <c r="D617" s="10">
        <f>IFERROR(INDEX('Review Items'!$D:$D,MATCH(C617,'Review Items'!$B:$B,0)),IFERROR(INDEX('Rule Updates'!$B:$B,MATCH(C617,'Rule Updates'!$A:$A,0)),"Uncategorised"))</f>
        <v/>
      </c>
      <c r="E617" s="10">
        <f>IFERROR(INDEX('Review Items'!$E:$E,MATCH(C617,'Review Items'!$B:$B,0)),IFERROR(INDEX('Rule Updates'!$C:$C,MATCH(C617,'Rule Updates'!$A:$A,0)),"Review"))</f>
        <v/>
      </c>
      <c r="F617" s="12" t="n">
        <v>55</v>
      </c>
      <c r="G617" s="12" t="n">
        <v>-5.89</v>
      </c>
      <c r="H617" s="10" t="n">
        <v>5</v>
      </c>
      <c r="I617" s="10">
        <f>IF(OR(D617="Uncategorised",E617=""),"Check","")</f>
        <v/>
      </c>
    </row>
    <row r="618">
      <c r="A618" s="10" t="inlineStr">
        <is>
          <t>Amex Jun-2025</t>
        </is>
      </c>
      <c r="B618" s="11" t="n">
        <v>45821</v>
      </c>
      <c r="C618" s="10" t="inlineStr">
        <is>
          <t>UNIQLO HONG KONG LIMITE TSIM SHA TSUI</t>
        </is>
      </c>
      <c r="D618" s="10">
        <f>IFERROR(INDEX('Review Items'!$D:$D,MATCH(C618,'Review Items'!$B:$B,0)),IFERROR(INDEX('Rule Updates'!$B:$B,MATCH(C618,'Rule Updates'!$A:$A,0)),"Uncategorised"))</f>
        <v/>
      </c>
      <c r="E618" s="10">
        <f>IFERROR(INDEX('Review Items'!$E:$E,MATCH(C618,'Review Items'!$B:$B,0)),IFERROR(INDEX('Rule Updates'!$C:$C,MATCH(C618,'Rule Updates'!$A:$A,0)),"Review"))</f>
        <v/>
      </c>
      <c r="F618" s="10" t="n"/>
      <c r="G618" s="12" t="n">
        <v>327</v>
      </c>
      <c r="H618" s="10" t="n">
        <v>5</v>
      </c>
      <c r="I618" s="10">
        <f>IF(OR(D618="Uncategorised",E618=""),"Check","")</f>
        <v/>
      </c>
    </row>
    <row r="619">
      <c r="A619" s="10" t="inlineStr">
        <is>
          <t>Amex Jun-2025</t>
        </is>
      </c>
      <c r="B619" s="11" t="n">
        <v>45823</v>
      </c>
      <c r="C619" s="10" t="inlineStr">
        <is>
          <t>COMO METROPOLITAN HOTEL LONDON</t>
        </is>
      </c>
      <c r="D619" s="10">
        <f>IFERROR(INDEX('Review Items'!$D:$D,MATCH(C619,'Review Items'!$B:$B,0)),IFERROR(INDEX('Rule Updates'!$B:$B,MATCH(C619,'Rule Updates'!$A:$A,0)),"Uncategorised"))</f>
        <v/>
      </c>
      <c r="E619" s="10">
        <f>IFERROR(INDEX('Review Items'!$E:$E,MATCH(C619,'Review Items'!$B:$B,0)),IFERROR(INDEX('Rule Updates'!$C:$C,MATCH(C619,'Rule Updates'!$A:$A,0)),"Review"))</f>
        <v/>
      </c>
      <c r="F619" s="12" t="n">
        <v>1554.69</v>
      </c>
      <c r="G619" s="12" t="n">
        <v>16904.72</v>
      </c>
      <c r="H619" s="10" t="n">
        <v>5</v>
      </c>
      <c r="I619" s="10">
        <f>IF(OR(D619="Uncategorised",E619=""),"Check","")</f>
        <v/>
      </c>
    </row>
    <row r="620">
      <c r="A620" s="10" t="inlineStr">
        <is>
          <t>Amex Jun-2025</t>
        </is>
      </c>
      <c r="B620" s="11" t="n">
        <v>45823</v>
      </c>
      <c r="C620" s="10" t="inlineStr">
        <is>
          <t>WATERSTONES BATH</t>
        </is>
      </c>
      <c r="D620" s="10">
        <f>IFERROR(INDEX('Review Items'!$D:$D,MATCH(C620,'Review Items'!$B:$B,0)),IFERROR(INDEX('Rule Updates'!$B:$B,MATCH(C620,'Rule Updates'!$A:$A,0)),"Uncategorised"))</f>
        <v/>
      </c>
      <c r="E620" s="10">
        <f>IFERROR(INDEX('Review Items'!$E:$E,MATCH(C620,'Review Items'!$B:$B,0)),IFERROR(INDEX('Rule Updates'!$C:$C,MATCH(C620,'Rule Updates'!$A:$A,0)),"Review"))</f>
        <v/>
      </c>
      <c r="F620" s="12" t="n">
        <v>61.69</v>
      </c>
      <c r="G620" s="12" t="n">
        <v>670.8099999999999</v>
      </c>
      <c r="H620" s="10" t="n">
        <v>5</v>
      </c>
      <c r="I620" s="10">
        <f>IF(OR(D620="Uncategorised",E620=""),"Check","")</f>
        <v/>
      </c>
    </row>
    <row r="621">
      <c r="A621" s="10" t="inlineStr">
        <is>
          <t>Amex Jun-2025</t>
        </is>
      </c>
      <c r="B621" s="11" t="n">
        <v>45824</v>
      </c>
      <c r="C621" s="10" t="inlineStr">
        <is>
          <t>BOOTS THE CHEMIST HOUNSLOW</t>
        </is>
      </c>
      <c r="D621" s="10">
        <f>IFERROR(INDEX('Review Items'!$D:$D,MATCH(C621,'Review Items'!$B:$B,0)),IFERROR(INDEX('Rule Updates'!$B:$B,MATCH(C621,'Rule Updates'!$A:$A,0)),"Uncategorised"))</f>
        <v/>
      </c>
      <c r="E621" s="10">
        <f>IFERROR(INDEX('Review Items'!$E:$E,MATCH(C621,'Review Items'!$B:$B,0)),IFERROR(INDEX('Rule Updates'!$C:$C,MATCH(C621,'Rule Updates'!$A:$A,0)),"Review"))</f>
        <v/>
      </c>
      <c r="F621" s="12" t="n">
        <v>59.65</v>
      </c>
      <c r="G621" s="12" t="n">
        <v>648.55</v>
      </c>
      <c r="H621" s="10" t="n">
        <v>5</v>
      </c>
      <c r="I621" s="10">
        <f>IF(OR(D621="Uncategorised",E621=""),"Check","")</f>
        <v/>
      </c>
    </row>
    <row r="622">
      <c r="A622" s="10" t="inlineStr">
        <is>
          <t>Amex Jun-2025</t>
        </is>
      </c>
      <c r="B622" s="11" t="n">
        <v>45824</v>
      </c>
      <c r="C622" s="10" t="inlineStr">
        <is>
          <t>GLOBALE*/ZADIGVOLTAIRE LONDON</t>
        </is>
      </c>
      <c r="D622" s="10">
        <f>IFERROR(INDEX('Review Items'!$D:$D,MATCH(C622,'Review Items'!$B:$B,0)),IFERROR(INDEX('Rule Updates'!$B:$B,MATCH(C622,'Rule Updates'!$A:$A,0)),"Uncategorised"))</f>
        <v/>
      </c>
      <c r="E622" s="10">
        <f>IFERROR(INDEX('Review Items'!$E:$E,MATCH(C622,'Review Items'!$B:$B,0)),IFERROR(INDEX('Rule Updates'!$C:$C,MATCH(C622,'Rule Updates'!$A:$A,0)),"Review"))</f>
        <v/>
      </c>
      <c r="F622" s="12" t="n">
        <v>259</v>
      </c>
      <c r="G622" s="12" t="n">
        <v>2825.71</v>
      </c>
      <c r="H622" s="10" t="n">
        <v>5</v>
      </c>
      <c r="I622" s="10">
        <f>IF(OR(D622="Uncategorised",E622=""),"Check","")</f>
        <v/>
      </c>
    </row>
    <row r="623">
      <c r="A623" s="10" t="inlineStr">
        <is>
          <t>Amex Jun-2025</t>
        </is>
      </c>
      <c r="B623" s="11" t="n">
        <v>45824</v>
      </c>
      <c r="C623" s="10" t="inlineStr">
        <is>
          <t>W HSMITH TRAVEL HEATH HOWNSLOW</t>
        </is>
      </c>
      <c r="D623" s="10">
        <f>IFERROR(INDEX('Review Items'!$D:$D,MATCH(C623,'Review Items'!$B:$B,0)),IFERROR(INDEX('Rule Updates'!$B:$B,MATCH(C623,'Rule Updates'!$A:$A,0)),"Uncategorised"))</f>
        <v/>
      </c>
      <c r="E623" s="10">
        <f>IFERROR(INDEX('Review Items'!$E:$E,MATCH(C623,'Review Items'!$B:$B,0)),IFERROR(INDEX('Rule Updates'!$C:$C,MATCH(C623,'Rule Updates'!$A:$A,0)),"Review"))</f>
        <v/>
      </c>
      <c r="F623" s="12" t="n">
        <v>14.98</v>
      </c>
      <c r="G623" s="12" t="n">
        <v>162.86</v>
      </c>
      <c r="H623" s="10" t="n">
        <v>5</v>
      </c>
      <c r="I623" s="10">
        <f>IF(OR(D623="Uncategorised",E623=""),"Check","")</f>
        <v/>
      </c>
    </row>
    <row r="624">
      <c r="A624" s="10" t="inlineStr">
        <is>
          <t>Amex Jun-2025</t>
        </is>
      </c>
      <c r="B624" s="11" t="n">
        <v>45825</v>
      </c>
      <c r="C624" s="10" t="inlineStr">
        <is>
          <t>ROMEO ALBERGHI NAPOLI</t>
        </is>
      </c>
      <c r="D624" s="10">
        <f>IFERROR(INDEX('Review Items'!$D:$D,MATCH(C624,'Review Items'!$B:$B,0)),IFERROR(INDEX('Rule Updates'!$B:$B,MATCH(C624,'Rule Updates'!$A:$A,0)),"Uncategorised"))</f>
        <v/>
      </c>
      <c r="E624" s="10">
        <f>IFERROR(INDEX('Review Items'!$E:$E,MATCH(C624,'Review Items'!$B:$B,0)),IFERROR(INDEX('Rule Updates'!$C:$C,MATCH(C624,'Rule Updates'!$A:$A,0)),"Review"))</f>
        <v/>
      </c>
      <c r="F624" s="12" t="n">
        <v>2.454</v>
      </c>
      <c r="G624" s="12" t="n">
        <v>22824.22</v>
      </c>
      <c r="H624" s="10" t="n">
        <v>5</v>
      </c>
      <c r="I624" s="10">
        <f>IF(OR(D624="Uncategorised",E624=""),"Check","")</f>
        <v/>
      </c>
    </row>
    <row r="625">
      <c r="A625" s="10" t="inlineStr">
        <is>
          <t>Amex Jun-2025</t>
        </is>
      </c>
      <c r="B625" s="11" t="n">
        <v>45827</v>
      </c>
      <c r="C625" s="10" t="inlineStr">
        <is>
          <t>3CPAYMENT*SIX SENSES IB GETARIA</t>
        </is>
      </c>
      <c r="D625" s="10">
        <f>IFERROR(INDEX('Review Items'!$D:$D,MATCH(C625,'Review Items'!$B:$B,0)),IFERROR(INDEX('Rule Updates'!$B:$B,MATCH(C625,'Rule Updates'!$A:$A,0)),"Uncategorised"))</f>
        <v/>
      </c>
      <c r="E625" s="10">
        <f>IFERROR(INDEX('Review Items'!$E:$E,MATCH(C625,'Review Items'!$B:$B,0)),IFERROR(INDEX('Rule Updates'!$C:$C,MATCH(C625,'Rule Updates'!$A:$A,0)),"Review"))</f>
        <v/>
      </c>
      <c r="F625" s="12" t="n">
        <v>13.33</v>
      </c>
      <c r="G625" s="12" t="n">
        <v>122613.62</v>
      </c>
      <c r="H625" s="10" t="n">
        <v>5</v>
      </c>
      <c r="I625" s="10">
        <f>IF(OR(D625="Uncategorised",E625=""),"Check","")</f>
        <v/>
      </c>
    </row>
    <row r="626">
      <c r="A626" s="10" t="inlineStr">
        <is>
          <t>Amex Jun-2025</t>
        </is>
      </c>
      <c r="B626" s="11" t="n">
        <v>45827</v>
      </c>
      <c r="C626" s="10" t="inlineStr">
        <is>
          <t>RISTORANTE PAOLINO CAPRI</t>
        </is>
      </c>
      <c r="D626" s="10">
        <f>IFERROR(INDEX('Review Items'!$D:$D,MATCH(C626,'Review Items'!$B:$B,0)),IFERROR(INDEX('Rule Updates'!$B:$B,MATCH(C626,'Rule Updates'!$A:$A,0)),"Uncategorised"))</f>
        <v/>
      </c>
      <c r="E626" s="10">
        <f>IFERROR(INDEX('Review Items'!$E:$E,MATCH(C626,'Review Items'!$B:$B,0)),IFERROR(INDEX('Rule Updates'!$C:$C,MATCH(C626,'Rule Updates'!$A:$A,0)),"Review"))</f>
        <v/>
      </c>
      <c r="F626" s="12" t="n">
        <v>3.291</v>
      </c>
      <c r="G626" s="12" t="n">
        <v>30271.68</v>
      </c>
      <c r="H626" s="10" t="n">
        <v>7</v>
      </c>
      <c r="I626" s="10">
        <f>IF(OR(D626="Uncategorised",E626=""),"Check","")</f>
        <v/>
      </c>
    </row>
    <row r="627">
      <c r="A627" s="10" t="inlineStr">
        <is>
          <t>Amex Jun-2025</t>
        </is>
      </c>
      <c r="B627" s="11" t="n">
        <v>45829</v>
      </c>
      <c r="C627" s="10" t="inlineStr">
        <is>
          <t>BARRALONXCICCIO BONIFACIO</t>
        </is>
      </c>
      <c r="D627" s="10">
        <f>IFERROR(INDEX('Review Items'!$D:$D,MATCH(C627,'Review Items'!$B:$B,0)),IFERROR(INDEX('Rule Updates'!$B:$B,MATCH(C627,'Rule Updates'!$A:$A,0)),"Uncategorised"))</f>
        <v/>
      </c>
      <c r="E627" s="10">
        <f>IFERROR(INDEX('Review Items'!$E:$E,MATCH(C627,'Review Items'!$B:$B,0)),IFERROR(INDEX('Rule Updates'!$C:$C,MATCH(C627,'Rule Updates'!$A:$A,0)),"Review"))</f>
        <v/>
      </c>
      <c r="F627" s="12" t="n">
        <v>4000</v>
      </c>
      <c r="G627" s="12" t="n">
        <v>369.44</v>
      </c>
      <c r="H627" s="10" t="n">
        <v>7</v>
      </c>
      <c r="I627" s="10">
        <f>IF(OR(D627="Uncategorised",E627=""),"Check","")</f>
        <v/>
      </c>
    </row>
    <row r="628">
      <c r="A628" s="10" t="inlineStr">
        <is>
          <t>Amex Jun-2025</t>
        </is>
      </c>
      <c r="B628" s="11" t="n">
        <v>45829</v>
      </c>
      <c r="C628" s="10" t="inlineStr">
        <is>
          <t>CHEZ LUCETTE ET FILS BONIFACIO</t>
        </is>
      </c>
      <c r="D628" s="10">
        <f>IFERROR(INDEX('Review Items'!$D:$D,MATCH(C628,'Review Items'!$B:$B,0)),IFERROR(INDEX('Rule Updates'!$B:$B,MATCH(C628,'Rule Updates'!$A:$A,0)),"Uncategorised"))</f>
        <v/>
      </c>
      <c r="E628" s="10">
        <f>IFERROR(INDEX('Review Items'!$E:$E,MATCH(C628,'Review Items'!$B:$B,0)),IFERROR(INDEX('Rule Updates'!$C:$C,MATCH(C628,'Rule Updates'!$A:$A,0)),"Review"))</f>
        <v/>
      </c>
      <c r="F628" s="12" t="n">
        <v>53346</v>
      </c>
      <c r="G628" s="12" t="n">
        <v>4927.5</v>
      </c>
      <c r="H628" s="10" t="n">
        <v>7</v>
      </c>
      <c r="I628" s="10">
        <f>IF(OR(D628="Uncategorised",E628=""),"Check","")</f>
        <v/>
      </c>
    </row>
    <row r="629">
      <c r="A629" s="10" t="inlineStr">
        <is>
          <t>Amex Jun-2025</t>
        </is>
      </c>
      <c r="B629" s="11" t="n">
        <v>45829</v>
      </c>
      <c r="C629" s="10" t="inlineStr">
        <is>
          <t>ET TA SOEUR BONIFACIO</t>
        </is>
      </c>
      <c r="D629" s="10">
        <f>IFERROR(INDEX('Review Items'!$D:$D,MATCH(C629,'Review Items'!$B:$B,0)),IFERROR(INDEX('Rule Updates'!$B:$B,MATCH(C629,'Rule Updates'!$A:$A,0)),"Uncategorised"))</f>
        <v/>
      </c>
      <c r="E629" s="10">
        <f>IFERROR(INDEX('Review Items'!$E:$E,MATCH(C629,'Review Items'!$B:$B,0)),IFERROR(INDEX('Rule Updates'!$C:$C,MATCH(C629,'Rule Updates'!$A:$A,0)),"Review"))</f>
        <v/>
      </c>
      <c r="F629" s="12" t="n">
        <v>5500</v>
      </c>
      <c r="G629" s="12" t="n">
        <v>508.04</v>
      </c>
      <c r="H629" s="10" t="n">
        <v>7</v>
      </c>
      <c r="I629" s="10">
        <f>IF(OR(D629="Uncategorised",E629=""),"Check","")</f>
        <v/>
      </c>
    </row>
    <row r="630">
      <c r="A630" s="10" t="inlineStr">
        <is>
          <t>Amex Jun-2025</t>
        </is>
      </c>
      <c r="B630" s="11" t="n">
        <v>45829</v>
      </c>
      <c r="C630" s="10" t="inlineStr">
        <is>
          <t>GARMIN (EUROPE) LIMITED SOUTHAMPTON</t>
        </is>
      </c>
      <c r="D630" s="10">
        <f>IFERROR(INDEX('Review Items'!$D:$D,MATCH(C630,'Review Items'!$B:$B,0)),IFERROR(INDEX('Rule Updates'!$B:$B,MATCH(C630,'Rule Updates'!$A:$A,0)),"Uncategorised"))</f>
        <v/>
      </c>
      <c r="E630" s="10">
        <f>IFERROR(INDEX('Review Items'!$E:$E,MATCH(C630,'Review Items'!$B:$B,0)),IFERROR(INDEX('Rule Updates'!$C:$C,MATCH(C630,'Rule Updates'!$A:$A,0)),"Review"))</f>
        <v/>
      </c>
      <c r="F630" s="10" t="n"/>
      <c r="G630" s="12" t="n">
        <v>89</v>
      </c>
      <c r="H630" s="10" t="n">
        <v>5</v>
      </c>
      <c r="I630" s="10">
        <f>IF(OR(D630="Uncategorised",E630=""),"Check","")</f>
        <v/>
      </c>
    </row>
    <row r="631">
      <c r="A631" s="10" t="inlineStr">
        <is>
          <t>Amex Jun-2025</t>
        </is>
      </c>
      <c r="B631" s="11" t="n">
        <v>45829</v>
      </c>
      <c r="C631" s="10" t="inlineStr">
        <is>
          <t>MER ET DECOUVERTES BONIFACIO</t>
        </is>
      </c>
      <c r="D631" s="10">
        <f>IFERROR(INDEX('Review Items'!$D:$D,MATCH(C631,'Review Items'!$B:$B,0)),IFERROR(INDEX('Rule Updates'!$B:$B,MATCH(C631,'Rule Updates'!$A:$A,0)),"Uncategorised"))</f>
        <v/>
      </c>
      <c r="E631" s="10">
        <f>IFERROR(INDEX('Review Items'!$E:$E,MATCH(C631,'Review Items'!$B:$B,0)),IFERROR(INDEX('Rule Updates'!$C:$C,MATCH(C631,'Rule Updates'!$A:$A,0)),"Review"))</f>
        <v/>
      </c>
      <c r="F631" s="12" t="n">
        <v>3.2</v>
      </c>
      <c r="G631" s="12" t="n">
        <v>29557.99</v>
      </c>
      <c r="H631" s="10" t="n">
        <v>7</v>
      </c>
      <c r="I631" s="10">
        <f>IF(OR(D631="Uncategorised",E631=""),"Check","")</f>
        <v/>
      </c>
    </row>
    <row r="632">
      <c r="A632" s="10" t="inlineStr">
        <is>
          <t>Amex Jun-2025</t>
        </is>
      </c>
      <c r="B632" s="11" t="n">
        <v>45830</v>
      </c>
      <c r="C632" s="10" t="inlineStr">
        <is>
          <t>KATES BREAD OJAI</t>
        </is>
      </c>
      <c r="D632" s="10">
        <f>IFERROR(INDEX('Review Items'!$D:$D,MATCH(C632,'Review Items'!$B:$B,0)),IFERROR(INDEX('Rule Updates'!$B:$B,MATCH(C632,'Rule Updates'!$A:$A,0)),"Uncategorised"))</f>
        <v/>
      </c>
      <c r="E632" s="10">
        <f>IFERROR(INDEX('Review Items'!$E:$E,MATCH(C632,'Review Items'!$B:$B,0)),IFERROR(INDEX('Rule Updates'!$C:$C,MATCH(C632,'Rule Updates'!$A:$A,0)),"Review"))</f>
        <v/>
      </c>
      <c r="F632" s="12" t="n">
        <v>5</v>
      </c>
      <c r="G632" s="12" t="n">
        <v>40.03</v>
      </c>
      <c r="H632" s="10" t="n">
        <v>5</v>
      </c>
      <c r="I632" s="10">
        <f>IF(OR(D632="Uncategorised",E632=""),"Check","")</f>
        <v/>
      </c>
    </row>
    <row r="633">
      <c r="A633" s="10" t="inlineStr">
        <is>
          <t>Amex Jun-2025</t>
        </is>
      </c>
      <c r="B633" s="11" t="n">
        <v>45831</v>
      </c>
      <c r="C633" s="10" t="inlineStr">
        <is>
          <t>EL RAIS 335128740 MAO</t>
        </is>
      </c>
      <c r="D633" s="10">
        <f>IFERROR(INDEX('Review Items'!$D:$D,MATCH(C633,'Review Items'!$B:$B,0)),IFERROR(INDEX('Rule Updates'!$B:$B,MATCH(C633,'Rule Updates'!$A:$A,0)),"Uncategorised"))</f>
        <v/>
      </c>
      <c r="E633" s="10">
        <f>IFERROR(INDEX('Review Items'!$E:$E,MATCH(C633,'Review Items'!$B:$B,0)),IFERROR(INDEX('Rule Updates'!$C:$C,MATCH(C633,'Rule Updates'!$A:$A,0)),"Review"))</f>
        <v/>
      </c>
      <c r="F633" s="12" t="n">
        <v>80350</v>
      </c>
      <c r="G633" s="12" t="n">
        <v>7421.84</v>
      </c>
      <c r="H633" s="10" t="n">
        <v>7</v>
      </c>
      <c r="I633" s="10">
        <f>IF(OR(D633="Uncategorised",E633=""),"Check","")</f>
        <v/>
      </c>
    </row>
    <row r="634">
      <c r="A634" s="10" t="inlineStr">
        <is>
          <t>Amex Jun-2025</t>
        </is>
      </c>
      <c r="B634" s="11" t="n">
        <v>45831</v>
      </c>
      <c r="C634" s="10" t="inlineStr">
        <is>
          <t>NET-A-PORTER GROUP LTD LONDON</t>
        </is>
      </c>
      <c r="D634" s="10">
        <f>IFERROR(INDEX('Review Items'!$D:$D,MATCH(C634,'Review Items'!$B:$B,0)),IFERROR(INDEX('Rule Updates'!$B:$B,MATCH(C634,'Rule Updates'!$A:$A,0)),"Uncategorised"))</f>
        <v/>
      </c>
      <c r="E634" s="10">
        <f>IFERROR(INDEX('Review Items'!$E:$E,MATCH(C634,'Review Items'!$B:$B,0)),IFERROR(INDEX('Rule Updates'!$C:$C,MATCH(C634,'Rule Updates'!$A:$A,0)),"Review"))</f>
        <v/>
      </c>
      <c r="F634" s="12" t="n">
        <v>885</v>
      </c>
      <c r="G634" s="12" t="n">
        <v>-9389.23</v>
      </c>
      <c r="H634" s="10" t="n">
        <v>5</v>
      </c>
      <c r="I634" s="10">
        <f>IF(OR(D634="Uncategorised",E634=""),"Check","")</f>
        <v/>
      </c>
    </row>
    <row r="635">
      <c r="A635" s="10" t="inlineStr">
        <is>
          <t>Amex Jun-2025</t>
        </is>
      </c>
      <c r="B635" s="11" t="n">
        <v>45831</v>
      </c>
      <c r="C635" s="10" t="inlineStr">
        <is>
          <t>NET-A-PORTER GROUP LTD LONDON</t>
        </is>
      </c>
      <c r="D635" s="10">
        <f>IFERROR(INDEX('Review Items'!$D:$D,MATCH(C635,'Review Items'!$B:$B,0)),IFERROR(INDEX('Rule Updates'!$B:$B,MATCH(C635,'Rule Updates'!$A:$A,0)),"Uncategorised"))</f>
        <v/>
      </c>
      <c r="E635" s="10">
        <f>IFERROR(INDEX('Review Items'!$E:$E,MATCH(C635,'Review Items'!$B:$B,0)),IFERROR(INDEX('Rule Updates'!$C:$C,MATCH(C635,'Rule Updates'!$A:$A,0)),"Review"))</f>
        <v/>
      </c>
      <c r="F635" s="12" t="n">
        <v>420</v>
      </c>
      <c r="G635" s="12" t="n">
        <v>-4455.9</v>
      </c>
      <c r="H635" s="10" t="n">
        <v>5</v>
      </c>
      <c r="I635" s="10">
        <f>IF(OR(D635="Uncategorised",E635=""),"Check","")</f>
        <v/>
      </c>
    </row>
    <row r="636">
      <c r="A636" s="10" t="inlineStr">
        <is>
          <t>Amex Jun-2025</t>
        </is>
      </c>
      <c r="B636" s="11" t="n">
        <v>45832</v>
      </c>
      <c r="C636" s="10" t="inlineStr">
        <is>
          <t>MOBILE NEWT SOMERSET</t>
        </is>
      </c>
      <c r="D636" s="10">
        <f>IFERROR(INDEX('Review Items'!$D:$D,MATCH(C636,'Review Items'!$B:$B,0)),IFERROR(INDEX('Rule Updates'!$B:$B,MATCH(C636,'Rule Updates'!$A:$A,0)),"Uncategorised"))</f>
        <v/>
      </c>
      <c r="E636" s="10">
        <f>IFERROR(INDEX('Review Items'!$E:$E,MATCH(C636,'Review Items'!$B:$B,0)),IFERROR(INDEX('Rule Updates'!$C:$C,MATCH(C636,'Rule Updates'!$A:$A,0)),"Review"))</f>
        <v/>
      </c>
      <c r="F636" s="12" t="n">
        <v>51.45</v>
      </c>
      <c r="G636" s="12" t="n">
        <v>556.08</v>
      </c>
      <c r="H636" s="10" t="n">
        <v>6</v>
      </c>
      <c r="I636" s="10">
        <f>IF(OR(D636="Uncategorised",E636=""),"Check","")</f>
        <v/>
      </c>
    </row>
    <row r="637">
      <c r="A637" s="10" t="inlineStr">
        <is>
          <t>Amex Jun-2025</t>
        </is>
      </c>
      <c r="B637" s="11" t="n">
        <v>45832</v>
      </c>
      <c r="C637" s="10" t="inlineStr">
        <is>
          <t>SP OSTRICHPILLOW MADRID</t>
        </is>
      </c>
      <c r="D637" s="10">
        <f>IFERROR(INDEX('Review Items'!$D:$D,MATCH(C637,'Review Items'!$B:$B,0)),IFERROR(INDEX('Rule Updates'!$B:$B,MATCH(C637,'Rule Updates'!$A:$A,0)),"Uncategorised"))</f>
        <v/>
      </c>
      <c r="E637" s="10">
        <f>IFERROR(INDEX('Review Items'!$E:$E,MATCH(C637,'Review Items'!$B:$B,0)),IFERROR(INDEX('Rule Updates'!$C:$C,MATCH(C637,'Rule Updates'!$A:$A,0)),"Review"))</f>
        <v/>
      </c>
      <c r="F637" s="12" t="n">
        <v>112.15</v>
      </c>
      <c r="G637" s="12" t="n">
        <v>1212.09</v>
      </c>
      <c r="H637" s="10" t="n">
        <v>6</v>
      </c>
      <c r="I637" s="10">
        <f>IF(OR(D637="Uncategorised",E637=""),"Check","")</f>
        <v/>
      </c>
    </row>
    <row r="638">
      <c r="A638" s="10" t="inlineStr">
        <is>
          <t>Amex Jul-2025</t>
        </is>
      </c>
      <c r="B638" s="11" t="n">
        <v>45834</v>
      </c>
      <c r="C638" s="10" t="inlineStr">
        <is>
          <t>AGORA IBIZA 367352630 SANT JOAN LAB</t>
        </is>
      </c>
      <c r="D638" s="10">
        <f>IFERROR(INDEX('Review Items'!$D:$D,MATCH(C638,'Review Items'!$B:$B,0)),IFERROR(INDEX('Rule Updates'!$B:$B,MATCH(C638,'Rule Updates'!$A:$A,0)),"Uncategorised"))</f>
        <v/>
      </c>
      <c r="E638" s="10">
        <f>IFERROR(INDEX('Review Items'!$E:$E,MATCH(C638,'Review Items'!$B:$B,0)),IFERROR(INDEX('Rule Updates'!$C:$C,MATCH(C638,'Rule Updates'!$A:$A,0)),"Review"))</f>
        <v/>
      </c>
      <c r="F638" s="12" t="n">
        <v>13.72</v>
      </c>
      <c r="G638" s="12" t="n">
        <v>127720.42</v>
      </c>
      <c r="H638" s="10" t="n">
        <v>1</v>
      </c>
      <c r="I638" s="10">
        <f>IF(OR(D638="Uncategorised",E638=""),"Check","")</f>
        <v/>
      </c>
    </row>
    <row r="639">
      <c r="A639" s="10" t="inlineStr">
        <is>
          <t>Amex Jul-2025</t>
        </is>
      </c>
      <c r="B639" s="11" t="n">
        <v>45835</v>
      </c>
      <c r="C639" s="10" t="inlineStr">
        <is>
          <t>AGORA IBIZA 367352630 SANT JOAN LAB</t>
        </is>
      </c>
      <c r="D639" s="10">
        <f>IFERROR(INDEX('Review Items'!$D:$D,MATCH(C639,'Review Items'!$B:$B,0)),IFERROR(INDEX('Rule Updates'!$B:$B,MATCH(C639,'Rule Updates'!$A:$A,0)),"Uncategorised"))</f>
        <v/>
      </c>
      <c r="E639" s="10">
        <f>IFERROR(INDEX('Review Items'!$E:$E,MATCH(C639,'Review Items'!$B:$B,0)),IFERROR(INDEX('Rule Updates'!$C:$C,MATCH(C639,'Rule Updates'!$A:$A,0)),"Review"))</f>
        <v/>
      </c>
      <c r="F639" s="12" t="n">
        <v>2.25</v>
      </c>
      <c r="G639" s="12" t="n">
        <v>21161.83</v>
      </c>
      <c r="H639" s="10" t="n">
        <v>1</v>
      </c>
      <c r="I639" s="10">
        <f>IF(OR(D639="Uncategorised",E639=""),"Check","")</f>
        <v/>
      </c>
    </row>
    <row r="640">
      <c r="A640" s="10" t="inlineStr">
        <is>
          <t>Amex Jul-2025</t>
        </is>
      </c>
      <c r="B640" s="11" t="n">
        <v>45835</v>
      </c>
      <c r="C640" s="10" t="inlineStr">
        <is>
          <t>RESTAURANTE NUDO 367354 SANT CARLESD</t>
        </is>
      </c>
      <c r="D640" s="10">
        <f>IFERROR(INDEX('Review Items'!$D:$D,MATCH(C640,'Review Items'!$B:$B,0)),IFERROR(INDEX('Rule Updates'!$B:$B,MATCH(C640,'Rule Updates'!$A:$A,0)),"Uncategorised"))</f>
        <v/>
      </c>
      <c r="E640" s="10">
        <f>IFERROR(INDEX('Review Items'!$E:$E,MATCH(C640,'Review Items'!$B:$B,0)),IFERROR(INDEX('Rule Updates'!$C:$C,MATCH(C640,'Rule Updates'!$A:$A,0)),"Review"))</f>
        <v/>
      </c>
      <c r="F640" s="12" t="n">
        <v>1.456</v>
      </c>
      <c r="G640" s="12" t="n">
        <v>13694.08</v>
      </c>
      <c r="H640" s="10" t="n">
        <v>4</v>
      </c>
      <c r="I640" s="10">
        <f>IF(OR(D640="Uncategorised",E640=""),"Check","")</f>
        <v/>
      </c>
    </row>
    <row r="641">
      <c r="A641" s="10" t="inlineStr">
        <is>
          <t>Amex Jul-2025</t>
        </is>
      </c>
      <c r="B641" s="11" t="n">
        <v>45836</v>
      </c>
      <c r="C641" s="10" t="inlineStr">
        <is>
          <t>3CPAYMENT*SIX SENSES IB PORTINATX</t>
        </is>
      </c>
      <c r="D641" s="10">
        <f>IFERROR(INDEX('Review Items'!$D:$D,MATCH(C641,'Review Items'!$B:$B,0)),IFERROR(INDEX('Rule Updates'!$B:$B,MATCH(C641,'Rule Updates'!$A:$A,0)),"Uncategorised"))</f>
        <v/>
      </c>
      <c r="E641" s="10">
        <f>IFERROR(INDEX('Review Items'!$E:$E,MATCH(C641,'Review Items'!$B:$B,0)),IFERROR(INDEX('Rule Updates'!$C:$C,MATCH(C641,'Rule Updates'!$A:$A,0)),"Review"))</f>
        <v/>
      </c>
      <c r="F641" s="12" t="n">
        <v>3500</v>
      </c>
      <c r="G641" s="12" t="n">
        <v>329.48</v>
      </c>
      <c r="H641" s="10" t="n">
        <v>1</v>
      </c>
      <c r="I641" s="10">
        <f>IF(OR(D641="Uncategorised",E641=""),"Check","")</f>
        <v/>
      </c>
    </row>
    <row r="642">
      <c r="A642" s="10" t="inlineStr">
        <is>
          <t>Amex Jul-2025</t>
        </is>
      </c>
      <c r="B642" s="11" t="n">
        <v>45836</v>
      </c>
      <c r="C642" s="10" t="inlineStr">
        <is>
          <t>3CPAYMENT*SIX SENSES IB PORTINATX</t>
        </is>
      </c>
      <c r="D642" s="10">
        <f>IFERROR(INDEX('Review Items'!$D:$D,MATCH(C642,'Review Items'!$B:$B,0)),IFERROR(INDEX('Rule Updates'!$B:$B,MATCH(C642,'Rule Updates'!$A:$A,0)),"Uncategorised"))</f>
        <v/>
      </c>
      <c r="E642" s="10">
        <f>IFERROR(INDEX('Review Items'!$E:$E,MATCH(C642,'Review Items'!$B:$B,0)),IFERROR(INDEX('Rule Updates'!$C:$C,MATCH(C642,'Rule Updates'!$A:$A,0)),"Review"))</f>
        <v/>
      </c>
      <c r="F642" s="12" t="n">
        <v>2.051</v>
      </c>
      <c r="G642" s="12" t="n">
        <v>19313.03</v>
      </c>
      <c r="H642" s="10" t="n">
        <v>1</v>
      </c>
      <c r="I642" s="10">
        <f>IF(OR(D642="Uncategorised",E642=""),"Check","")</f>
        <v/>
      </c>
    </row>
    <row r="643">
      <c r="A643" s="10" t="inlineStr">
        <is>
          <t>Amex Jul-2025</t>
        </is>
      </c>
      <c r="B643" s="11" t="n">
        <v>45838</v>
      </c>
      <c r="C643" s="10" t="inlineStr">
        <is>
          <t>AMATHUS (Bath) Bath</t>
        </is>
      </c>
      <c r="D643" s="10">
        <f>IFERROR(INDEX('Review Items'!$D:$D,MATCH(C643,'Review Items'!$B:$B,0)),IFERROR(INDEX('Rule Updates'!$B:$B,MATCH(C643,'Rule Updates'!$A:$A,0)),"Uncategorised"))</f>
        <v/>
      </c>
      <c r="E643" s="10">
        <f>IFERROR(INDEX('Review Items'!$E:$E,MATCH(C643,'Review Items'!$B:$B,0)),IFERROR(INDEX('Rule Updates'!$C:$C,MATCH(C643,'Rule Updates'!$A:$A,0)),"Review"))</f>
        <v/>
      </c>
      <c r="F643" s="12" t="n">
        <v>85.5</v>
      </c>
      <c r="G643" s="12" t="n">
        <v>941.6900000000001</v>
      </c>
      <c r="H643" s="10" t="n">
        <v>2</v>
      </c>
      <c r="I643" s="10">
        <f>IF(OR(D643="Uncategorised",E643=""),"Check","")</f>
        <v/>
      </c>
    </row>
    <row r="644">
      <c r="A644" s="10" t="inlineStr">
        <is>
          <t>Amex Jul-2025</t>
        </is>
      </c>
      <c r="B644" s="11" t="n">
        <v>45838</v>
      </c>
      <c r="C644" s="10" t="inlineStr">
        <is>
          <t>COLONNA &amp; SMALL'SLIMIT Bath</t>
        </is>
      </c>
      <c r="D644" s="10">
        <f>IFERROR(INDEX('Review Items'!$D:$D,MATCH(C644,'Review Items'!$B:$B,0)),IFERROR(INDEX('Rule Updates'!$B:$B,MATCH(C644,'Rule Updates'!$A:$A,0)),"Uncategorised"))</f>
        <v/>
      </c>
      <c r="E644" s="10">
        <f>IFERROR(INDEX('Review Items'!$E:$E,MATCH(C644,'Review Items'!$B:$B,0)),IFERROR(INDEX('Rule Updates'!$C:$C,MATCH(C644,'Rule Updates'!$A:$A,0)),"Review"))</f>
        <v/>
      </c>
      <c r="F644" s="12" t="n">
        <v>93</v>
      </c>
      <c r="G644" s="12" t="n">
        <v>1024.32</v>
      </c>
      <c r="H644" s="10" t="n">
        <v>2</v>
      </c>
      <c r="I644" s="10">
        <f>IF(OR(D644="Uncategorised",E644=""),"Check","")</f>
        <v/>
      </c>
    </row>
    <row r="645">
      <c r="A645" s="10" t="inlineStr">
        <is>
          <t>Amex Jul-2025</t>
        </is>
      </c>
      <c r="B645" s="11" t="n">
        <v>45838</v>
      </c>
      <c r="C645" s="10" t="inlineStr">
        <is>
          <t>TRAINLINE Trainline LONDON</t>
        </is>
      </c>
      <c r="D645" s="10">
        <f>IFERROR(INDEX('Review Items'!$D:$D,MATCH(C645,'Review Items'!$B:$B,0)),IFERROR(INDEX('Rule Updates'!$B:$B,MATCH(C645,'Rule Updates'!$A:$A,0)),"Uncategorised"))</f>
        <v/>
      </c>
      <c r="E645" s="10">
        <f>IFERROR(INDEX('Review Items'!$E:$E,MATCH(C645,'Review Items'!$B:$B,0)),IFERROR(INDEX('Rule Updates'!$C:$C,MATCH(C645,'Rule Updates'!$A:$A,0)),"Review"))</f>
        <v/>
      </c>
      <c r="F645" s="12" t="n">
        <v>129.99</v>
      </c>
      <c r="G645" s="12" t="n">
        <v>1430</v>
      </c>
      <c r="H645" s="10" t="n">
        <v>2</v>
      </c>
      <c r="I645" s="10">
        <f>IF(OR(D645="Uncategorised",E645=""),"Check","")</f>
        <v/>
      </c>
    </row>
    <row r="646">
      <c r="A646" s="10" t="inlineStr">
        <is>
          <t>Amex Jul-2025</t>
        </is>
      </c>
      <c r="B646" s="11" t="n">
        <v>45838</v>
      </c>
      <c r="C646" s="10" t="inlineStr">
        <is>
          <t>WATERSTONES BATH</t>
        </is>
      </c>
      <c r="D646" s="10">
        <f>IFERROR(INDEX('Review Items'!$D:$D,MATCH(C646,'Review Items'!$B:$B,0)),IFERROR(INDEX('Rule Updates'!$B:$B,MATCH(C646,'Rule Updates'!$A:$A,0)),"Uncategorised"))</f>
        <v/>
      </c>
      <c r="E646" s="10">
        <f>IFERROR(INDEX('Review Items'!$E:$E,MATCH(C646,'Review Items'!$B:$B,0)),IFERROR(INDEX('Rule Updates'!$C:$C,MATCH(C646,'Rule Updates'!$A:$A,0)),"Review"))</f>
        <v/>
      </c>
      <c r="F646" s="12" t="n">
        <v>70.95999999999999</v>
      </c>
      <c r="G646" s="12" t="n">
        <v>781.55</v>
      </c>
      <c r="H646" s="10" t="n">
        <v>2</v>
      </c>
      <c r="I646" s="10">
        <f>IF(OR(D646="Uncategorised",E646=""),"Check","")</f>
        <v/>
      </c>
    </row>
    <row r="647">
      <c r="A647" s="10" t="inlineStr">
        <is>
          <t>Amex Jul-2025</t>
        </is>
      </c>
      <c r="B647" s="11" t="n">
        <v>45838</v>
      </c>
      <c r="C647" s="10" t="inlineStr">
        <is>
          <t>ZETTLE *SWOON GELATO LT BATH</t>
        </is>
      </c>
      <c r="D647" s="10">
        <f>IFERROR(INDEX('Review Items'!$D:$D,MATCH(C647,'Review Items'!$B:$B,0)),IFERROR(INDEX('Rule Updates'!$B:$B,MATCH(C647,'Rule Updates'!$A:$A,0)),"Uncategorised"))</f>
        <v/>
      </c>
      <c r="E647" s="10">
        <f>IFERROR(INDEX('Review Items'!$E:$E,MATCH(C647,'Review Items'!$B:$B,0)),IFERROR(INDEX('Rule Updates'!$C:$C,MATCH(C647,'Rule Updates'!$A:$A,0)),"Review"))</f>
        <v/>
      </c>
      <c r="F647" s="12" t="n">
        <v>5.95</v>
      </c>
      <c r="G647" s="12" t="n">
        <v>65.48999999999999</v>
      </c>
      <c r="H647" s="10" t="n">
        <v>1</v>
      </c>
      <c r="I647" s="10">
        <f>IF(OR(D647="Uncategorised",E647=""),"Check","")</f>
        <v/>
      </c>
    </row>
    <row r="648">
      <c r="A648" s="10" t="inlineStr">
        <is>
          <t>Amex Jul-2025</t>
        </is>
      </c>
      <c r="B648" s="11" t="n">
        <v>45838</v>
      </c>
      <c r="C648" s="10" t="inlineStr">
        <is>
          <t>ZETTLE *SWOON GELATO LT BATH</t>
        </is>
      </c>
      <c r="D648" s="10">
        <f>IFERROR(INDEX('Review Items'!$D:$D,MATCH(C648,'Review Items'!$B:$B,0)),IFERROR(INDEX('Rule Updates'!$B:$B,MATCH(C648,'Rule Updates'!$A:$A,0)),"Uncategorised"))</f>
        <v/>
      </c>
      <c r="E648" s="10">
        <f>IFERROR(INDEX('Review Items'!$E:$E,MATCH(C648,'Review Items'!$B:$B,0)),IFERROR(INDEX('Rule Updates'!$C:$C,MATCH(C648,'Rule Updates'!$A:$A,0)),"Review"))</f>
        <v/>
      </c>
      <c r="F648" s="12" t="n">
        <v>18</v>
      </c>
      <c r="G648" s="12" t="n">
        <v>198.24</v>
      </c>
      <c r="H648" s="10" t="n">
        <v>2</v>
      </c>
      <c r="I648" s="10">
        <f>IF(OR(D648="Uncategorised",E648=""),"Check","")</f>
        <v/>
      </c>
    </row>
    <row r="649">
      <c r="A649" s="10" t="inlineStr">
        <is>
          <t>Amex Jul-2025</t>
        </is>
      </c>
      <c r="B649" s="11" t="n">
        <v>45839</v>
      </c>
      <c r="C649" s="10" t="inlineStr">
        <is>
          <t>AMAZON PRIME*N348J9DN2 AMZN.COM/BILL</t>
        </is>
      </c>
      <c r="D649" s="10">
        <f>IFERROR(INDEX('Review Items'!$D:$D,MATCH(C649,'Review Items'!$B:$B,0)),IFERROR(INDEX('Rule Updates'!$B:$B,MATCH(C649,'Rule Updates'!$A:$A,0)),"Uncategorised"))</f>
        <v/>
      </c>
      <c r="E649" s="10">
        <f>IFERROR(INDEX('Review Items'!$E:$E,MATCH(C649,'Review Items'!$B:$B,0)),IFERROR(INDEX('Rule Updates'!$C:$C,MATCH(C649,'Rule Updates'!$A:$A,0)),"Review"))</f>
        <v/>
      </c>
      <c r="F649" s="12" t="n">
        <v>14.99</v>
      </c>
      <c r="G649" s="12" t="n">
        <v>120.03</v>
      </c>
      <c r="H649" s="10" t="n">
        <v>2</v>
      </c>
      <c r="I649" s="10">
        <f>IF(OR(D649="Uncategorised",E649=""),"Check","")</f>
        <v/>
      </c>
    </row>
    <row r="650">
      <c r="A650" s="10" t="inlineStr">
        <is>
          <t>Amex Jul-2025</t>
        </is>
      </c>
      <c r="B650" s="11" t="n">
        <v>45839</v>
      </c>
      <c r="C650" s="10" t="inlineStr">
        <is>
          <t>CURB MOBILITY LONDON</t>
        </is>
      </c>
      <c r="D650" s="10">
        <f>IFERROR(INDEX('Review Items'!$D:$D,MATCH(C650,'Review Items'!$B:$B,0)),IFERROR(INDEX('Rule Updates'!$B:$B,MATCH(C650,'Rule Updates'!$A:$A,0)),"Uncategorised"))</f>
        <v/>
      </c>
      <c r="E650" s="10">
        <f>IFERROR(INDEX('Review Items'!$E:$E,MATCH(C650,'Review Items'!$B:$B,0)),IFERROR(INDEX('Rule Updates'!$C:$C,MATCH(C650,'Rule Updates'!$A:$A,0)),"Review"))</f>
        <v/>
      </c>
      <c r="F650" s="12" t="n">
        <v>11.66</v>
      </c>
      <c r="G650" s="12" t="n">
        <v>128.27</v>
      </c>
      <c r="H650" s="10" t="n">
        <v>2</v>
      </c>
      <c r="I650" s="10">
        <f>IF(OR(D650="Uncategorised",E650=""),"Check","")</f>
        <v/>
      </c>
    </row>
    <row r="651">
      <c r="A651" s="10" t="inlineStr">
        <is>
          <t>Amex Jul-2025</t>
        </is>
      </c>
      <c r="B651" s="11" t="n">
        <v>45839</v>
      </c>
      <c r="C651" s="10" t="inlineStr">
        <is>
          <t>HOW MATCHA London</t>
        </is>
      </c>
      <c r="D651" s="10">
        <f>IFERROR(INDEX('Review Items'!$D:$D,MATCH(C651,'Review Items'!$B:$B,0)),IFERROR(INDEX('Rule Updates'!$B:$B,MATCH(C651,'Rule Updates'!$A:$A,0)),"Uncategorised"))</f>
        <v/>
      </c>
      <c r="E651" s="10">
        <f>IFERROR(INDEX('Review Items'!$E:$E,MATCH(C651,'Review Items'!$B:$B,0)),IFERROR(INDEX('Rule Updates'!$C:$C,MATCH(C651,'Rule Updates'!$A:$A,0)),"Review"))</f>
        <v/>
      </c>
      <c r="F651" s="12" t="n">
        <v>14</v>
      </c>
      <c r="G651" s="12" t="n">
        <v>153.97</v>
      </c>
      <c r="H651" s="10" t="n">
        <v>2</v>
      </c>
      <c r="I651" s="10">
        <f>IF(OR(D651="Uncategorised",E651=""),"Check","")</f>
        <v/>
      </c>
    </row>
    <row r="652">
      <c r="A652" s="10" t="inlineStr">
        <is>
          <t>Amex Jul-2025</t>
        </is>
      </c>
      <c r="B652" s="11" t="n">
        <v>45839</v>
      </c>
      <c r="C652" s="10" t="inlineStr">
        <is>
          <t>TFL TRAVEL CHARGE TFL.GOV.UK/CP</t>
        </is>
      </c>
      <c r="D652" s="10">
        <f>IFERROR(INDEX('Review Items'!$D:$D,MATCH(C652,'Review Items'!$B:$B,0)),IFERROR(INDEX('Rule Updates'!$B:$B,MATCH(C652,'Rule Updates'!$A:$A,0)),"Uncategorised"))</f>
        <v/>
      </c>
      <c r="E652" s="10">
        <f>IFERROR(INDEX('Review Items'!$E:$E,MATCH(C652,'Review Items'!$B:$B,0)),IFERROR(INDEX('Rule Updates'!$C:$C,MATCH(C652,'Rule Updates'!$A:$A,0)),"Review"))</f>
        <v/>
      </c>
      <c r="F652" s="12" t="n">
        <v>2.8</v>
      </c>
      <c r="G652" s="12" t="n">
        <v>30.9</v>
      </c>
      <c r="H652" s="10" t="n">
        <v>2</v>
      </c>
      <c r="I652" s="10">
        <f>IF(OR(D652="Uncategorised",E652=""),"Check","")</f>
        <v/>
      </c>
    </row>
    <row r="653">
      <c r="A653" s="10" t="inlineStr">
        <is>
          <t>Amex Jul-2025</t>
        </is>
      </c>
      <c r="B653" s="11" t="n">
        <v>45839</v>
      </c>
      <c r="C653" s="10" t="inlineStr">
        <is>
          <t>TST-KOYA - SOHO LONDON</t>
        </is>
      </c>
      <c r="D653" s="10">
        <f>IFERROR(INDEX('Review Items'!$D:$D,MATCH(C653,'Review Items'!$B:$B,0)),IFERROR(INDEX('Rule Updates'!$B:$B,MATCH(C653,'Rule Updates'!$A:$A,0)),"Uncategorised"))</f>
        <v/>
      </c>
      <c r="E653" s="10">
        <f>IFERROR(INDEX('Review Items'!$E:$E,MATCH(C653,'Review Items'!$B:$B,0)),IFERROR(INDEX('Rule Updates'!$C:$C,MATCH(C653,'Rule Updates'!$A:$A,0)),"Review"))</f>
        <v/>
      </c>
      <c r="F653" s="12" t="n">
        <v>115.76</v>
      </c>
      <c r="G653" s="12" t="n">
        <v>1273.47</v>
      </c>
      <c r="H653" s="10" t="n">
        <v>2</v>
      </c>
      <c r="I653" s="10">
        <f>IF(OR(D653="Uncategorised",E653=""),"Check","")</f>
        <v/>
      </c>
    </row>
    <row r="654">
      <c r="A654" s="10" t="inlineStr">
        <is>
          <t>Amex Jul-2025</t>
        </is>
      </c>
      <c r="B654" s="11" t="n">
        <v>45839</v>
      </c>
      <c r="C654" s="10" t="inlineStr">
        <is>
          <t>YPO INTL, IRVING,TX-USD IRVING</t>
        </is>
      </c>
      <c r="D654" s="10">
        <f>IFERROR(INDEX('Review Items'!$D:$D,MATCH(C654,'Review Items'!$B:$B,0)),IFERROR(INDEX('Rule Updates'!$B:$B,MATCH(C654,'Rule Updates'!$A:$A,0)),"Uncategorised"))</f>
        <v/>
      </c>
      <c r="E654" s="10">
        <f>IFERROR(INDEX('Review Items'!$E:$E,MATCH(C654,'Review Items'!$B:$B,0)),IFERROR(INDEX('Rule Updates'!$C:$C,MATCH(C654,'Rule Updates'!$A:$A,0)),"Review"))</f>
        <v/>
      </c>
      <c r="F654" s="12" t="n">
        <v>3690</v>
      </c>
      <c r="G654" s="12" t="n">
        <v>29547.33</v>
      </c>
      <c r="H654" s="10" t="n">
        <v>4</v>
      </c>
      <c r="I654" s="10">
        <f>IF(OR(D654="Uncategorised",E654=""),"Check","")</f>
        <v/>
      </c>
    </row>
    <row r="655">
      <c r="A655" s="10" t="inlineStr">
        <is>
          <t>Amex Jul-2025</t>
        </is>
      </c>
      <c r="B655" s="11" t="n">
        <v>45841</v>
      </c>
      <c r="C655" s="10" t="inlineStr">
        <is>
          <t>AMAZON PRIME*DU8OG7U15 AMZN.CO.UK/PM</t>
        </is>
      </c>
      <c r="D655" s="10">
        <f>IFERROR(INDEX('Review Items'!$D:$D,MATCH(C655,'Review Items'!$B:$B,0)),IFERROR(INDEX('Rule Updates'!$B:$B,MATCH(C655,'Rule Updates'!$A:$A,0)),"Uncategorised"))</f>
        <v/>
      </c>
      <c r="E655" s="10">
        <f>IFERROR(INDEX('Review Items'!$E:$E,MATCH(C655,'Review Items'!$B:$B,0)),IFERROR(INDEX('Rule Updates'!$C:$C,MATCH(C655,'Rule Updates'!$A:$A,0)),"Review"))</f>
        <v/>
      </c>
      <c r="F655" s="12" t="n">
        <v>8.99</v>
      </c>
      <c r="G655" s="12" t="n">
        <v>98.8</v>
      </c>
      <c r="H655" s="10" t="n">
        <v>3</v>
      </c>
      <c r="I655" s="10">
        <f>IF(OR(D655="Uncategorised",E655=""),"Check","")</f>
        <v/>
      </c>
    </row>
    <row r="656">
      <c r="A656" s="10" t="inlineStr">
        <is>
          <t>Amex Jul-2025</t>
        </is>
      </c>
      <c r="B656" s="11" t="n">
        <v>45841</v>
      </c>
      <c r="C656" s="10" t="inlineStr">
        <is>
          <t>BURGUNDY ETC CENTRAL</t>
        </is>
      </c>
      <c r="D656" s="10">
        <f>IFERROR(INDEX('Review Items'!$D:$D,MATCH(C656,'Review Items'!$B:$B,0)),IFERROR(INDEX('Rule Updates'!$B:$B,MATCH(C656,'Rule Updates'!$A:$A,0)),"Uncategorised"))</f>
        <v/>
      </c>
      <c r="E656" s="10">
        <f>IFERROR(INDEX('Review Items'!$E:$E,MATCH(C656,'Review Items'!$B:$B,0)),IFERROR(INDEX('Rule Updates'!$C:$C,MATCH(C656,'Rule Updates'!$A:$A,0)),"Review"))</f>
        <v/>
      </c>
      <c r="F656" s="10" t="n"/>
      <c r="G656" s="12" t="n">
        <v>29510</v>
      </c>
      <c r="H656" s="10" t="n">
        <v>3</v>
      </c>
      <c r="I656" s="10">
        <f>IF(OR(D656="Uncategorised",E656=""),"Check","")</f>
        <v/>
      </c>
    </row>
    <row r="657">
      <c r="A657" s="10" t="inlineStr">
        <is>
          <t>Amex Jul-2025</t>
        </is>
      </c>
      <c r="B657" s="11" t="n">
        <v>45841</v>
      </c>
      <c r="C657" s="10" t="inlineStr">
        <is>
          <t>IL COLPO PACIFIC PLACE ADMIRALTY</t>
        </is>
      </c>
      <c r="D657" s="10">
        <f>IFERROR(INDEX('Review Items'!$D:$D,MATCH(C657,'Review Items'!$B:$B,0)),IFERROR(INDEX('Rule Updates'!$B:$B,MATCH(C657,'Rule Updates'!$A:$A,0)),"Uncategorised"))</f>
        <v/>
      </c>
      <c r="E657" s="10">
        <f>IFERROR(INDEX('Review Items'!$E:$E,MATCH(C657,'Review Items'!$B:$B,0)),IFERROR(INDEX('Rule Updates'!$C:$C,MATCH(C657,'Rule Updates'!$A:$A,0)),"Review"))</f>
        <v/>
      </c>
      <c r="F657" s="10" t="n"/>
      <c r="G657" s="12" t="n">
        <v>5760</v>
      </c>
      <c r="H657" s="10" t="n">
        <v>3</v>
      </c>
      <c r="I657" s="10">
        <f>IF(OR(D657="Uncategorised",E657=""),"Check","")</f>
        <v/>
      </c>
    </row>
    <row r="658">
      <c r="A658" s="10" t="inlineStr">
        <is>
          <t>Amex Jul-2025</t>
        </is>
      </c>
      <c r="B658" s="11" t="n">
        <v>45842</v>
      </c>
      <c r="C658" s="10" t="inlineStr">
        <is>
          <t>DOJO*WILTONS LONDON</t>
        </is>
      </c>
      <c r="D658" s="10">
        <f>IFERROR(INDEX('Review Items'!$D:$D,MATCH(C658,'Review Items'!$B:$B,0)),IFERROR(INDEX('Rule Updates'!$B:$B,MATCH(C658,'Rule Updates'!$A:$A,0)),"Uncategorised"))</f>
        <v/>
      </c>
      <c r="E658" s="10">
        <f>IFERROR(INDEX('Review Items'!$E:$E,MATCH(C658,'Review Items'!$B:$B,0)),IFERROR(INDEX('Rule Updates'!$C:$C,MATCH(C658,'Rule Updates'!$A:$A,0)),"Review"))</f>
        <v/>
      </c>
      <c r="F658" s="12" t="n">
        <v>892.9</v>
      </c>
      <c r="G658" s="12" t="n">
        <v>9780.24</v>
      </c>
      <c r="H658" s="10" t="n">
        <v>4</v>
      </c>
      <c r="I658" s="10">
        <f>IF(OR(D658="Uncategorised",E658=""),"Check","")</f>
        <v/>
      </c>
    </row>
    <row r="659">
      <c r="A659" s="10" t="inlineStr">
        <is>
          <t>Amex Jul-2025</t>
        </is>
      </c>
      <c r="B659" s="11" t="n">
        <v>45842</v>
      </c>
      <c r="C659" s="10" t="inlineStr">
        <is>
          <t>PAYPAL *LARQ 4029357733</t>
        </is>
      </c>
      <c r="D659" s="10">
        <f>IFERROR(INDEX('Review Items'!$D:$D,MATCH(C659,'Review Items'!$B:$B,0)),IFERROR(INDEX('Rule Updates'!$B:$B,MATCH(C659,'Rule Updates'!$A:$A,0)),"Uncategorised"))</f>
        <v/>
      </c>
      <c r="E659" s="10">
        <f>IFERROR(INDEX('Review Items'!$E:$E,MATCH(C659,'Review Items'!$B:$B,0)),IFERROR(INDEX('Rule Updates'!$C:$C,MATCH(C659,'Rule Updates'!$A:$A,0)),"Review"))</f>
        <v/>
      </c>
      <c r="F659" s="12" t="n">
        <v>28.54</v>
      </c>
      <c r="G659" s="12" t="n">
        <v>228.53</v>
      </c>
      <c r="H659" s="10" t="n">
        <v>3</v>
      </c>
      <c r="I659" s="10">
        <f>IF(OR(D659="Uncategorised",E659=""),"Check","")</f>
        <v/>
      </c>
    </row>
    <row r="660">
      <c r="A660" s="10" t="inlineStr">
        <is>
          <t>Amex Jul-2025</t>
        </is>
      </c>
      <c r="B660" s="11" t="n">
        <v>45845</v>
      </c>
      <c r="C660" s="10" t="inlineStr">
        <is>
          <t>CITY'SUPER CENTRAL</t>
        </is>
      </c>
      <c r="D660" s="10">
        <f>IFERROR(INDEX('Review Items'!$D:$D,MATCH(C660,'Review Items'!$B:$B,0)),IFERROR(INDEX('Rule Updates'!$B:$B,MATCH(C660,'Rule Updates'!$A:$A,0)),"Uncategorised"))</f>
        <v/>
      </c>
      <c r="E660" s="10">
        <f>IFERROR(INDEX('Review Items'!$E:$E,MATCH(C660,'Review Items'!$B:$B,0)),IFERROR(INDEX('Rule Updates'!$C:$C,MATCH(C660,'Rule Updates'!$A:$A,0)),"Review"))</f>
        <v/>
      </c>
      <c r="F660" s="10" t="n"/>
      <c r="G660" s="12" t="n">
        <v>2115</v>
      </c>
      <c r="H660" s="10" t="n">
        <v>3</v>
      </c>
      <c r="I660" s="10">
        <f>IF(OR(D660="Uncategorised",E660=""),"Check","")</f>
        <v/>
      </c>
    </row>
    <row r="661">
      <c r="A661" s="10" t="inlineStr">
        <is>
          <t>Amex Jul-2025</t>
        </is>
      </c>
      <c r="B661" s="11" t="n">
        <v>45845</v>
      </c>
      <c r="C661" s="10" t="inlineStr">
        <is>
          <t>OMUSUBI - IFC CENTRAL</t>
        </is>
      </c>
      <c r="D661" s="10">
        <f>IFERROR(INDEX('Review Items'!$D:$D,MATCH(C661,'Review Items'!$B:$B,0)),IFERROR(INDEX('Rule Updates'!$B:$B,MATCH(C661,'Rule Updates'!$A:$A,0)),"Uncategorised"))</f>
        <v/>
      </c>
      <c r="E661" s="10">
        <f>IFERROR(INDEX('Review Items'!$E:$E,MATCH(C661,'Review Items'!$B:$B,0)),IFERROR(INDEX('Rule Updates'!$C:$C,MATCH(C661,'Rule Updates'!$A:$A,0)),"Review"))</f>
        <v/>
      </c>
      <c r="F661" s="10" t="n"/>
      <c r="G661" s="12" t="n">
        <v>52</v>
      </c>
      <c r="H661" s="10" t="n">
        <v>3</v>
      </c>
      <c r="I661" s="10">
        <f>IF(OR(D661="Uncategorised",E661=""),"Check","")</f>
        <v/>
      </c>
    </row>
    <row r="662">
      <c r="A662" s="10" t="inlineStr">
        <is>
          <t>Amex Jul-2025</t>
        </is>
      </c>
      <c r="B662" s="11" t="n">
        <v>45845</v>
      </c>
      <c r="C662" s="10" t="inlineStr">
        <is>
          <t>PAYMENT RECEIVED THROUGH AUTOPAY</t>
        </is>
      </c>
      <c r="D662" s="10">
        <f>IFERROR(INDEX('Review Items'!$D:$D,MATCH(C662,'Review Items'!$B:$B,0)),IFERROR(INDEX('Rule Updates'!$B:$B,MATCH(C662,'Rule Updates'!$A:$A,0)),"Uncategorised"))</f>
        <v/>
      </c>
      <c r="E662" s="10">
        <f>IFERROR(INDEX('Review Items'!$E:$E,MATCH(C662,'Review Items'!$B:$B,0)),IFERROR(INDEX('Rule Updates'!$C:$C,MATCH(C662,'Rule Updates'!$A:$A,0)),"Review"))</f>
        <v/>
      </c>
      <c r="F662" s="10" t="n"/>
      <c r="G662" s="12" t="n">
        <v>-501280.05</v>
      </c>
      <c r="H662" s="10" t="n">
        <v>1</v>
      </c>
      <c r="I662" s="10">
        <f>IF(OR(D662="Uncategorised",E662=""),"Check","")</f>
        <v/>
      </c>
    </row>
    <row r="663">
      <c r="A663" s="10" t="inlineStr">
        <is>
          <t>Amex Jul-2025</t>
        </is>
      </c>
      <c r="B663" s="11" t="n">
        <v>45847</v>
      </c>
      <c r="C663" s="10" t="inlineStr">
        <is>
          <t>BURGUNDY ETC CENTRAL</t>
        </is>
      </c>
      <c r="D663" s="10">
        <f>IFERROR(INDEX('Review Items'!$D:$D,MATCH(C663,'Review Items'!$B:$B,0)),IFERROR(INDEX('Rule Updates'!$B:$B,MATCH(C663,'Rule Updates'!$A:$A,0)),"Uncategorised"))</f>
        <v/>
      </c>
      <c r="E663" s="10">
        <f>IFERROR(INDEX('Review Items'!$E:$E,MATCH(C663,'Review Items'!$B:$B,0)),IFERROR(INDEX('Rule Updates'!$C:$C,MATCH(C663,'Rule Updates'!$A:$A,0)),"Review"))</f>
        <v/>
      </c>
      <c r="F663" s="10" t="n"/>
      <c r="G663" s="12" t="n">
        <v>24644</v>
      </c>
      <c r="H663" s="10" t="n">
        <v>3</v>
      </c>
      <c r="I663" s="10">
        <f>IF(OR(D663="Uncategorised",E663=""),"Check","")</f>
        <v/>
      </c>
    </row>
    <row r="664">
      <c r="A664" s="10" t="inlineStr">
        <is>
          <t>Amex Jul-2025</t>
        </is>
      </c>
      <c r="B664" s="11" t="n">
        <v>45847</v>
      </c>
      <c r="C664" s="10" t="inlineStr">
        <is>
          <t>CITY'SUPER CENTRAL</t>
        </is>
      </c>
      <c r="D664" s="10">
        <f>IFERROR(INDEX('Review Items'!$D:$D,MATCH(C664,'Review Items'!$B:$B,0)),IFERROR(INDEX('Rule Updates'!$B:$B,MATCH(C664,'Rule Updates'!$A:$A,0)),"Uncategorised"))</f>
        <v/>
      </c>
      <c r="E664" s="10">
        <f>IFERROR(INDEX('Review Items'!$E:$E,MATCH(C664,'Review Items'!$B:$B,0)),IFERROR(INDEX('Rule Updates'!$C:$C,MATCH(C664,'Rule Updates'!$A:$A,0)),"Review"))</f>
        <v/>
      </c>
      <c r="F664" s="10" t="n"/>
      <c r="G664" s="12" t="n">
        <v>4282.4</v>
      </c>
      <c r="H664" s="10" t="n">
        <v>3</v>
      </c>
      <c r="I664" s="10">
        <f>IF(OR(D664="Uncategorised",E664=""),"Check","")</f>
        <v/>
      </c>
    </row>
    <row r="665">
      <c r="A665" s="10" t="inlineStr">
        <is>
          <t>Amex Jul-2025</t>
        </is>
      </c>
      <c r="B665" s="11" t="n">
        <v>45847</v>
      </c>
      <c r="C665" s="10" t="inlineStr">
        <is>
          <t>COMO METROPOLITAN SINGA SINGAPORE</t>
        </is>
      </c>
      <c r="D665" s="10">
        <f>IFERROR(INDEX('Review Items'!$D:$D,MATCH(C665,'Review Items'!$B:$B,0)),IFERROR(INDEX('Rule Updates'!$B:$B,MATCH(C665,'Rule Updates'!$A:$A,0)),"Uncategorised"))</f>
        <v/>
      </c>
      <c r="E665" s="10">
        <f>IFERROR(INDEX('Review Items'!$E:$E,MATCH(C665,'Review Items'!$B:$B,0)),IFERROR(INDEX('Rule Updates'!$C:$C,MATCH(C665,'Rule Updates'!$A:$A,0)),"Review"))</f>
        <v/>
      </c>
      <c r="F665" s="12" t="n">
        <v>711.61</v>
      </c>
      <c r="G665" s="12" t="n">
        <v>4465.65</v>
      </c>
      <c r="H665" s="10" t="n">
        <v>4</v>
      </c>
      <c r="I665" s="10">
        <f>IF(OR(D665="Uncategorised",E665=""),"Check","")</f>
        <v/>
      </c>
    </row>
    <row r="666">
      <c r="A666" s="10" t="inlineStr">
        <is>
          <t>Amex Jul-2025</t>
        </is>
      </c>
      <c r="B666" s="11" t="n">
        <v>45847</v>
      </c>
      <c r="C666" s="10" t="inlineStr">
        <is>
          <t>IHERB IHERB.COM AMSTERDAM</t>
        </is>
      </c>
      <c r="D666" s="10">
        <f>IFERROR(INDEX('Review Items'!$D:$D,MATCH(C666,'Review Items'!$B:$B,0)),IFERROR(INDEX('Rule Updates'!$B:$B,MATCH(C666,'Rule Updates'!$A:$A,0)),"Uncategorised"))</f>
        <v/>
      </c>
      <c r="E666" s="10">
        <f>IFERROR(INDEX('Review Items'!$E:$E,MATCH(C666,'Review Items'!$B:$B,0)),IFERROR(INDEX('Rule Updates'!$C:$C,MATCH(C666,'Rule Updates'!$A:$A,0)),"Review"))</f>
        <v/>
      </c>
      <c r="F666" s="10" t="n"/>
      <c r="G666" s="12" t="n">
        <v>1015.17</v>
      </c>
      <c r="H666" s="10" t="n">
        <v>3</v>
      </c>
      <c r="I666" s="10">
        <f>IF(OR(D666="Uncategorised",E666=""),"Check","")</f>
        <v/>
      </c>
    </row>
    <row r="667">
      <c r="A667" s="10" t="inlineStr">
        <is>
          <t>Amex Jul-2025</t>
        </is>
      </c>
      <c r="B667" s="11" t="n">
        <v>45848</v>
      </c>
      <c r="C667" s="10" t="inlineStr">
        <is>
          <t>AMAZON PRIME*R769S8CR4 AMZN.CO.UK/PM</t>
        </is>
      </c>
      <c r="D667" s="10">
        <f>IFERROR(INDEX('Review Items'!$D:$D,MATCH(C667,'Review Items'!$B:$B,0)),IFERROR(INDEX('Rule Updates'!$B:$B,MATCH(C667,'Rule Updates'!$A:$A,0)),"Uncategorised"))</f>
        <v/>
      </c>
      <c r="E667" s="10">
        <f>IFERROR(INDEX('Review Items'!$E:$E,MATCH(C667,'Review Items'!$B:$B,0)),IFERROR(INDEX('Rule Updates'!$C:$C,MATCH(C667,'Rule Updates'!$A:$A,0)),"Review"))</f>
        <v/>
      </c>
      <c r="F667" s="12" t="n">
        <v>8.99</v>
      </c>
      <c r="G667" s="12" t="n">
        <v>98.09</v>
      </c>
      <c r="H667" s="10" t="n">
        <v>3</v>
      </c>
      <c r="I667" s="10">
        <f>IF(OR(D667="Uncategorised",E667=""),"Check","")</f>
        <v/>
      </c>
    </row>
    <row r="668">
      <c r="A668" s="10" t="inlineStr">
        <is>
          <t>Amex Jul-2025</t>
        </is>
      </c>
      <c r="B668" s="11" t="n">
        <v>45851</v>
      </c>
      <c r="C668" s="10" t="inlineStr">
        <is>
          <t>CINEMA.COM.HK LTD ADMIRALTY</t>
        </is>
      </c>
      <c r="D668" s="10">
        <f>IFERROR(INDEX('Review Items'!$D:$D,MATCH(C668,'Review Items'!$B:$B,0)),IFERROR(INDEX('Rule Updates'!$B:$B,MATCH(C668,'Rule Updates'!$A:$A,0)),"Uncategorised"))</f>
        <v/>
      </c>
      <c r="E668" s="10">
        <f>IFERROR(INDEX('Review Items'!$E:$E,MATCH(C668,'Review Items'!$B:$B,0)),IFERROR(INDEX('Rule Updates'!$C:$C,MATCH(C668,'Rule Updates'!$A:$A,0)),"Review"))</f>
        <v/>
      </c>
      <c r="F668" s="10" t="n"/>
      <c r="G668" s="12" t="n">
        <v>562</v>
      </c>
      <c r="H668" s="10" t="n">
        <v>4</v>
      </c>
      <c r="I668" s="10">
        <f>IF(OR(D668="Uncategorised",E668=""),"Check","")</f>
        <v/>
      </c>
    </row>
    <row r="669">
      <c r="A669" s="10" t="inlineStr">
        <is>
          <t>Amex Jul-2025</t>
        </is>
      </c>
      <c r="B669" s="11" t="n">
        <v>45853</v>
      </c>
      <c r="C669" s="10" t="inlineStr">
        <is>
          <t>G7Q ADMIRALTY</t>
        </is>
      </c>
      <c r="D669" s="10">
        <f>IFERROR(INDEX('Review Items'!$D:$D,MATCH(C669,'Review Items'!$B:$B,0)),IFERROR(INDEX('Rule Updates'!$B:$B,MATCH(C669,'Rule Updates'!$A:$A,0)),"Uncategorised"))</f>
        <v/>
      </c>
      <c r="E669" s="10">
        <f>IFERROR(INDEX('Review Items'!$E:$E,MATCH(C669,'Review Items'!$B:$B,0)),IFERROR(INDEX('Rule Updates'!$C:$C,MATCH(C669,'Rule Updates'!$A:$A,0)),"Review"))</f>
        <v/>
      </c>
      <c r="F669" s="10" t="n"/>
      <c r="G669" s="12" t="n">
        <v>2476.2</v>
      </c>
      <c r="H669" s="10" t="n">
        <v>3</v>
      </c>
      <c r="I669" s="10">
        <f>IF(OR(D669="Uncategorised",E669=""),"Check","")</f>
        <v/>
      </c>
    </row>
    <row r="670">
      <c r="A670" s="10" t="inlineStr">
        <is>
          <t>Amex Jul-2025</t>
        </is>
      </c>
      <c r="B670" s="11" t="n">
        <v>45855</v>
      </c>
      <c r="C670" s="10" t="inlineStr">
        <is>
          <t>3CPAYMENT*EUROPCAR LISB LISBOA</t>
        </is>
      </c>
      <c r="D670" s="10">
        <f>IFERROR(INDEX('Review Items'!$D:$D,MATCH(C670,'Review Items'!$B:$B,0)),IFERROR(INDEX('Rule Updates'!$B:$B,MATCH(C670,'Rule Updates'!$A:$A,0)),"Uncategorised"))</f>
        <v/>
      </c>
      <c r="E670" s="10">
        <f>IFERROR(INDEX('Review Items'!$E:$E,MATCH(C670,'Review Items'!$B:$B,0)),IFERROR(INDEX('Rule Updates'!$C:$C,MATCH(C670,'Rule Updates'!$A:$A,0)),"Review"))</f>
        <v/>
      </c>
      <c r="F670" s="12" t="n">
        <v>915</v>
      </c>
      <c r="G670" s="12" t="n">
        <v>85.02</v>
      </c>
      <c r="H670" s="10" t="n">
        <v>4</v>
      </c>
      <c r="I670" s="10">
        <f>IF(OR(D670="Uncategorised",E670=""),"Check","")</f>
        <v/>
      </c>
    </row>
    <row r="671">
      <c r="A671" s="10" t="inlineStr">
        <is>
          <t>Amex Jul-2025</t>
        </is>
      </c>
      <c r="B671" s="11" t="n">
        <v>45855</v>
      </c>
      <c r="C671" s="10" t="inlineStr">
        <is>
          <t>3CPAYMENT*EUROPCAR LISB LISBOA</t>
        </is>
      </c>
      <c r="D671" s="10">
        <f>IFERROR(INDEX('Review Items'!$D:$D,MATCH(C671,'Review Items'!$B:$B,0)),IFERROR(INDEX('Rule Updates'!$B:$B,MATCH(C671,'Rule Updates'!$A:$A,0)),"Uncategorised"))</f>
        <v/>
      </c>
      <c r="E671" s="10">
        <f>IFERROR(INDEX('Review Items'!$E:$E,MATCH(C671,'Review Items'!$B:$B,0)),IFERROR(INDEX('Rule Updates'!$C:$C,MATCH(C671,'Rule Updates'!$A:$A,0)),"Review"))</f>
        <v/>
      </c>
      <c r="F671" s="12" t="n">
        <v>330</v>
      </c>
      <c r="G671" s="12" t="n">
        <v>30.66</v>
      </c>
      <c r="H671" s="10" t="n">
        <v>4</v>
      </c>
      <c r="I671" s="10">
        <f>IF(OR(D671="Uncategorised",E671=""),"Check","")</f>
        <v/>
      </c>
    </row>
    <row r="672">
      <c r="A672" s="10" t="inlineStr">
        <is>
          <t>Amex Jul-2025</t>
        </is>
      </c>
      <c r="B672" s="11" t="n">
        <v>45856</v>
      </c>
      <c r="C672" s="10" t="inlineStr">
        <is>
          <t>NEIGHBORHOOD CENTRAL</t>
        </is>
      </c>
      <c r="D672" s="10">
        <f>IFERROR(INDEX('Review Items'!$D:$D,MATCH(C672,'Review Items'!$B:$B,0)),IFERROR(INDEX('Rule Updates'!$B:$B,MATCH(C672,'Rule Updates'!$A:$A,0)),"Uncategorised"))</f>
        <v/>
      </c>
      <c r="E672" s="10">
        <f>IFERROR(INDEX('Review Items'!$E:$E,MATCH(C672,'Review Items'!$B:$B,0)),IFERROR(INDEX('Rule Updates'!$C:$C,MATCH(C672,'Rule Updates'!$A:$A,0)),"Review"))</f>
        <v/>
      </c>
      <c r="F672" s="10" t="n"/>
      <c r="G672" s="12" t="n">
        <v>27231</v>
      </c>
      <c r="H672" s="10" t="n">
        <v>3</v>
      </c>
      <c r="I672" s="10">
        <f>IF(OR(D672="Uncategorised",E672=""),"Check","")</f>
        <v/>
      </c>
    </row>
    <row r="673">
      <c r="A673" s="10" t="inlineStr">
        <is>
          <t>Amex Jul-2025</t>
        </is>
      </c>
      <c r="B673" s="11" t="n">
        <v>45857</v>
      </c>
      <c r="C673" s="10" t="inlineStr">
        <is>
          <t>THE PENINSULA - SPRING TSIM SHA TSUI</t>
        </is>
      </c>
      <c r="D673" s="10">
        <f>IFERROR(INDEX('Review Items'!$D:$D,MATCH(C673,'Review Items'!$B:$B,0)),IFERROR(INDEX('Rule Updates'!$B:$B,MATCH(C673,'Rule Updates'!$A:$A,0)),"Uncategorised"))</f>
        <v/>
      </c>
      <c r="E673" s="10">
        <f>IFERROR(INDEX('Review Items'!$E:$E,MATCH(C673,'Review Items'!$B:$B,0)),IFERROR(INDEX('Rule Updates'!$C:$C,MATCH(C673,'Rule Updates'!$A:$A,0)),"Review"))</f>
        <v/>
      </c>
      <c r="F673" s="10" t="n"/>
      <c r="G673" s="12" t="n">
        <v>5046</v>
      </c>
      <c r="H673" s="10" t="n">
        <v>3</v>
      </c>
      <c r="I673" s="10">
        <f>IF(OR(D673="Uncategorised",E673=""),"Check","")</f>
        <v/>
      </c>
    </row>
    <row r="674">
      <c r="A674" s="10" t="inlineStr">
        <is>
          <t>Amex Jul-2025</t>
        </is>
      </c>
      <c r="B674" s="11" t="n">
        <v>45859</v>
      </c>
      <c r="C674" s="10" t="inlineStr">
        <is>
          <t>CITY'SUPER CENTRAL</t>
        </is>
      </c>
      <c r="D674" s="10">
        <f>IFERROR(INDEX('Review Items'!$D:$D,MATCH(C674,'Review Items'!$B:$B,0)),IFERROR(INDEX('Rule Updates'!$B:$B,MATCH(C674,'Rule Updates'!$A:$A,0)),"Uncategorised"))</f>
        <v/>
      </c>
      <c r="E674" s="10">
        <f>IFERROR(INDEX('Review Items'!$E:$E,MATCH(C674,'Review Items'!$B:$B,0)),IFERROR(INDEX('Rule Updates'!$C:$C,MATCH(C674,'Rule Updates'!$A:$A,0)),"Review"))</f>
        <v/>
      </c>
      <c r="F674" s="10" t="n"/>
      <c r="G674" s="12" t="n">
        <v>2536</v>
      </c>
      <c r="H674" s="10" t="n">
        <v>3</v>
      </c>
      <c r="I674" s="10">
        <f>IF(OR(D674="Uncategorised",E674=""),"Check","")</f>
        <v/>
      </c>
    </row>
    <row r="675">
      <c r="A675" s="10" t="inlineStr">
        <is>
          <t>Amex Jul-2025</t>
        </is>
      </c>
      <c r="B675" s="11" t="n">
        <v>45859</v>
      </c>
      <c r="C675" s="10" t="inlineStr">
        <is>
          <t>CITY'SUPER CENTRAL</t>
        </is>
      </c>
      <c r="D675" s="10">
        <f>IFERROR(INDEX('Review Items'!$D:$D,MATCH(C675,'Review Items'!$B:$B,0)),IFERROR(INDEX('Rule Updates'!$B:$B,MATCH(C675,'Rule Updates'!$A:$A,0)),"Uncategorised"))</f>
        <v/>
      </c>
      <c r="E675" s="10">
        <f>IFERROR(INDEX('Review Items'!$E:$E,MATCH(C675,'Review Items'!$B:$B,0)),IFERROR(INDEX('Rule Updates'!$C:$C,MATCH(C675,'Rule Updates'!$A:$A,0)),"Review"))</f>
        <v/>
      </c>
      <c r="F675" s="10" t="n"/>
      <c r="G675" s="12" t="n">
        <v>126.1</v>
      </c>
      <c r="H675" s="10" t="n">
        <v>3</v>
      </c>
      <c r="I675" s="10">
        <f>IF(OR(D675="Uncategorised",E675=""),"Check","")</f>
        <v/>
      </c>
    </row>
    <row r="676">
      <c r="A676" s="10" t="inlineStr">
        <is>
          <t>Amex Jul-2025</t>
        </is>
      </c>
      <c r="B676" s="11" t="n">
        <v>45859</v>
      </c>
      <c r="C676" s="10" t="inlineStr">
        <is>
          <t>GARMIN (EUROPE) LIMITED SOUTHAMPTON</t>
        </is>
      </c>
      <c r="D676" s="10">
        <f>IFERROR(INDEX('Review Items'!$D:$D,MATCH(C676,'Review Items'!$B:$B,0)),IFERROR(INDEX('Rule Updates'!$B:$B,MATCH(C676,'Rule Updates'!$A:$A,0)),"Uncategorised"))</f>
        <v/>
      </c>
      <c r="E676" s="10">
        <f>IFERROR(INDEX('Review Items'!$E:$E,MATCH(C676,'Review Items'!$B:$B,0)),IFERROR(INDEX('Rule Updates'!$C:$C,MATCH(C676,'Rule Updates'!$A:$A,0)),"Review"))</f>
        <v/>
      </c>
      <c r="F676" s="10" t="n"/>
      <c r="G676" s="12" t="n">
        <v>89</v>
      </c>
      <c r="H676" s="10" t="n">
        <v>3</v>
      </c>
      <c r="I676" s="10">
        <f>IF(OR(D676="Uncategorised",E676=""),"Check","")</f>
        <v/>
      </c>
    </row>
    <row r="677">
      <c r="A677" s="10" t="inlineStr">
        <is>
          <t>Amex Jul-2025</t>
        </is>
      </c>
      <c r="B677" s="11" t="n">
        <v>45860</v>
      </c>
      <c r="C677" s="10" t="inlineStr">
        <is>
          <t>WAI KEE JEWELLERS LTD CENTRAL</t>
        </is>
      </c>
      <c r="D677" s="10">
        <f>IFERROR(INDEX('Review Items'!$D:$D,MATCH(C677,'Review Items'!$B:$B,0)),IFERROR(INDEX('Rule Updates'!$B:$B,MATCH(C677,'Rule Updates'!$A:$A,0)),"Uncategorised"))</f>
        <v/>
      </c>
      <c r="E677" s="10">
        <f>IFERROR(INDEX('Review Items'!$E:$E,MATCH(C677,'Review Items'!$B:$B,0)),IFERROR(INDEX('Rule Updates'!$C:$C,MATCH(C677,'Rule Updates'!$A:$A,0)),"Review"))</f>
        <v/>
      </c>
      <c r="F677" s="10" t="n"/>
      <c r="G677" s="12" t="n">
        <v>32800</v>
      </c>
      <c r="H677" s="10" t="n">
        <v>3</v>
      </c>
      <c r="I677" s="10">
        <f>IF(OR(D677="Uncategorised",E677=""),"Check","")</f>
        <v/>
      </c>
    </row>
    <row r="678">
      <c r="A678" s="10" t="inlineStr">
        <is>
          <t>Amex Jul-2025</t>
        </is>
      </c>
      <c r="B678" s="11" t="n">
        <v>45861</v>
      </c>
      <c r="C678" s="10" t="inlineStr">
        <is>
          <t>FU RONG--CENTRAL CENTRAL</t>
        </is>
      </c>
      <c r="D678" s="10">
        <f>IFERROR(INDEX('Review Items'!$D:$D,MATCH(C678,'Review Items'!$B:$B,0)),IFERROR(INDEX('Rule Updates'!$B:$B,MATCH(C678,'Rule Updates'!$A:$A,0)),"Uncategorised"))</f>
        <v/>
      </c>
      <c r="E678" s="10">
        <f>IFERROR(INDEX('Review Items'!$E:$E,MATCH(C678,'Review Items'!$B:$B,0)),IFERROR(INDEX('Rule Updates'!$C:$C,MATCH(C678,'Rule Updates'!$A:$A,0)),"Review"))</f>
        <v/>
      </c>
      <c r="F678" s="10" t="n"/>
      <c r="G678" s="12" t="n">
        <v>5110</v>
      </c>
      <c r="H678" s="10" t="n">
        <v>4</v>
      </c>
      <c r="I678" s="10">
        <f>IF(OR(D678="Uncategorised",E678=""),"Check","")</f>
        <v/>
      </c>
    </row>
    <row r="679">
      <c r="A679" s="10" t="inlineStr">
        <is>
          <t>Amex Jul-2025</t>
        </is>
      </c>
      <c r="B679" s="11" t="n">
        <v>45862</v>
      </c>
      <c r="C679" s="10" t="inlineStr">
        <is>
          <t>CITY'SUPER CENTRAL</t>
        </is>
      </c>
      <c r="D679" s="10">
        <f>IFERROR(INDEX('Review Items'!$D:$D,MATCH(C679,'Review Items'!$B:$B,0)),IFERROR(INDEX('Rule Updates'!$B:$B,MATCH(C679,'Rule Updates'!$A:$A,0)),"Uncategorised"))</f>
        <v/>
      </c>
      <c r="E679" s="10">
        <f>IFERROR(INDEX('Review Items'!$E:$E,MATCH(C679,'Review Items'!$B:$B,0)),IFERROR(INDEX('Rule Updates'!$C:$C,MATCH(C679,'Rule Updates'!$A:$A,0)),"Review"))</f>
        <v/>
      </c>
      <c r="F679" s="10" t="n"/>
      <c r="G679" s="12" t="n">
        <v>909.9</v>
      </c>
      <c r="H679" s="10" t="n">
        <v>3</v>
      </c>
      <c r="I679" s="10">
        <f>IF(OR(D679="Uncategorised",E679=""),"Check","")</f>
        <v/>
      </c>
    </row>
    <row r="680">
      <c r="A680" s="10" t="inlineStr">
        <is>
          <t>Amex Jul-2025</t>
        </is>
      </c>
      <c r="B680" s="11" t="n">
        <v>45862</v>
      </c>
      <c r="C680" s="10" t="inlineStr">
        <is>
          <t>FOOD PANDA 521446 HK</t>
        </is>
      </c>
      <c r="D680" s="10">
        <f>IFERROR(INDEX('Review Items'!$D:$D,MATCH(C680,'Review Items'!$B:$B,0)),IFERROR(INDEX('Rule Updates'!$B:$B,MATCH(C680,'Rule Updates'!$A:$A,0)),"Uncategorised"))</f>
        <v/>
      </c>
      <c r="E680" s="10">
        <f>IFERROR(INDEX('Review Items'!$E:$E,MATCH(C680,'Review Items'!$B:$B,0)),IFERROR(INDEX('Rule Updates'!$C:$C,MATCH(C680,'Rule Updates'!$A:$A,0)),"Review"))</f>
        <v/>
      </c>
      <c r="F680" s="10" t="n"/>
      <c r="G680" s="12" t="n">
        <v>1059</v>
      </c>
      <c r="H680" s="10" t="n">
        <v>3</v>
      </c>
      <c r="I680" s="10">
        <f>IF(OR(D680="Uncategorised",E680=""),"Check","")</f>
        <v/>
      </c>
    </row>
    <row r="681">
      <c r="A681" s="10" t="inlineStr">
        <is>
          <t>Amex Aug-2025</t>
        </is>
      </c>
      <c r="B681" s="11" t="n">
        <v>45863</v>
      </c>
      <c r="C681" s="10" t="inlineStr">
        <is>
          <t>THE NET-A-PORTER GROUP HONG KONG</t>
        </is>
      </c>
      <c r="D681" s="10">
        <f>IFERROR(INDEX('Review Items'!$D:$D,MATCH(C681,'Review Items'!$B:$B,0)),IFERROR(INDEX('Rule Updates'!$B:$B,MATCH(C681,'Rule Updates'!$A:$A,0)),"Uncategorised"))</f>
        <v/>
      </c>
      <c r="E681" s="10">
        <f>IFERROR(INDEX('Review Items'!$E:$E,MATCH(C681,'Review Items'!$B:$B,0)),IFERROR(INDEX('Rule Updates'!$C:$C,MATCH(C681,'Rule Updates'!$A:$A,0)),"Review"))</f>
        <v/>
      </c>
      <c r="F681" s="10" t="n"/>
      <c r="G681" s="12" t="n">
        <v>21194.5</v>
      </c>
      <c r="H681" s="10" t="n">
        <v>1</v>
      </c>
      <c r="I681" s="10">
        <f>IF(OR(D681="Uncategorised",E681=""),"Check","")</f>
        <v/>
      </c>
    </row>
    <row r="682">
      <c r="A682" s="10" t="inlineStr">
        <is>
          <t>Amex Aug-2025</t>
        </is>
      </c>
      <c r="B682" s="11" t="n">
        <v>45866</v>
      </c>
      <c r="C682" s="10" t="inlineStr">
        <is>
          <t>GLOBAL-ENL BV AMSTERDAM</t>
        </is>
      </c>
      <c r="D682" s="10">
        <f>IFERROR(INDEX('Review Items'!$D:$D,MATCH(C682,'Review Items'!$B:$B,0)),IFERROR(INDEX('Rule Updates'!$B:$B,MATCH(C682,'Rule Updates'!$A:$A,0)),"Uncategorised"))</f>
        <v/>
      </c>
      <c r="E682" s="10">
        <f>IFERROR(INDEX('Review Items'!$E:$E,MATCH(C682,'Review Items'!$B:$B,0)),IFERROR(INDEX('Rule Updates'!$C:$C,MATCH(C682,'Rule Updates'!$A:$A,0)),"Review"))</f>
        <v/>
      </c>
      <c r="F682" s="10" t="n"/>
      <c r="G682" s="12" t="n">
        <v>3933</v>
      </c>
      <c r="H682" s="10" t="n">
        <v>2</v>
      </c>
      <c r="I682" s="10">
        <f>IF(OR(D682="Uncategorised",E682=""),"Check","")</f>
        <v/>
      </c>
    </row>
    <row r="683">
      <c r="A683" s="10" t="inlineStr">
        <is>
          <t>Amex Aug-2025</t>
        </is>
      </c>
      <c r="B683" s="11" t="n">
        <v>45866</v>
      </c>
      <c r="C683" s="10" t="inlineStr">
        <is>
          <t>GM TAXIPAY MASCOT</t>
        </is>
      </c>
      <c r="D683" s="10">
        <f>IFERROR(INDEX('Review Items'!$D:$D,MATCH(C683,'Review Items'!$B:$B,0)),IFERROR(INDEX('Rule Updates'!$B:$B,MATCH(C683,'Rule Updates'!$A:$A,0)),"Uncategorised"))</f>
        <v/>
      </c>
      <c r="E683" s="10">
        <f>IFERROR(INDEX('Review Items'!$E:$E,MATCH(C683,'Review Items'!$B:$B,0)),IFERROR(INDEX('Rule Updates'!$C:$C,MATCH(C683,'Rule Updates'!$A:$A,0)),"Review"))</f>
        <v/>
      </c>
      <c r="F683" s="12" t="n">
        <v>30.35</v>
      </c>
      <c r="G683" s="12" t="n">
        <v>159.96</v>
      </c>
      <c r="H683" s="10" t="n">
        <v>1</v>
      </c>
      <c r="I683" s="10">
        <f>IF(OR(D683="Uncategorised",E683=""),"Check","")</f>
        <v/>
      </c>
    </row>
    <row r="684">
      <c r="A684" s="10" t="inlineStr">
        <is>
          <t>Amex Aug-2025</t>
        </is>
      </c>
      <c r="B684" s="11" t="n">
        <v>45866</v>
      </c>
      <c r="C684" s="10" t="inlineStr">
        <is>
          <t>GM TAXIPAY MASCOT</t>
        </is>
      </c>
      <c r="D684" s="10">
        <f>IFERROR(INDEX('Review Items'!$D:$D,MATCH(C684,'Review Items'!$B:$B,0)),IFERROR(INDEX('Rule Updates'!$B:$B,MATCH(C684,'Rule Updates'!$A:$A,0)),"Uncategorised"))</f>
        <v/>
      </c>
      <c r="E684" s="10">
        <f>IFERROR(INDEX('Review Items'!$E:$E,MATCH(C684,'Review Items'!$B:$B,0)),IFERROR(INDEX('Rule Updates'!$C:$C,MATCH(C684,'Rule Updates'!$A:$A,0)),"Review"))</f>
        <v/>
      </c>
      <c r="F684" s="12" t="n">
        <v>29</v>
      </c>
      <c r="G684" s="12" t="n">
        <v>152.84</v>
      </c>
      <c r="H684" s="10" t="n">
        <v>1</v>
      </c>
      <c r="I684" s="10">
        <f>IF(OR(D684="Uncategorised",E684=""),"Check","")</f>
        <v/>
      </c>
    </row>
    <row r="685">
      <c r="A685" s="10" t="inlineStr">
        <is>
          <t>Amex Aug-2025</t>
        </is>
      </c>
      <c r="B685" s="11" t="n">
        <v>45866</v>
      </c>
      <c r="C685" s="10" t="inlineStr">
        <is>
          <t>GM TAXIPAY MASCOT</t>
        </is>
      </c>
      <c r="D685" s="10">
        <f>IFERROR(INDEX('Review Items'!$D:$D,MATCH(C685,'Review Items'!$B:$B,0)),IFERROR(INDEX('Rule Updates'!$B:$B,MATCH(C685,'Rule Updates'!$A:$A,0)),"Uncategorised"))</f>
        <v/>
      </c>
      <c r="E685" s="10">
        <f>IFERROR(INDEX('Review Items'!$E:$E,MATCH(C685,'Review Items'!$B:$B,0)),IFERROR(INDEX('Rule Updates'!$C:$C,MATCH(C685,'Rule Updates'!$A:$A,0)),"Review"))</f>
        <v/>
      </c>
      <c r="F685" s="12" t="n">
        <v>24.15</v>
      </c>
      <c r="G685" s="12" t="n">
        <v>127.3</v>
      </c>
      <c r="H685" s="10" t="n">
        <v>1</v>
      </c>
      <c r="I685" s="10">
        <f>IF(OR(D685="Uncategorised",E685=""),"Check","")</f>
        <v/>
      </c>
    </row>
    <row r="686">
      <c r="A686" s="10" t="inlineStr">
        <is>
          <t>Amex Aug-2025</t>
        </is>
      </c>
      <c r="B686" s="11" t="n">
        <v>45866</v>
      </c>
      <c r="C686" s="10" t="inlineStr">
        <is>
          <t>HINCHCLIFF - GRANA SYDNEY</t>
        </is>
      </c>
      <c r="D686" s="10">
        <f>IFERROR(INDEX('Review Items'!$D:$D,MATCH(C686,'Review Items'!$B:$B,0)),IFERROR(INDEX('Rule Updates'!$B:$B,MATCH(C686,'Rule Updates'!$A:$A,0)),"Uncategorised"))</f>
        <v/>
      </c>
      <c r="E686" s="10">
        <f>IFERROR(INDEX('Review Items'!$E:$E,MATCH(C686,'Review Items'!$B:$B,0)),IFERROR(INDEX('Rule Updates'!$C:$C,MATCH(C686,'Rule Updates'!$A:$A,0)),"Review"))</f>
        <v/>
      </c>
      <c r="F686" s="12" t="n">
        <v>45.15</v>
      </c>
      <c r="G686" s="12" t="n">
        <v>238.03</v>
      </c>
      <c r="H686" s="10" t="n">
        <v>2</v>
      </c>
      <c r="I686" s="10">
        <f>IF(OR(D686="Uncategorised",E686=""),"Check","")</f>
        <v/>
      </c>
    </row>
    <row r="687">
      <c r="A687" s="10" t="inlineStr">
        <is>
          <t>Amex Aug-2025</t>
        </is>
      </c>
      <c r="B687" s="11" t="n">
        <v>45866</v>
      </c>
      <c r="C687" s="10" t="inlineStr">
        <is>
          <t>JIANHUA LI &amp; DAN CHEN DOUBLE BAY</t>
        </is>
      </c>
      <c r="D687" s="10">
        <f>IFERROR(INDEX('Review Items'!$D:$D,MATCH(C687,'Review Items'!$B:$B,0)),IFERROR(INDEX('Rule Updates'!$B:$B,MATCH(C687,'Rule Updates'!$A:$A,0)),"Uncategorised"))</f>
        <v/>
      </c>
      <c r="E687" s="10">
        <f>IFERROR(INDEX('Review Items'!$E:$E,MATCH(C687,'Review Items'!$B:$B,0)),IFERROR(INDEX('Rule Updates'!$C:$C,MATCH(C687,'Rule Updates'!$A:$A,0)),"Review"))</f>
        <v/>
      </c>
      <c r="F687" s="12" t="n">
        <v>316</v>
      </c>
      <c r="G687" s="12" t="n">
        <v>1665.75</v>
      </c>
      <c r="H687" s="10" t="n">
        <v>2</v>
      </c>
      <c r="I687" s="10">
        <f>IF(OR(D687="Uncategorised",E687=""),"Check","")</f>
        <v/>
      </c>
    </row>
    <row r="688">
      <c r="A688" s="10" t="inlineStr">
        <is>
          <t>Amex Aug-2025</t>
        </is>
      </c>
      <c r="B688" s="11" t="n">
        <v>45866</v>
      </c>
      <c r="C688" s="10" t="inlineStr">
        <is>
          <t>LS POEPKE PADDINGTON</t>
        </is>
      </c>
      <c r="D688" s="10">
        <f>IFERROR(INDEX('Review Items'!$D:$D,MATCH(C688,'Review Items'!$B:$B,0)),IFERROR(INDEX('Rule Updates'!$B:$B,MATCH(C688,'Rule Updates'!$A:$A,0)),"Uncategorised"))</f>
        <v/>
      </c>
      <c r="E688" s="10">
        <f>IFERROR(INDEX('Review Items'!$E:$E,MATCH(C688,'Review Items'!$B:$B,0)),IFERROR(INDEX('Rule Updates'!$C:$C,MATCH(C688,'Rule Updates'!$A:$A,0)),"Review"))</f>
        <v/>
      </c>
      <c r="F688" s="12" t="n">
        <v>1590</v>
      </c>
      <c r="G688" s="12" t="n">
        <v>8381.67</v>
      </c>
      <c r="H688" s="10" t="n">
        <v>2</v>
      </c>
      <c r="I688" s="10">
        <f>IF(OR(D688="Uncategorised",E688=""),"Check","")</f>
        <v/>
      </c>
    </row>
    <row r="689">
      <c r="A689" s="10" t="inlineStr">
        <is>
          <t>Amex Aug-2025</t>
        </is>
      </c>
      <c r="B689" s="11" t="n">
        <v>45866</v>
      </c>
      <c r="C689" s="10" t="inlineStr">
        <is>
          <t>LS SAINT PETER PADDINGTON</t>
        </is>
      </c>
      <c r="D689" s="10">
        <f>IFERROR(INDEX('Review Items'!$D:$D,MATCH(C689,'Review Items'!$B:$B,0)),IFERROR(INDEX('Rule Updates'!$B:$B,MATCH(C689,'Rule Updates'!$A:$A,0)),"Uncategorised"))</f>
        <v/>
      </c>
      <c r="E689" s="10">
        <f>IFERROR(INDEX('Review Items'!$E:$E,MATCH(C689,'Review Items'!$B:$B,0)),IFERROR(INDEX('Rule Updates'!$C:$C,MATCH(C689,'Rule Updates'!$A:$A,0)),"Review"))</f>
        <v/>
      </c>
      <c r="F689" s="12" t="n">
        <v>940.24</v>
      </c>
      <c r="G689" s="12" t="n">
        <v>4956.41</v>
      </c>
      <c r="H689" s="10" t="n">
        <v>2</v>
      </c>
      <c r="I689" s="10">
        <f>IF(OR(D689="Uncategorised",E689=""),"Check","")</f>
        <v/>
      </c>
    </row>
    <row r="690">
      <c r="A690" s="10" t="inlineStr">
        <is>
          <t>Amex Aug-2025</t>
        </is>
      </c>
      <c r="B690" s="11" t="n">
        <v>45866</v>
      </c>
      <c r="C690" s="10" t="inlineStr">
        <is>
          <t>QUEEN STREET PHARMACY WOOLLAHRA</t>
        </is>
      </c>
      <c r="D690" s="10">
        <f>IFERROR(INDEX('Review Items'!$D:$D,MATCH(C690,'Review Items'!$B:$B,0)),IFERROR(INDEX('Rule Updates'!$B:$B,MATCH(C690,'Rule Updates'!$A:$A,0)),"Uncategorised"))</f>
        <v/>
      </c>
      <c r="E690" s="10">
        <f>IFERROR(INDEX('Review Items'!$E:$E,MATCH(C690,'Review Items'!$B:$B,0)),IFERROR(INDEX('Rule Updates'!$C:$C,MATCH(C690,'Rule Updates'!$A:$A,0)),"Review"))</f>
        <v/>
      </c>
      <c r="F690" s="12" t="n">
        <v>38.35</v>
      </c>
      <c r="G690" s="12" t="n">
        <v>202.16</v>
      </c>
      <c r="H690" s="10" t="n">
        <v>1</v>
      </c>
      <c r="I690" s="10">
        <f>IF(OR(D690="Uncategorised",E690=""),"Check","")</f>
        <v/>
      </c>
    </row>
    <row r="691">
      <c r="A691" s="10" t="inlineStr">
        <is>
          <t>Amex Aug-2025</t>
        </is>
      </c>
      <c r="B691" s="11" t="n">
        <v>45866</v>
      </c>
      <c r="C691" s="10" t="inlineStr">
        <is>
          <t>TUCKERBOX Paddington</t>
        </is>
      </c>
      <c r="D691" s="10">
        <f>IFERROR(INDEX('Review Items'!$D:$D,MATCH(C691,'Review Items'!$B:$B,0)),IFERROR(INDEX('Rule Updates'!$B:$B,MATCH(C691,'Rule Updates'!$A:$A,0)),"Uncategorised"))</f>
        <v/>
      </c>
      <c r="E691" s="10">
        <f>IFERROR(INDEX('Review Items'!$E:$E,MATCH(C691,'Review Items'!$B:$B,0)),IFERROR(INDEX('Rule Updates'!$C:$C,MATCH(C691,'Rule Updates'!$A:$A,0)),"Review"))</f>
        <v/>
      </c>
      <c r="F691" s="12" t="n">
        <v>8.94</v>
      </c>
      <c r="G691" s="12" t="n">
        <v>47.15</v>
      </c>
      <c r="H691" s="10" t="n">
        <v>1</v>
      </c>
      <c r="I691" s="10">
        <f>IF(OR(D691="Uncategorised",E691=""),"Check","")</f>
        <v/>
      </c>
    </row>
    <row r="692">
      <c r="A692" s="10" t="inlineStr">
        <is>
          <t>Amex Aug-2025</t>
        </is>
      </c>
      <c r="B692" s="11" t="n">
        <v>45867</v>
      </c>
      <c r="C692" s="10" t="inlineStr">
        <is>
          <t>ALL PURPOSE BAKERY Sydney</t>
        </is>
      </c>
      <c r="D692" s="10">
        <f>IFERROR(INDEX('Review Items'!$D:$D,MATCH(C692,'Review Items'!$B:$B,0)),IFERROR(INDEX('Rule Updates'!$B:$B,MATCH(C692,'Rule Updates'!$A:$A,0)),"Uncategorised"))</f>
        <v/>
      </c>
      <c r="E692" s="10">
        <f>IFERROR(INDEX('Review Items'!$E:$E,MATCH(C692,'Review Items'!$B:$B,0)),IFERROR(INDEX('Rule Updates'!$C:$C,MATCH(C692,'Rule Updates'!$A:$A,0)),"Review"))</f>
        <v/>
      </c>
      <c r="F692" s="12" t="n">
        <v>42.92</v>
      </c>
      <c r="G692" s="12" t="n">
        <v>225.22</v>
      </c>
      <c r="H692" s="10" t="n">
        <v>2</v>
      </c>
      <c r="I692" s="10">
        <f>IF(OR(D692="Uncategorised",E692=""),"Check","")</f>
        <v/>
      </c>
    </row>
    <row r="693">
      <c r="A693" s="10" t="inlineStr">
        <is>
          <t>Amex Aug-2025</t>
        </is>
      </c>
      <c r="B693" s="11" t="n">
        <v>45867</v>
      </c>
      <c r="C693" s="10" t="inlineStr">
        <is>
          <t>BASSIKE PTY LTD SYDNEY</t>
        </is>
      </c>
      <c r="D693" s="10">
        <f>IFERROR(INDEX('Review Items'!$D:$D,MATCH(C693,'Review Items'!$B:$B,0)),IFERROR(INDEX('Rule Updates'!$B:$B,MATCH(C693,'Rule Updates'!$A:$A,0)),"Uncategorised"))</f>
        <v/>
      </c>
      <c r="E693" s="10">
        <f>IFERROR(INDEX('Review Items'!$E:$E,MATCH(C693,'Review Items'!$B:$B,0)),IFERROR(INDEX('Rule Updates'!$C:$C,MATCH(C693,'Rule Updates'!$A:$A,0)),"Review"))</f>
        <v/>
      </c>
      <c r="F693" s="12" t="n">
        <v>745</v>
      </c>
      <c r="G693" s="12" t="n">
        <v>3910.11</v>
      </c>
      <c r="H693" s="10" t="n">
        <v>2</v>
      </c>
      <c r="I693" s="10">
        <f>IF(OR(D693="Uncategorised",E693=""),"Check","")</f>
        <v/>
      </c>
    </row>
    <row r="694">
      <c r="A694" s="10" t="inlineStr">
        <is>
          <t>Amex Aug-2025</t>
        </is>
      </c>
      <c r="B694" s="11" t="n">
        <v>45867</v>
      </c>
      <c r="C694" s="10" t="inlineStr">
        <is>
          <t>FLOUR AND STONE ANNEXE Woolloomooloo</t>
        </is>
      </c>
      <c r="D694" s="10">
        <f>IFERROR(INDEX('Review Items'!$D:$D,MATCH(C694,'Review Items'!$B:$B,0)),IFERROR(INDEX('Rule Updates'!$B:$B,MATCH(C694,'Rule Updates'!$A:$A,0)),"Uncategorised"))</f>
        <v/>
      </c>
      <c r="E694" s="10">
        <f>IFERROR(INDEX('Review Items'!$E:$E,MATCH(C694,'Review Items'!$B:$B,0)),IFERROR(INDEX('Rule Updates'!$C:$C,MATCH(C694,'Rule Updates'!$A:$A,0)),"Review"))</f>
        <v/>
      </c>
      <c r="F694" s="12" t="n">
        <v>44.56</v>
      </c>
      <c r="G694" s="12" t="n">
        <v>233.87</v>
      </c>
      <c r="H694" s="10" t="n">
        <v>2</v>
      </c>
      <c r="I694" s="10">
        <f>IF(OR(D694="Uncategorised",E694=""),"Check","")</f>
        <v/>
      </c>
    </row>
    <row r="695">
      <c r="A695" s="10" t="inlineStr">
        <is>
          <t>Amex Aug-2025</t>
        </is>
      </c>
      <c r="B695" s="11" t="n">
        <v>45867</v>
      </c>
      <c r="C695" s="10" t="inlineStr">
        <is>
          <t>HOUSE OF PHARMACY 14456 DOUBLE BAY</t>
        </is>
      </c>
      <c r="D695" s="10">
        <f>IFERROR(INDEX('Review Items'!$D:$D,MATCH(C695,'Review Items'!$B:$B,0)),IFERROR(INDEX('Rule Updates'!$B:$B,MATCH(C695,'Rule Updates'!$A:$A,0)),"Uncategorised"))</f>
        <v/>
      </c>
      <c r="E695" s="10">
        <f>IFERROR(INDEX('Review Items'!$E:$E,MATCH(C695,'Review Items'!$B:$B,0)),IFERROR(INDEX('Rule Updates'!$C:$C,MATCH(C695,'Rule Updates'!$A:$A,0)),"Review"))</f>
        <v/>
      </c>
      <c r="F695" s="12" t="n">
        <v>216.91</v>
      </c>
      <c r="G695" s="12" t="n">
        <v>1138.4</v>
      </c>
      <c r="H695" s="10" t="n">
        <v>7</v>
      </c>
      <c r="I695" s="10">
        <f>IF(OR(D695="Uncategorised",E695=""),"Check","")</f>
        <v/>
      </c>
    </row>
    <row r="696">
      <c r="A696" s="10" t="inlineStr">
        <is>
          <t>Amex Aug-2025</t>
        </is>
      </c>
      <c r="B696" s="11" t="n">
        <v>45867</v>
      </c>
      <c r="C696" s="10" t="inlineStr">
        <is>
          <t>QUAY QUARTER PHARMACY 1 SYDNEY</t>
        </is>
      </c>
      <c r="D696" s="10">
        <f>IFERROR(INDEX('Review Items'!$D:$D,MATCH(C696,'Review Items'!$B:$B,0)),IFERROR(INDEX('Rule Updates'!$B:$B,MATCH(C696,'Rule Updates'!$A:$A,0)),"Uncategorised"))</f>
        <v/>
      </c>
      <c r="E696" s="10">
        <f>IFERROR(INDEX('Review Items'!$E:$E,MATCH(C696,'Review Items'!$B:$B,0)),IFERROR(INDEX('Rule Updates'!$C:$C,MATCH(C696,'Rule Updates'!$A:$A,0)),"Review"))</f>
        <v/>
      </c>
      <c r="F696" s="12" t="n">
        <v>129.65</v>
      </c>
      <c r="G696" s="12" t="n">
        <v>677.09</v>
      </c>
      <c r="H696" s="10" t="n">
        <v>3</v>
      </c>
      <c r="I696" s="10">
        <f>IF(OR(D696="Uncategorised",E696=""),"Check","")</f>
        <v/>
      </c>
    </row>
    <row r="697">
      <c r="A697" s="10" t="inlineStr">
        <is>
          <t>Amex Aug-2025</t>
        </is>
      </c>
      <c r="B697" s="11" t="n">
        <v>45867</v>
      </c>
      <c r="C697" s="10" t="inlineStr">
        <is>
          <t>SKITTLE LANE Circular Quay</t>
        </is>
      </c>
      <c r="D697" s="10">
        <f>IFERROR(INDEX('Review Items'!$D:$D,MATCH(C697,'Review Items'!$B:$B,0)),IFERROR(INDEX('Rule Updates'!$B:$B,MATCH(C697,'Rule Updates'!$A:$A,0)),"Uncategorised"))</f>
        <v/>
      </c>
      <c r="E697" s="10">
        <f>IFERROR(INDEX('Review Items'!$E:$E,MATCH(C697,'Review Items'!$B:$B,0)),IFERROR(INDEX('Rule Updates'!$C:$C,MATCH(C697,'Rule Updates'!$A:$A,0)),"Review"))</f>
        <v/>
      </c>
      <c r="F697" s="12" t="n">
        <v>100.39</v>
      </c>
      <c r="G697" s="12" t="n">
        <v>526.9299999999999</v>
      </c>
      <c r="H697" s="10" t="n">
        <v>2</v>
      </c>
      <c r="I697" s="10">
        <f>IF(OR(D697="Uncategorised",E697=""),"Check","")</f>
        <v/>
      </c>
    </row>
    <row r="698">
      <c r="A698" s="10" t="inlineStr">
        <is>
          <t>Amex Aug-2025</t>
        </is>
      </c>
      <c r="B698" s="11" t="n">
        <v>45867</v>
      </c>
      <c r="C698" s="10" t="inlineStr">
        <is>
          <t>SKITTLE LANE Circular Quay</t>
        </is>
      </c>
      <c r="D698" s="10">
        <f>IFERROR(INDEX('Review Items'!$D:$D,MATCH(C698,'Review Items'!$B:$B,0)),IFERROR(INDEX('Rule Updates'!$B:$B,MATCH(C698,'Rule Updates'!$A:$A,0)),"Uncategorised"))</f>
        <v/>
      </c>
      <c r="E698" s="10">
        <f>IFERROR(INDEX('Review Items'!$E:$E,MATCH(C698,'Review Items'!$B:$B,0)),IFERROR(INDEX('Rule Updates'!$C:$C,MATCH(C698,'Rule Updates'!$A:$A,0)),"Review"))</f>
        <v/>
      </c>
      <c r="F698" s="12" t="n">
        <v>6.08</v>
      </c>
      <c r="G698" s="12" t="n">
        <v>31.94</v>
      </c>
      <c r="H698" s="10" t="n">
        <v>2</v>
      </c>
      <c r="I698" s="10">
        <f>IF(OR(D698="Uncategorised",E698=""),"Check","")</f>
        <v/>
      </c>
    </row>
    <row r="699">
      <c r="A699" s="10" t="inlineStr">
        <is>
          <t>Amex Aug-2025</t>
        </is>
      </c>
      <c r="B699" s="11" t="n">
        <v>45867</v>
      </c>
      <c r="C699" s="10" t="inlineStr">
        <is>
          <t>SP AKUBRA KEMPSEY</t>
        </is>
      </c>
      <c r="D699" s="10">
        <f>IFERROR(INDEX('Review Items'!$D:$D,MATCH(C699,'Review Items'!$B:$B,0)),IFERROR(INDEX('Rule Updates'!$B:$B,MATCH(C699,'Rule Updates'!$A:$A,0)),"Uncategorised"))</f>
        <v/>
      </c>
      <c r="E699" s="10">
        <f>IFERROR(INDEX('Review Items'!$E:$E,MATCH(C699,'Review Items'!$B:$B,0)),IFERROR(INDEX('Rule Updates'!$C:$C,MATCH(C699,'Rule Updates'!$A:$A,0)),"Review"))</f>
        <v/>
      </c>
      <c r="F699" s="12" t="n">
        <v>195</v>
      </c>
      <c r="G699" s="12" t="n">
        <v>1023.42</v>
      </c>
      <c r="H699" s="10" t="n">
        <v>3</v>
      </c>
      <c r="I699" s="10">
        <f>IF(OR(D699="Uncategorised",E699=""),"Check","")</f>
        <v/>
      </c>
    </row>
    <row r="700">
      <c r="A700" s="10" t="inlineStr">
        <is>
          <t>Amex Aug-2025</t>
        </is>
      </c>
      <c r="B700" s="11" t="n">
        <v>45867</v>
      </c>
      <c r="C700" s="10" t="inlineStr">
        <is>
          <t>SP DINOSAUR DESIGNS STRAWBERRY HILL</t>
        </is>
      </c>
      <c r="D700" s="10">
        <f>IFERROR(INDEX('Review Items'!$D:$D,MATCH(C700,'Review Items'!$B:$B,0)),IFERROR(INDEX('Rule Updates'!$B:$B,MATCH(C700,'Rule Updates'!$A:$A,0)),"Uncategorised"))</f>
        <v/>
      </c>
      <c r="E700" s="10">
        <f>IFERROR(INDEX('Review Items'!$E:$E,MATCH(C700,'Review Items'!$B:$B,0)),IFERROR(INDEX('Rule Updates'!$C:$C,MATCH(C700,'Rule Updates'!$A:$A,0)),"Review"))</f>
        <v/>
      </c>
      <c r="F700" s="12" t="n">
        <v>455</v>
      </c>
      <c r="G700" s="12" t="n">
        <v>2388.02</v>
      </c>
      <c r="H700" s="10" t="n">
        <v>3</v>
      </c>
      <c r="I700" s="10">
        <f>IF(OR(D700="Uncategorised",E700=""),"Check","")</f>
        <v/>
      </c>
    </row>
    <row r="701">
      <c r="A701" s="10" t="inlineStr">
        <is>
          <t>Amex Aug-2025</t>
        </is>
      </c>
      <c r="B701" s="11" t="n">
        <v>45867</v>
      </c>
      <c r="C701" s="10" t="inlineStr">
        <is>
          <t>WOOLWORTHS 1416 DOUBLE DOUBLE BAY</t>
        </is>
      </c>
      <c r="D701" s="10">
        <f>IFERROR(INDEX('Review Items'!$D:$D,MATCH(C701,'Review Items'!$B:$B,0)),IFERROR(INDEX('Rule Updates'!$B:$B,MATCH(C701,'Rule Updates'!$A:$A,0)),"Uncategorised"))</f>
        <v/>
      </c>
      <c r="E701" s="10">
        <f>IFERROR(INDEX('Review Items'!$E:$E,MATCH(C701,'Review Items'!$B:$B,0)),IFERROR(INDEX('Rule Updates'!$C:$C,MATCH(C701,'Rule Updates'!$A:$A,0)),"Review"))</f>
        <v/>
      </c>
      <c r="F701" s="12" t="n">
        <v>37.2</v>
      </c>
      <c r="G701" s="12" t="n">
        <v>195.2</v>
      </c>
      <c r="H701" s="10" t="n">
        <v>2</v>
      </c>
      <c r="I701" s="10">
        <f>IF(OR(D701="Uncategorised",E701=""),"Check","")</f>
        <v/>
      </c>
    </row>
    <row r="702">
      <c r="A702" s="10" t="inlineStr">
        <is>
          <t>Amex Aug-2025</t>
        </is>
      </c>
      <c r="B702" s="11" t="n">
        <v>45868</v>
      </c>
      <c r="C702" s="10" t="inlineStr">
        <is>
          <t>HUMBLE COFFEE&amp;BAKERY 74 SURRY HILLS</t>
        </is>
      </c>
      <c r="D702" s="10">
        <f>IFERROR(INDEX('Review Items'!$D:$D,MATCH(C702,'Review Items'!$B:$B,0)),IFERROR(INDEX('Rule Updates'!$B:$B,MATCH(C702,'Rule Updates'!$A:$A,0)),"Uncategorised"))</f>
        <v/>
      </c>
      <c r="E702" s="10">
        <f>IFERROR(INDEX('Review Items'!$E:$E,MATCH(C702,'Review Items'!$B:$B,0)),IFERROR(INDEX('Rule Updates'!$C:$C,MATCH(C702,'Rule Updates'!$A:$A,0)),"Review"))</f>
        <v/>
      </c>
      <c r="F702" s="12" t="n">
        <v>23.69</v>
      </c>
      <c r="G702" s="12" t="n">
        <v>123.63</v>
      </c>
      <c r="H702" s="10" t="n">
        <v>3</v>
      </c>
      <c r="I702" s="10">
        <f>IF(OR(D702="Uncategorised",E702=""),"Check","")</f>
        <v/>
      </c>
    </row>
    <row r="703">
      <c r="A703" s="10" t="inlineStr">
        <is>
          <t>Amex Aug-2025</t>
        </is>
      </c>
      <c r="B703" s="11" t="n">
        <v>45868</v>
      </c>
      <c r="C703" s="10" t="inlineStr">
        <is>
          <t>SKITTLE LANE Circular Quay</t>
        </is>
      </c>
      <c r="D703" s="10">
        <f>IFERROR(INDEX('Review Items'!$D:$D,MATCH(C703,'Review Items'!$B:$B,0)),IFERROR(INDEX('Rule Updates'!$B:$B,MATCH(C703,'Rule Updates'!$A:$A,0)),"Uncategorised"))</f>
        <v/>
      </c>
      <c r="E703" s="10">
        <f>IFERROR(INDEX('Review Items'!$E:$E,MATCH(C703,'Review Items'!$B:$B,0)),IFERROR(INDEX('Rule Updates'!$C:$C,MATCH(C703,'Rule Updates'!$A:$A,0)),"Review"))</f>
        <v/>
      </c>
      <c r="F703" s="12" t="n">
        <v>6.59</v>
      </c>
      <c r="G703" s="12" t="n">
        <v>34.58</v>
      </c>
      <c r="H703" s="10" t="n">
        <v>3</v>
      </c>
      <c r="I703" s="10">
        <f>IF(OR(D703="Uncategorised",E703=""),"Check","")</f>
        <v/>
      </c>
    </row>
    <row r="704">
      <c r="A704" s="10" t="inlineStr">
        <is>
          <t>Amex Aug-2025</t>
        </is>
      </c>
      <c r="B704" s="11" t="n">
        <v>45870</v>
      </c>
      <c r="C704" s="10" t="inlineStr">
        <is>
          <t>AMAZON PRIME*LH0E794C3 AMZN.COM/BILL</t>
        </is>
      </c>
      <c r="D704" s="10">
        <f>IFERROR(INDEX('Review Items'!$D:$D,MATCH(C704,'Review Items'!$B:$B,0)),IFERROR(INDEX('Rule Updates'!$B:$B,MATCH(C704,'Rule Updates'!$A:$A,0)),"Uncategorised"))</f>
        <v/>
      </c>
      <c r="E704" s="10">
        <f>IFERROR(INDEX('Review Items'!$E:$E,MATCH(C704,'Review Items'!$B:$B,0)),IFERROR(INDEX('Rule Updates'!$C:$C,MATCH(C704,'Rule Updates'!$A:$A,0)),"Review"))</f>
        <v/>
      </c>
      <c r="F704" s="12" t="n">
        <v>14.99</v>
      </c>
      <c r="G704" s="12" t="n">
        <v>120.03</v>
      </c>
      <c r="H704" s="10" t="n">
        <v>3</v>
      </c>
      <c r="I704" s="10">
        <f>IF(OR(D704="Uncategorised",E704=""),"Check","")</f>
        <v/>
      </c>
    </row>
    <row r="705">
      <c r="A705" s="10" t="inlineStr">
        <is>
          <t>Amex Aug-2025</t>
        </is>
      </c>
      <c r="B705" s="11" t="n">
        <v>45872</v>
      </c>
      <c r="C705" s="10" t="inlineStr">
        <is>
          <t>AMAZON PRIME*RV34P3P74 AMZN.CO.UK/PM</t>
        </is>
      </c>
      <c r="D705" s="10">
        <f>IFERROR(INDEX('Review Items'!$D:$D,MATCH(C705,'Review Items'!$B:$B,0)),IFERROR(INDEX('Rule Updates'!$B:$B,MATCH(C705,'Rule Updates'!$A:$A,0)),"Uncategorised"))</f>
        <v/>
      </c>
      <c r="E705" s="10">
        <f>IFERROR(INDEX('Review Items'!$E:$E,MATCH(C705,'Review Items'!$B:$B,0)),IFERROR(INDEX('Rule Updates'!$C:$C,MATCH(C705,'Rule Updates'!$A:$A,0)),"Review"))</f>
        <v/>
      </c>
      <c r="F705" s="12" t="n">
        <v>8.99</v>
      </c>
      <c r="G705" s="12" t="n">
        <v>95.83</v>
      </c>
      <c r="H705" s="10" t="n">
        <v>3</v>
      </c>
      <c r="I705" s="10">
        <f>IF(OR(D705="Uncategorised",E705=""),"Check","")</f>
        <v/>
      </c>
    </row>
    <row r="706">
      <c r="A706" s="10" t="inlineStr">
        <is>
          <t>Amex Aug-2025</t>
        </is>
      </c>
      <c r="B706" s="11" t="n">
        <v>45873</v>
      </c>
      <c r="C706" s="10" t="inlineStr">
        <is>
          <t>CITY'SUPER CENTRAL</t>
        </is>
      </c>
      <c r="D706" s="10">
        <f>IFERROR(INDEX('Review Items'!$D:$D,MATCH(C706,'Review Items'!$B:$B,0)),IFERROR(INDEX('Rule Updates'!$B:$B,MATCH(C706,'Rule Updates'!$A:$A,0)),"Uncategorised"))</f>
        <v/>
      </c>
      <c r="E706" s="10">
        <f>IFERROR(INDEX('Review Items'!$E:$E,MATCH(C706,'Review Items'!$B:$B,0)),IFERROR(INDEX('Rule Updates'!$C:$C,MATCH(C706,'Rule Updates'!$A:$A,0)),"Review"))</f>
        <v/>
      </c>
      <c r="F706" s="10" t="n"/>
      <c r="G706" s="12" t="n">
        <v>442.8</v>
      </c>
      <c r="H706" s="10" t="n">
        <v>3</v>
      </c>
      <c r="I706" s="10">
        <f>IF(OR(D706="Uncategorised",E706=""),"Check","")</f>
        <v/>
      </c>
    </row>
    <row r="707">
      <c r="A707" s="10" t="inlineStr">
        <is>
          <t>Amex Aug-2025</t>
        </is>
      </c>
      <c r="B707" s="11" t="n">
        <v>45874</v>
      </c>
      <c r="C707" s="10" t="inlineStr">
        <is>
          <t>BAR LEONE SHEUNG WAN</t>
        </is>
      </c>
      <c r="D707" s="10">
        <f>IFERROR(INDEX('Review Items'!$D:$D,MATCH(C707,'Review Items'!$B:$B,0)),IFERROR(INDEX('Rule Updates'!$B:$B,MATCH(C707,'Rule Updates'!$A:$A,0)),"Uncategorised"))</f>
        <v/>
      </c>
      <c r="E707" s="10">
        <f>IFERROR(INDEX('Review Items'!$E:$E,MATCH(C707,'Review Items'!$B:$B,0)),IFERROR(INDEX('Rule Updates'!$C:$C,MATCH(C707,'Rule Updates'!$A:$A,0)),"Review"))</f>
        <v/>
      </c>
      <c r="F707" s="10" t="n"/>
      <c r="G707" s="12" t="n">
        <v>1879</v>
      </c>
      <c r="H707" s="10" t="n">
        <v>3</v>
      </c>
      <c r="I707" s="10">
        <f>IF(OR(D707="Uncategorised",E707=""),"Check","")</f>
        <v/>
      </c>
    </row>
    <row r="708">
      <c r="A708" s="10" t="inlineStr">
        <is>
          <t>Amex Aug-2025</t>
        </is>
      </c>
      <c r="B708" s="11" t="n">
        <v>45874</v>
      </c>
      <c r="C708" s="10" t="inlineStr">
        <is>
          <t>CATHAY PACIFIC AIRWAYS HONG KONG</t>
        </is>
      </c>
      <c r="D708" s="10">
        <f>IFERROR(INDEX('Review Items'!$D:$D,MATCH(C708,'Review Items'!$B:$B,0)),IFERROR(INDEX('Rule Updates'!$B:$B,MATCH(C708,'Rule Updates'!$A:$A,0)),"Uncategorised"))</f>
        <v/>
      </c>
      <c r="E708" s="10">
        <f>IFERROR(INDEX('Review Items'!$E:$E,MATCH(C708,'Review Items'!$B:$B,0)),IFERROR(INDEX('Rule Updates'!$C:$C,MATCH(C708,'Rule Updates'!$A:$A,0)),"Review"))</f>
        <v/>
      </c>
      <c r="F708" s="12" t="n">
        <v>43296</v>
      </c>
      <c r="G708" s="12" t="n">
        <v>48325.77</v>
      </c>
      <c r="H708" s="10" t="n">
        <v>3</v>
      </c>
      <c r="I708" s="10">
        <f>IF(OR(D708="Uncategorised",E708=""),"Check","")</f>
        <v/>
      </c>
    </row>
    <row r="709">
      <c r="A709" s="10" t="inlineStr">
        <is>
          <t>Amex Aug-2025</t>
        </is>
      </c>
      <c r="B709" s="11" t="n">
        <v>45874</v>
      </c>
      <c r="C709" s="10" t="inlineStr">
        <is>
          <t>ISLAND SHANGRI-LA- LOBS ADMIRALTY</t>
        </is>
      </c>
      <c r="D709" s="10">
        <f>IFERROR(INDEX('Review Items'!$D:$D,MATCH(C709,'Review Items'!$B:$B,0)),IFERROR(INDEX('Rule Updates'!$B:$B,MATCH(C709,'Rule Updates'!$A:$A,0)),"Uncategorised"))</f>
        <v/>
      </c>
      <c r="E709" s="10">
        <f>IFERROR(INDEX('Review Items'!$E:$E,MATCH(C709,'Review Items'!$B:$B,0)),IFERROR(INDEX('Rule Updates'!$C:$C,MATCH(C709,'Rule Updates'!$A:$A,0)),"Review"))</f>
        <v/>
      </c>
      <c r="F709" s="10" t="n"/>
      <c r="G709" s="12" t="n">
        <v>2450</v>
      </c>
      <c r="H709" s="10" t="n">
        <v>7</v>
      </c>
      <c r="I709" s="10">
        <f>IF(OR(D709="Uncategorised",E709=""),"Check","")</f>
        <v/>
      </c>
    </row>
    <row r="710">
      <c r="A710" s="10" t="inlineStr">
        <is>
          <t>Amex Aug-2025</t>
        </is>
      </c>
      <c r="B710" s="11" t="n">
        <v>45874</v>
      </c>
      <c r="C710" s="10" t="inlineStr">
        <is>
          <t>PAYMENT RECEIVED THROUGH AUTOPAY</t>
        </is>
      </c>
      <c r="D710" s="10">
        <f>IFERROR(INDEX('Review Items'!$D:$D,MATCH(C710,'Review Items'!$B:$B,0)),IFERROR(INDEX('Rule Updates'!$B:$B,MATCH(C710,'Rule Updates'!$A:$A,0)),"Uncategorised"))</f>
        <v/>
      </c>
      <c r="E710" s="10">
        <f>IFERROR(INDEX('Review Items'!$E:$E,MATCH(C710,'Review Items'!$B:$B,0)),IFERROR(INDEX('Rule Updates'!$C:$C,MATCH(C710,'Rule Updates'!$A:$A,0)),"Review"))</f>
        <v/>
      </c>
      <c r="F710" s="10" t="n"/>
      <c r="G710" s="12" t="n">
        <v>-378024.86</v>
      </c>
      <c r="H710" s="10" t="n">
        <v>1</v>
      </c>
      <c r="I710" s="10">
        <f>IF(OR(D710="Uncategorised",E710=""),"Check","")</f>
        <v/>
      </c>
    </row>
    <row r="711">
      <c r="A711" s="10" t="inlineStr">
        <is>
          <t>Amex Aug-2025</t>
        </is>
      </c>
      <c r="B711" s="11" t="n">
        <v>45874</v>
      </c>
      <c r="C711" s="10" t="inlineStr">
        <is>
          <t>THE DAIRY FARM COMPANY, HONG KONG</t>
        </is>
      </c>
      <c r="D711" s="10">
        <f>IFERROR(INDEX('Review Items'!$D:$D,MATCH(C711,'Review Items'!$B:$B,0)),IFERROR(INDEX('Rule Updates'!$B:$B,MATCH(C711,'Rule Updates'!$A:$A,0)),"Uncategorised"))</f>
        <v/>
      </c>
      <c r="E711" s="10">
        <f>IFERROR(INDEX('Review Items'!$E:$E,MATCH(C711,'Review Items'!$B:$B,0)),IFERROR(INDEX('Rule Updates'!$C:$C,MATCH(C711,'Rule Updates'!$A:$A,0)),"Review"))</f>
        <v/>
      </c>
      <c r="F711" s="10" t="n"/>
      <c r="G711" s="12" t="n">
        <v>1957.1</v>
      </c>
      <c r="H711" s="10" t="n">
        <v>3</v>
      </c>
      <c r="I711" s="10">
        <f>IF(OR(D711="Uncategorised",E711=""),"Check","")</f>
        <v/>
      </c>
    </row>
    <row r="712">
      <c r="A712" s="10" t="inlineStr">
        <is>
          <t>Amex Aug-2025</t>
        </is>
      </c>
      <c r="B712" s="11" t="n">
        <v>45874</v>
      </c>
      <c r="C712" s="10" t="inlineStr">
        <is>
          <t>THE NET-A-PORTER GROUP HONG KONG</t>
        </is>
      </c>
      <c r="D712" s="10">
        <f>IFERROR(INDEX('Review Items'!$D:$D,MATCH(C712,'Review Items'!$B:$B,0)),IFERROR(INDEX('Rule Updates'!$B:$B,MATCH(C712,'Rule Updates'!$A:$A,0)),"Uncategorised"))</f>
        <v/>
      </c>
      <c r="E712" s="10">
        <f>IFERROR(INDEX('Review Items'!$E:$E,MATCH(C712,'Review Items'!$B:$B,0)),IFERROR(INDEX('Rule Updates'!$C:$C,MATCH(C712,'Rule Updates'!$A:$A,0)),"Review"))</f>
        <v/>
      </c>
      <c r="F712" s="10" t="n"/>
      <c r="G712" s="12" t="n">
        <v>64248</v>
      </c>
      <c r="H712" s="10" t="n">
        <v>3</v>
      </c>
      <c r="I712" s="10">
        <f>IF(OR(D712="Uncategorised",E712=""),"Check","")</f>
        <v/>
      </c>
    </row>
    <row r="713">
      <c r="A713" s="10" t="inlineStr">
        <is>
          <t>Amex Aug-2025</t>
        </is>
      </c>
      <c r="B713" s="11" t="n">
        <v>45875</v>
      </c>
      <c r="C713" s="10" t="inlineStr">
        <is>
          <t>ASIA MILES LIMITED HONG KONG</t>
        </is>
      </c>
      <c r="D713" s="10">
        <f>IFERROR(INDEX('Review Items'!$D:$D,MATCH(C713,'Review Items'!$B:$B,0)),IFERROR(INDEX('Rule Updates'!$B:$B,MATCH(C713,'Rule Updates'!$A:$A,0)),"Uncategorised"))</f>
        <v/>
      </c>
      <c r="E713" s="10">
        <f>IFERROR(INDEX('Review Items'!$E:$E,MATCH(C713,'Review Items'!$B:$B,0)),IFERROR(INDEX('Rule Updates'!$C:$C,MATCH(C713,'Rule Updates'!$A:$A,0)),"Review"))</f>
        <v/>
      </c>
      <c r="F713" s="10" t="n"/>
      <c r="G713" s="12" t="n">
        <v>1256</v>
      </c>
      <c r="H713" s="10" t="n">
        <v>3</v>
      </c>
      <c r="I713" s="10">
        <f>IF(OR(D713="Uncategorised",E713=""),"Check","")</f>
        <v/>
      </c>
    </row>
    <row r="714">
      <c r="A714" s="10" t="inlineStr">
        <is>
          <t>Amex Aug-2025</t>
        </is>
      </c>
      <c r="B714" s="11" t="n">
        <v>45875</v>
      </c>
      <c r="C714" s="10" t="inlineStr">
        <is>
          <t>G7Q ADMIRALTY</t>
        </is>
      </c>
      <c r="D714" s="10">
        <f>IFERROR(INDEX('Review Items'!$D:$D,MATCH(C714,'Review Items'!$B:$B,0)),IFERROR(INDEX('Rule Updates'!$B:$B,MATCH(C714,'Rule Updates'!$A:$A,0)),"Uncategorised"))</f>
        <v/>
      </c>
      <c r="E714" s="10">
        <f>IFERROR(INDEX('Review Items'!$E:$E,MATCH(C714,'Review Items'!$B:$B,0)),IFERROR(INDEX('Rule Updates'!$C:$C,MATCH(C714,'Rule Updates'!$A:$A,0)),"Review"))</f>
        <v/>
      </c>
      <c r="F714" s="10" t="n"/>
      <c r="G714" s="12" t="n">
        <v>1157.9</v>
      </c>
      <c r="H714" s="10" t="n">
        <v>4</v>
      </c>
      <c r="I714" s="10">
        <f>IF(OR(D714="Uncategorised",E714=""),"Check","")</f>
        <v/>
      </c>
    </row>
    <row r="715">
      <c r="A715" s="10" t="inlineStr">
        <is>
          <t>Amex Aug-2025</t>
        </is>
      </c>
      <c r="B715" s="11" t="n">
        <v>45875</v>
      </c>
      <c r="C715" s="10" t="inlineStr">
        <is>
          <t>IL COLPO PACIFIC PLACE ADMIRALTY</t>
        </is>
      </c>
      <c r="D715" s="10">
        <f>IFERROR(INDEX('Review Items'!$D:$D,MATCH(C715,'Review Items'!$B:$B,0)),IFERROR(INDEX('Rule Updates'!$B:$B,MATCH(C715,'Rule Updates'!$A:$A,0)),"Uncategorised"))</f>
        <v/>
      </c>
      <c r="E715" s="10">
        <f>IFERROR(INDEX('Review Items'!$E:$E,MATCH(C715,'Review Items'!$B:$B,0)),IFERROR(INDEX('Rule Updates'!$C:$C,MATCH(C715,'Rule Updates'!$A:$A,0)),"Review"))</f>
        <v/>
      </c>
      <c r="F715" s="10" t="n"/>
      <c r="G715" s="12" t="n">
        <v>11260</v>
      </c>
      <c r="H715" s="10" t="n">
        <v>3</v>
      </c>
      <c r="I715" s="10">
        <f>IF(OR(D715="Uncategorised",E715=""),"Check","")</f>
        <v/>
      </c>
    </row>
    <row r="716">
      <c r="A716" s="10" t="inlineStr">
        <is>
          <t>Amex Aug-2025</t>
        </is>
      </c>
      <c r="B716" s="11" t="n">
        <v>45875</v>
      </c>
      <c r="C716" s="10" t="inlineStr">
        <is>
          <t>KELLY &amp; WALSH LTD CENTRAL</t>
        </is>
      </c>
      <c r="D716" s="10">
        <f>IFERROR(INDEX('Review Items'!$D:$D,MATCH(C716,'Review Items'!$B:$B,0)),IFERROR(INDEX('Rule Updates'!$B:$B,MATCH(C716,'Rule Updates'!$A:$A,0)),"Uncategorised"))</f>
        <v/>
      </c>
      <c r="E716" s="10">
        <f>IFERROR(INDEX('Review Items'!$E:$E,MATCH(C716,'Review Items'!$B:$B,0)),IFERROR(INDEX('Rule Updates'!$C:$C,MATCH(C716,'Rule Updates'!$A:$A,0)),"Review"))</f>
        <v/>
      </c>
      <c r="F716" s="10" t="n"/>
      <c r="G716" s="12" t="n">
        <v>460.5</v>
      </c>
      <c r="H716" s="10" t="n">
        <v>4</v>
      </c>
      <c r="I716" s="10">
        <f>IF(OR(D716="Uncategorised",E716=""),"Check","")</f>
        <v/>
      </c>
    </row>
    <row r="717">
      <c r="A717" s="10" t="inlineStr">
        <is>
          <t>Amex Aug-2025</t>
        </is>
      </c>
      <c r="B717" s="11" t="n">
        <v>45875</v>
      </c>
      <c r="C717" s="10" t="inlineStr">
        <is>
          <t>MS* SHISHIIWAHOUSEKAR MINATOKU</t>
        </is>
      </c>
      <c r="D717" s="10">
        <f>IFERROR(INDEX('Review Items'!$D:$D,MATCH(C717,'Review Items'!$B:$B,0)),IFERROR(INDEX('Rule Updates'!$B:$B,MATCH(C717,'Rule Updates'!$A:$A,0)),"Uncategorised"))</f>
        <v/>
      </c>
      <c r="E717" s="10">
        <f>IFERROR(INDEX('Review Items'!$E:$E,MATCH(C717,'Review Items'!$B:$B,0)),IFERROR(INDEX('Rule Updates'!$C:$C,MATCH(C717,'Rule Updates'!$A:$A,0)),"Review"))</f>
        <v/>
      </c>
      <c r="F717" s="12" t="n">
        <v>727375</v>
      </c>
      <c r="G717" s="12" t="n">
        <v>-38806.84</v>
      </c>
      <c r="H717" s="10" t="n">
        <v>3</v>
      </c>
      <c r="I717" s="10">
        <f>IF(OR(D717="Uncategorised",E717=""),"Check","")</f>
        <v/>
      </c>
    </row>
    <row r="718">
      <c r="A718" s="10" t="inlineStr">
        <is>
          <t>Amex Aug-2025</t>
        </is>
      </c>
      <c r="B718" s="11" t="n">
        <v>45875</v>
      </c>
      <c r="C718" s="10" t="inlineStr">
        <is>
          <t>MS* SHISHIIWAHOUSEKAR MINATOKU</t>
        </is>
      </c>
      <c r="D718" s="10">
        <f>IFERROR(INDEX('Review Items'!$D:$D,MATCH(C718,'Review Items'!$B:$B,0)),IFERROR(INDEX('Rule Updates'!$B:$B,MATCH(C718,'Rule Updates'!$A:$A,0)),"Uncategorised"))</f>
        <v/>
      </c>
      <c r="E718" s="10">
        <f>IFERROR(INDEX('Review Items'!$E:$E,MATCH(C718,'Review Items'!$B:$B,0)),IFERROR(INDEX('Rule Updates'!$C:$C,MATCH(C718,'Rule Updates'!$A:$A,0)),"Review"))</f>
        <v/>
      </c>
      <c r="F718" s="12" t="n">
        <v>727375</v>
      </c>
      <c r="G718" s="12" t="n">
        <v>-38806.84</v>
      </c>
      <c r="H718" s="10" t="n">
        <v>3</v>
      </c>
      <c r="I718" s="10">
        <f>IF(OR(D718="Uncategorised",E718=""),"Check","")</f>
        <v/>
      </c>
    </row>
    <row r="719">
      <c r="A719" s="10" t="inlineStr">
        <is>
          <t>Amex Aug-2025</t>
        </is>
      </c>
      <c r="B719" s="11" t="n">
        <v>45875</v>
      </c>
      <c r="C719" s="10" t="inlineStr">
        <is>
          <t>SIMPLY TOYS ADMIRALTY</t>
        </is>
      </c>
      <c r="D719" s="10">
        <f>IFERROR(INDEX('Review Items'!$D:$D,MATCH(C719,'Review Items'!$B:$B,0)),IFERROR(INDEX('Rule Updates'!$B:$B,MATCH(C719,'Rule Updates'!$A:$A,0)),"Uncategorised"))</f>
        <v/>
      </c>
      <c r="E719" s="10">
        <f>IFERROR(INDEX('Review Items'!$E:$E,MATCH(C719,'Review Items'!$B:$B,0)),IFERROR(INDEX('Rule Updates'!$C:$C,MATCH(C719,'Rule Updates'!$A:$A,0)),"Review"))</f>
        <v/>
      </c>
      <c r="F719" s="10" t="n"/>
      <c r="G719" s="12" t="n">
        <v>76</v>
      </c>
      <c r="H719" s="10" t="n">
        <v>4</v>
      </c>
      <c r="I719" s="10">
        <f>IF(OR(D719="Uncategorised",E719=""),"Check","")</f>
        <v/>
      </c>
    </row>
    <row r="720">
      <c r="A720" s="10" t="inlineStr">
        <is>
          <t>Amex Aug-2025</t>
        </is>
      </c>
      <c r="B720" s="11" t="n">
        <v>45875</v>
      </c>
      <c r="C720" s="10" t="inlineStr">
        <is>
          <t>THE DIPLOMAT CENTRAL</t>
        </is>
      </c>
      <c r="D720" s="10">
        <f>IFERROR(INDEX('Review Items'!$D:$D,MATCH(C720,'Review Items'!$B:$B,0)),IFERROR(INDEX('Rule Updates'!$B:$B,MATCH(C720,'Rule Updates'!$A:$A,0)),"Uncategorised"))</f>
        <v/>
      </c>
      <c r="E720" s="10">
        <f>IFERROR(INDEX('Review Items'!$E:$E,MATCH(C720,'Review Items'!$B:$B,0)),IFERROR(INDEX('Rule Updates'!$C:$C,MATCH(C720,'Rule Updates'!$A:$A,0)),"Review"))</f>
        <v/>
      </c>
      <c r="F720" s="10" t="n"/>
      <c r="G720" s="12" t="n">
        <v>16016</v>
      </c>
      <c r="H720" s="10" t="n">
        <v>4</v>
      </c>
      <c r="I720" s="10">
        <f>IF(OR(D720="Uncategorised",E720=""),"Check","")</f>
        <v/>
      </c>
    </row>
    <row r="721">
      <c r="A721" s="10" t="inlineStr">
        <is>
          <t>Amex Aug-2025</t>
        </is>
      </c>
      <c r="B721" s="11" t="n">
        <v>45876</v>
      </c>
      <c r="C721" s="10" t="inlineStr">
        <is>
          <t>THE DIPLOMAT CENTRAL</t>
        </is>
      </c>
      <c r="D721" s="10">
        <f>IFERROR(INDEX('Review Items'!$D:$D,MATCH(C721,'Review Items'!$B:$B,0)),IFERROR(INDEX('Rule Updates'!$B:$B,MATCH(C721,'Rule Updates'!$A:$A,0)),"Uncategorised"))</f>
        <v/>
      </c>
      <c r="E721" s="10">
        <f>IFERROR(INDEX('Review Items'!$E:$E,MATCH(C721,'Review Items'!$B:$B,0)),IFERROR(INDEX('Rule Updates'!$C:$C,MATCH(C721,'Rule Updates'!$A:$A,0)),"Review"))</f>
        <v/>
      </c>
      <c r="F721" s="10" t="n"/>
      <c r="G721" s="12" t="n">
        <v>2860</v>
      </c>
      <c r="H721" s="10" t="n">
        <v>4</v>
      </c>
      <c r="I721" s="10">
        <f>IF(OR(D721="Uncategorised",E721=""),"Check","")</f>
        <v/>
      </c>
    </row>
    <row r="722">
      <c r="A722" s="10" t="inlineStr">
        <is>
          <t>Amex Aug-2025</t>
        </is>
      </c>
      <c r="B722" s="11" t="n">
        <v>45876</v>
      </c>
      <c r="C722" s="10" t="inlineStr">
        <is>
          <t>THE NET-A-PORTER GROUP HONG KONG</t>
        </is>
      </c>
      <c r="D722" s="10">
        <f>IFERROR(INDEX('Review Items'!$D:$D,MATCH(C722,'Review Items'!$B:$B,0)),IFERROR(INDEX('Rule Updates'!$B:$B,MATCH(C722,'Rule Updates'!$A:$A,0)),"Uncategorised"))</f>
        <v/>
      </c>
      <c r="E722" s="10">
        <f>IFERROR(INDEX('Review Items'!$E:$E,MATCH(C722,'Review Items'!$B:$B,0)),IFERROR(INDEX('Rule Updates'!$C:$C,MATCH(C722,'Rule Updates'!$A:$A,0)),"Review"))</f>
        <v/>
      </c>
      <c r="F722" s="10" t="n"/>
      <c r="G722" s="12" t="n">
        <v>-4405</v>
      </c>
      <c r="H722" s="10" t="n">
        <v>4</v>
      </c>
      <c r="I722" s="10">
        <f>IF(OR(D722="Uncategorised",E722=""),"Check","")</f>
        <v/>
      </c>
    </row>
    <row r="723">
      <c r="A723" s="10" t="inlineStr">
        <is>
          <t>Amex Aug-2025</t>
        </is>
      </c>
      <c r="B723" s="11" t="n">
        <v>45877</v>
      </c>
      <c r="C723" s="10" t="inlineStr">
        <is>
          <t>THE NET-A-PORTER GROUP HONG KONG</t>
        </is>
      </c>
      <c r="D723" s="10">
        <f>IFERROR(INDEX('Review Items'!$D:$D,MATCH(C723,'Review Items'!$B:$B,0)),IFERROR(INDEX('Rule Updates'!$B:$B,MATCH(C723,'Rule Updates'!$A:$A,0)),"Uncategorised"))</f>
        <v/>
      </c>
      <c r="E723" s="10">
        <f>IFERROR(INDEX('Review Items'!$E:$E,MATCH(C723,'Review Items'!$B:$B,0)),IFERROR(INDEX('Rule Updates'!$C:$C,MATCH(C723,'Rule Updates'!$A:$A,0)),"Review"))</f>
        <v/>
      </c>
      <c r="F723" s="10" t="n"/>
      <c r="G723" s="12" t="n">
        <v>-1605</v>
      </c>
      <c r="H723" s="10" t="n">
        <v>4</v>
      </c>
      <c r="I723" s="10">
        <f>IF(OR(D723="Uncategorised",E723=""),"Check","")</f>
        <v/>
      </c>
    </row>
    <row r="724">
      <c r="A724" s="10" t="inlineStr">
        <is>
          <t>Amex Aug-2025</t>
        </is>
      </c>
      <c r="B724" s="11" t="n">
        <v>45879</v>
      </c>
      <c r="C724" s="10" t="inlineStr">
        <is>
          <t>AMAZON PRIME*RF8363QU4 AMZN.CO.UK/PM</t>
        </is>
      </c>
      <c r="D724" s="10">
        <f>IFERROR(INDEX('Review Items'!$D:$D,MATCH(C724,'Review Items'!$B:$B,0)),IFERROR(INDEX('Rule Updates'!$B:$B,MATCH(C724,'Rule Updates'!$A:$A,0)),"Uncategorised"))</f>
        <v/>
      </c>
      <c r="E724" s="10">
        <f>IFERROR(INDEX('Review Items'!$E:$E,MATCH(C724,'Review Items'!$B:$B,0)),IFERROR(INDEX('Rule Updates'!$C:$C,MATCH(C724,'Rule Updates'!$A:$A,0)),"Review"))</f>
        <v/>
      </c>
      <c r="F724" s="12" t="n">
        <v>8.99</v>
      </c>
      <c r="G724" s="12" t="n">
        <v>96.88</v>
      </c>
      <c r="H724" s="10" t="n">
        <v>4</v>
      </c>
      <c r="I724" s="10">
        <f>IF(OR(D724="Uncategorised",E724=""),"Check","")</f>
        <v/>
      </c>
    </row>
    <row r="725">
      <c r="A725" s="10" t="inlineStr">
        <is>
          <t>Amex Aug-2025</t>
        </is>
      </c>
      <c r="B725" s="11" t="n">
        <v>45879</v>
      </c>
      <c r="C725" s="10" t="inlineStr">
        <is>
          <t>MONOCLE HKGR22 00000000 HONG KONG</t>
        </is>
      </c>
      <c r="D725" s="10">
        <f>IFERROR(INDEX('Review Items'!$D:$D,MATCH(C725,'Review Items'!$B:$B,0)),IFERROR(INDEX('Rule Updates'!$B:$B,MATCH(C725,'Rule Updates'!$A:$A,0)),"Uncategorised"))</f>
        <v/>
      </c>
      <c r="E725" s="10">
        <f>IFERROR(INDEX('Review Items'!$E:$E,MATCH(C725,'Review Items'!$B:$B,0)),IFERROR(INDEX('Rule Updates'!$C:$C,MATCH(C725,'Rule Updates'!$A:$A,0)),"Review"))</f>
        <v/>
      </c>
      <c r="F725" s="10" t="n"/>
      <c r="G725" s="12" t="n">
        <v>56</v>
      </c>
      <c r="H725" s="10" t="n">
        <v>4</v>
      </c>
      <c r="I725" s="10">
        <f>IF(OR(D725="Uncategorised",E725=""),"Check","")</f>
        <v/>
      </c>
    </row>
    <row r="726">
      <c r="A726" s="10" t="inlineStr">
        <is>
          <t>Amex Aug-2025</t>
        </is>
      </c>
      <c r="B726" s="11" t="n">
        <v>45880</v>
      </c>
      <c r="C726" s="10" t="inlineStr">
        <is>
          <t>28862 SYDNEY</t>
        </is>
      </c>
      <c r="D726" s="10">
        <f>IFERROR(INDEX('Review Items'!$D:$D,MATCH(C726,'Review Items'!$B:$B,0)),IFERROR(INDEX('Rule Updates'!$B:$B,MATCH(C726,'Rule Updates'!$A:$A,0)),"Uncategorised"))</f>
        <v/>
      </c>
      <c r="E726" s="10">
        <f>IFERROR(INDEX('Review Items'!$E:$E,MATCH(C726,'Review Items'!$B:$B,0)),IFERROR(INDEX('Rule Updates'!$C:$C,MATCH(C726,'Rule Updates'!$A:$A,0)),"Review"))</f>
        <v/>
      </c>
      <c r="F726" s="12" t="n">
        <v>16.21</v>
      </c>
      <c r="G726" s="12" t="n">
        <v>84.87</v>
      </c>
      <c r="H726" s="10" t="n">
        <v>4</v>
      </c>
      <c r="I726" s="10">
        <f>IF(OR(D726="Uncategorised",E726=""),"Check","")</f>
        <v/>
      </c>
    </row>
    <row r="727">
      <c r="A727" s="10" t="inlineStr">
        <is>
          <t>Amex Aug-2025</t>
        </is>
      </c>
      <c r="B727" s="11" t="n">
        <v>45880</v>
      </c>
      <c r="C727" s="10" t="inlineStr">
        <is>
          <t>MERIVALE ME&amp;U* ME&amp;USYDNEY</t>
        </is>
      </c>
      <c r="D727" s="10">
        <f>IFERROR(INDEX('Review Items'!$D:$D,MATCH(C727,'Review Items'!$B:$B,0)),IFERROR(INDEX('Rule Updates'!$B:$B,MATCH(C727,'Rule Updates'!$A:$A,0)),"Uncategorised"))</f>
        <v/>
      </c>
      <c r="E727" s="10">
        <f>IFERROR(INDEX('Review Items'!$E:$E,MATCH(C727,'Review Items'!$B:$B,0)),IFERROR(INDEX('Rule Updates'!$C:$C,MATCH(C727,'Rule Updates'!$A:$A,0)),"Review"))</f>
        <v/>
      </c>
      <c r="F727" s="12" t="n">
        <v>68.73999999999999</v>
      </c>
      <c r="G727" s="12" t="n">
        <v>359.83</v>
      </c>
      <c r="H727" s="10" t="n">
        <v>4</v>
      </c>
      <c r="I727" s="10">
        <f>IF(OR(D727="Uncategorised",E727=""),"Check","")</f>
        <v/>
      </c>
    </row>
    <row r="728">
      <c r="A728" s="10" t="inlineStr">
        <is>
          <t>Amex Aug-2025</t>
        </is>
      </c>
      <c r="B728" s="11" t="n">
        <v>45880</v>
      </c>
      <c r="C728" s="10" t="inlineStr">
        <is>
          <t>PALAZZO SALATO Sydney</t>
        </is>
      </c>
      <c r="D728" s="10">
        <f>IFERROR(INDEX('Review Items'!$D:$D,MATCH(C728,'Review Items'!$B:$B,0)),IFERROR(INDEX('Rule Updates'!$B:$B,MATCH(C728,'Rule Updates'!$A:$A,0)),"Uncategorised"))</f>
        <v/>
      </c>
      <c r="E728" s="10">
        <f>IFERROR(INDEX('Review Items'!$E:$E,MATCH(C728,'Review Items'!$B:$B,0)),IFERROR(INDEX('Rule Updates'!$C:$C,MATCH(C728,'Rule Updates'!$A:$A,0)),"Review"))</f>
        <v/>
      </c>
      <c r="F728" s="12" t="n">
        <v>314.41</v>
      </c>
      <c r="G728" s="12" t="n">
        <v>1645.94</v>
      </c>
      <c r="H728" s="10" t="n">
        <v>4</v>
      </c>
      <c r="I728" s="10">
        <f>IF(OR(D728="Uncategorised",E728=""),"Check","")</f>
        <v/>
      </c>
    </row>
    <row r="729">
      <c r="A729" s="10" t="inlineStr">
        <is>
          <t>Amex Aug-2025</t>
        </is>
      </c>
      <c r="B729" s="11" t="n">
        <v>45880</v>
      </c>
      <c r="C729" s="10" t="inlineStr">
        <is>
          <t>SERVICE NSW SYDNEY</t>
        </is>
      </c>
      <c r="D729" s="10">
        <f>IFERROR(INDEX('Review Items'!$D:$D,MATCH(C729,'Review Items'!$B:$B,0)),IFERROR(INDEX('Rule Updates'!$B:$B,MATCH(C729,'Rule Updates'!$A:$A,0)),"Uncategorised"))</f>
        <v/>
      </c>
      <c r="E729" s="10">
        <f>IFERROR(INDEX('Review Items'!$E:$E,MATCH(C729,'Review Items'!$B:$B,0)),IFERROR(INDEX('Rule Updates'!$C:$C,MATCH(C729,'Rule Updates'!$A:$A,0)),"Review"))</f>
        <v/>
      </c>
      <c r="F729" s="12" t="n">
        <v>228</v>
      </c>
      <c r="G729" s="12" t="n">
        <v>1193.61</v>
      </c>
      <c r="H729" s="10" t="n">
        <v>4</v>
      </c>
      <c r="I729" s="10">
        <f>IF(OR(D729="Uncategorised",E729=""),"Check","")</f>
        <v/>
      </c>
    </row>
    <row r="730">
      <c r="A730" s="10" t="inlineStr">
        <is>
          <t>Amex Aug-2025</t>
        </is>
      </c>
      <c r="B730" s="11" t="n">
        <v>45880</v>
      </c>
      <c r="C730" s="10" t="inlineStr">
        <is>
          <t>SERVICE NSW SYDNEY</t>
        </is>
      </c>
      <c r="D730" s="10">
        <f>IFERROR(INDEX('Review Items'!$D:$D,MATCH(C730,'Review Items'!$B:$B,0)),IFERROR(INDEX('Rule Updates'!$B:$B,MATCH(C730,'Rule Updates'!$A:$A,0)),"Uncategorised"))</f>
        <v/>
      </c>
      <c r="E730" s="10">
        <f>IFERROR(INDEX('Review Items'!$E:$E,MATCH(C730,'Review Items'!$B:$B,0)),IFERROR(INDEX('Rule Updates'!$C:$C,MATCH(C730,'Rule Updates'!$A:$A,0)),"Review"))</f>
        <v/>
      </c>
      <c r="F730" s="12" t="n">
        <v>6</v>
      </c>
      <c r="G730" s="12" t="n">
        <v>31.38</v>
      </c>
      <c r="H730" s="10" t="n">
        <v>4</v>
      </c>
      <c r="I730" s="10">
        <f>IF(OR(D730="Uncategorised",E730=""),"Check","")</f>
        <v/>
      </c>
    </row>
    <row r="731">
      <c r="A731" s="10" t="inlineStr">
        <is>
          <t>Amex Aug-2025</t>
        </is>
      </c>
      <c r="B731" s="11" t="n">
        <v>45880</v>
      </c>
      <c r="C731" s="10" t="inlineStr">
        <is>
          <t>SERVICE NSW SYDNEY</t>
        </is>
      </c>
      <c r="D731" s="10">
        <f>IFERROR(INDEX('Review Items'!$D:$D,MATCH(C731,'Review Items'!$B:$B,0)),IFERROR(INDEX('Rule Updates'!$B:$B,MATCH(C731,'Rule Updates'!$A:$A,0)),"Uncategorised"))</f>
        <v/>
      </c>
      <c r="E731" s="10">
        <f>IFERROR(INDEX('Review Items'!$E:$E,MATCH(C731,'Review Items'!$B:$B,0)),IFERROR(INDEX('Rule Updates'!$C:$C,MATCH(C731,'Rule Updates'!$A:$A,0)),"Review"))</f>
        <v/>
      </c>
      <c r="F731" s="12" t="n">
        <v>228</v>
      </c>
      <c r="G731" s="12" t="n">
        <v>1193.61</v>
      </c>
      <c r="H731" s="10" t="n">
        <v>7</v>
      </c>
      <c r="I731" s="10">
        <f>IF(OR(D731="Uncategorised",E731=""),"Check","")</f>
        <v/>
      </c>
    </row>
    <row r="732">
      <c r="A732" s="10" t="inlineStr">
        <is>
          <t>Amex Aug-2025</t>
        </is>
      </c>
      <c r="B732" s="11" t="n">
        <v>45880</v>
      </c>
      <c r="C732" s="10" t="inlineStr">
        <is>
          <t>TRANSPORTFORNSWTRAVEL SYDNEY</t>
        </is>
      </c>
      <c r="D732" s="10">
        <f>IFERROR(INDEX('Review Items'!$D:$D,MATCH(C732,'Review Items'!$B:$B,0)),IFERROR(INDEX('Rule Updates'!$B:$B,MATCH(C732,'Rule Updates'!$A:$A,0)),"Uncategorised"))</f>
        <v/>
      </c>
      <c r="E732" s="10">
        <f>IFERROR(INDEX('Review Items'!$E:$E,MATCH(C732,'Review Items'!$B:$B,0)),IFERROR(INDEX('Rule Updates'!$C:$C,MATCH(C732,'Rule Updates'!$A:$A,0)),"Review"))</f>
        <v/>
      </c>
      <c r="F732" s="12" t="n">
        <v>2.31</v>
      </c>
      <c r="G732" s="12" t="n">
        <v>12.08</v>
      </c>
      <c r="H732" s="10" t="n">
        <v>4</v>
      </c>
      <c r="I732" s="10">
        <f>IF(OR(D732="Uncategorised",E732=""),"Check","")</f>
        <v/>
      </c>
    </row>
    <row r="733">
      <c r="A733" s="10" t="inlineStr">
        <is>
          <t>Amex Aug-2025</t>
        </is>
      </c>
      <c r="B733" s="11" t="n">
        <v>45881</v>
      </c>
      <c r="C733" s="10" t="inlineStr">
        <is>
          <t>COLES SURRY HILLS 7671 REDFERN</t>
        </is>
      </c>
      <c r="D733" s="10">
        <f>IFERROR(INDEX('Review Items'!$D:$D,MATCH(C733,'Review Items'!$B:$B,0)),IFERROR(INDEX('Rule Updates'!$B:$B,MATCH(C733,'Rule Updates'!$A:$A,0)),"Uncategorised"))</f>
        <v/>
      </c>
      <c r="E733" s="10">
        <f>IFERROR(INDEX('Review Items'!$E:$E,MATCH(C733,'Review Items'!$B:$B,0)),IFERROR(INDEX('Rule Updates'!$C:$C,MATCH(C733,'Rule Updates'!$A:$A,0)),"Review"))</f>
        <v/>
      </c>
      <c r="F733" s="12" t="n">
        <v>14.3</v>
      </c>
      <c r="G733" s="12" t="n">
        <v>74.7</v>
      </c>
      <c r="H733" s="10" t="n">
        <v>4</v>
      </c>
      <c r="I733" s="10">
        <f>IF(OR(D733="Uncategorised",E733=""),"Check","")</f>
        <v/>
      </c>
    </row>
    <row r="734">
      <c r="A734" s="10" t="inlineStr">
        <is>
          <t>Amex Aug-2025</t>
        </is>
      </c>
      <c r="B734" s="11" t="n">
        <v>45881</v>
      </c>
      <c r="C734" s="10" t="inlineStr">
        <is>
          <t>FIREDOOR Surry Hills</t>
        </is>
      </c>
      <c r="D734" s="10">
        <f>IFERROR(INDEX('Review Items'!$D:$D,MATCH(C734,'Review Items'!$B:$B,0)),IFERROR(INDEX('Rule Updates'!$B:$B,MATCH(C734,'Rule Updates'!$A:$A,0)),"Uncategorised"))</f>
        <v/>
      </c>
      <c r="E734" s="10">
        <f>IFERROR(INDEX('Review Items'!$E:$E,MATCH(C734,'Review Items'!$B:$B,0)),IFERROR(INDEX('Rule Updates'!$C:$C,MATCH(C734,'Rule Updates'!$A:$A,0)),"Review"))</f>
        <v/>
      </c>
      <c r="F734" s="12" t="n">
        <v>674.3</v>
      </c>
      <c r="G734" s="12" t="n">
        <v>3524.17</v>
      </c>
      <c r="H734" s="10" t="n">
        <v>4</v>
      </c>
      <c r="I734" s="10">
        <f>IF(OR(D734="Uncategorised",E734=""),"Check","")</f>
        <v/>
      </c>
    </row>
    <row r="735">
      <c r="A735" s="10" t="inlineStr">
        <is>
          <t>Amex Aug-2025</t>
        </is>
      </c>
      <c r="B735" s="11" t="n">
        <v>45881</v>
      </c>
      <c r="C735" s="10" t="inlineStr">
        <is>
          <t>FLOUR AND STONE ANNEXE Woolloomooloo</t>
        </is>
      </c>
      <c r="D735" s="10">
        <f>IFERROR(INDEX('Review Items'!$D:$D,MATCH(C735,'Review Items'!$B:$B,0)),IFERROR(INDEX('Rule Updates'!$B:$B,MATCH(C735,'Rule Updates'!$A:$A,0)),"Uncategorised"))</f>
        <v/>
      </c>
      <c r="E735" s="10">
        <f>IFERROR(INDEX('Review Items'!$E:$E,MATCH(C735,'Review Items'!$B:$B,0)),IFERROR(INDEX('Rule Updates'!$C:$C,MATCH(C735,'Rule Updates'!$A:$A,0)),"Review"))</f>
        <v/>
      </c>
      <c r="F735" s="12" t="n">
        <v>86.59</v>
      </c>
      <c r="G735" s="12" t="n">
        <v>452.57</v>
      </c>
      <c r="H735" s="10" t="n">
        <v>5</v>
      </c>
      <c r="I735" s="10">
        <f>IF(OR(D735="Uncategorised",E735=""),"Check","")</f>
        <v/>
      </c>
    </row>
    <row r="736">
      <c r="A736" s="10" t="inlineStr">
        <is>
          <t>Amex Aug-2025</t>
        </is>
      </c>
      <c r="B736" s="11" t="n">
        <v>45881</v>
      </c>
      <c r="C736" s="10" t="inlineStr">
        <is>
          <t>HOUSE OF PHARMACY 14456 DOUBLE BAY</t>
        </is>
      </c>
      <c r="D736" s="10">
        <f>IFERROR(INDEX('Review Items'!$D:$D,MATCH(C736,'Review Items'!$B:$B,0)),IFERROR(INDEX('Rule Updates'!$B:$B,MATCH(C736,'Rule Updates'!$A:$A,0)),"Uncategorised"))</f>
        <v/>
      </c>
      <c r="E736" s="10">
        <f>IFERROR(INDEX('Review Items'!$E:$E,MATCH(C736,'Review Items'!$B:$B,0)),IFERROR(INDEX('Rule Updates'!$C:$C,MATCH(C736,'Rule Updates'!$A:$A,0)),"Review"))</f>
        <v/>
      </c>
      <c r="F736" s="12" t="n">
        <v>41.98</v>
      </c>
      <c r="G736" s="12" t="n">
        <v>219.4</v>
      </c>
      <c r="H736" s="10" t="n">
        <v>4</v>
      </c>
      <c r="I736" s="10">
        <f>IF(OR(D736="Uncategorised",E736=""),"Check","")</f>
        <v/>
      </c>
    </row>
    <row r="737">
      <c r="A737" s="10" t="inlineStr">
        <is>
          <t>Amex Aug-2025</t>
        </is>
      </c>
      <c r="B737" s="11" t="n">
        <v>45881</v>
      </c>
      <c r="C737" s="10" t="inlineStr">
        <is>
          <t>TRANSPORTFORNSWTRAVEL SYDNEY</t>
        </is>
      </c>
      <c r="D737" s="10">
        <f>IFERROR(INDEX('Review Items'!$D:$D,MATCH(C737,'Review Items'!$B:$B,0)),IFERROR(INDEX('Rule Updates'!$B:$B,MATCH(C737,'Rule Updates'!$A:$A,0)),"Uncategorised"))</f>
        <v/>
      </c>
      <c r="E737" s="10">
        <f>IFERROR(INDEX('Review Items'!$E:$E,MATCH(C737,'Review Items'!$B:$B,0)),IFERROR(INDEX('Rule Updates'!$C:$C,MATCH(C737,'Rule Updates'!$A:$A,0)),"Review"))</f>
        <v/>
      </c>
      <c r="F737" s="12" t="n">
        <v>3.3</v>
      </c>
      <c r="G737" s="12" t="n">
        <v>17.21</v>
      </c>
      <c r="H737" s="10" t="n">
        <v>5</v>
      </c>
      <c r="I737" s="10">
        <f>IF(OR(D737="Uncategorised",E737=""),"Check","")</f>
        <v/>
      </c>
    </row>
    <row r="738">
      <c r="A738" s="10" t="inlineStr">
        <is>
          <t>Amex Aug-2025</t>
        </is>
      </c>
      <c r="B738" s="11" t="n">
        <v>45881</v>
      </c>
      <c r="C738" s="10" t="inlineStr">
        <is>
          <t>WOOLWORTHS 1416 DOUBLE DOUBLE BAY</t>
        </is>
      </c>
      <c r="D738" s="10">
        <f>IFERROR(INDEX('Review Items'!$D:$D,MATCH(C738,'Review Items'!$B:$B,0)),IFERROR(INDEX('Rule Updates'!$B:$B,MATCH(C738,'Rule Updates'!$A:$A,0)),"Uncategorised"))</f>
        <v/>
      </c>
      <c r="E738" s="10">
        <f>IFERROR(INDEX('Review Items'!$E:$E,MATCH(C738,'Review Items'!$B:$B,0)),IFERROR(INDEX('Rule Updates'!$C:$C,MATCH(C738,'Rule Updates'!$A:$A,0)),"Review"))</f>
        <v/>
      </c>
      <c r="F738" s="12" t="n">
        <v>19</v>
      </c>
      <c r="G738" s="12" t="n">
        <v>99.28</v>
      </c>
      <c r="H738" s="10" t="n">
        <v>4</v>
      </c>
      <c r="I738" s="10">
        <f>IF(OR(D738="Uncategorised",E738=""),"Check","")</f>
        <v/>
      </c>
    </row>
    <row r="739">
      <c r="A739" s="10" t="inlineStr">
        <is>
          <t>Amex Aug-2025</t>
        </is>
      </c>
      <c r="B739" s="11" t="n">
        <v>45881</v>
      </c>
      <c r="C739" s="10" t="inlineStr">
        <is>
          <t>WW METRO 1669 CENTRAL SSURRY HILLS</t>
        </is>
      </c>
      <c r="D739" s="10">
        <f>IFERROR(INDEX('Review Items'!$D:$D,MATCH(C739,'Review Items'!$B:$B,0)),IFERROR(INDEX('Rule Updates'!$B:$B,MATCH(C739,'Rule Updates'!$A:$A,0)),"Uncategorised"))</f>
        <v/>
      </c>
      <c r="E739" s="10">
        <f>IFERROR(INDEX('Review Items'!$E:$E,MATCH(C739,'Review Items'!$B:$B,0)),IFERROR(INDEX('Rule Updates'!$C:$C,MATCH(C739,'Rule Updates'!$A:$A,0)),"Review"))</f>
        <v/>
      </c>
      <c r="F739" s="12" t="n">
        <v>7</v>
      </c>
      <c r="G739" s="12" t="n">
        <v>36.51</v>
      </c>
      <c r="H739" s="10" t="n">
        <v>5</v>
      </c>
      <c r="I739" s="10">
        <f>IF(OR(D739="Uncategorised",E739=""),"Check","")</f>
        <v/>
      </c>
    </row>
    <row r="740">
      <c r="A740" s="10" t="inlineStr">
        <is>
          <t>Amex Aug-2025</t>
        </is>
      </c>
      <c r="B740" s="11" t="n">
        <v>45882</v>
      </c>
      <c r="C740" s="10" t="inlineStr">
        <is>
          <t>ALL PURPOSE BAKERY Sydney</t>
        </is>
      </c>
      <c r="D740" s="10">
        <f>IFERROR(INDEX('Review Items'!$D:$D,MATCH(C740,'Review Items'!$B:$B,0)),IFERROR(INDEX('Rule Updates'!$B:$B,MATCH(C740,'Rule Updates'!$A:$A,0)),"Uncategorised"))</f>
        <v/>
      </c>
      <c r="E740" s="10">
        <f>IFERROR(INDEX('Review Items'!$E:$E,MATCH(C740,'Review Items'!$B:$B,0)),IFERROR(INDEX('Rule Updates'!$C:$C,MATCH(C740,'Rule Updates'!$A:$A,0)),"Review"))</f>
        <v/>
      </c>
      <c r="F740" s="12" t="n">
        <v>19.19</v>
      </c>
      <c r="G740" s="12" t="n">
        <v>100.32</v>
      </c>
      <c r="H740" s="10" t="n">
        <v>5</v>
      </c>
      <c r="I740" s="10">
        <f>IF(OR(D740="Uncategorised",E740=""),"Check","")</f>
        <v/>
      </c>
    </row>
    <row r="741">
      <c r="A741" s="10" t="inlineStr">
        <is>
          <t>Amex Aug-2025</t>
        </is>
      </c>
      <c r="B741" s="11" t="n">
        <v>45882</v>
      </c>
      <c r="C741" s="10" t="inlineStr">
        <is>
          <t>ALL PURPOSE BAKERY Sydney</t>
        </is>
      </c>
      <c r="D741" s="10">
        <f>IFERROR(INDEX('Review Items'!$D:$D,MATCH(C741,'Review Items'!$B:$B,0)),IFERROR(INDEX('Rule Updates'!$B:$B,MATCH(C741,'Rule Updates'!$A:$A,0)),"Uncategorised"))</f>
        <v/>
      </c>
      <c r="E741" s="10">
        <f>IFERROR(INDEX('Review Items'!$E:$E,MATCH(C741,'Review Items'!$B:$B,0)),IFERROR(INDEX('Rule Updates'!$C:$C,MATCH(C741,'Rule Updates'!$A:$A,0)),"Review"))</f>
        <v/>
      </c>
      <c r="F741" s="12" t="n">
        <v>70.2</v>
      </c>
      <c r="G741" s="12" t="n">
        <v>366.89</v>
      </c>
      <c r="H741" s="10" t="n">
        <v>5</v>
      </c>
      <c r="I741" s="10">
        <f>IF(OR(D741="Uncategorised",E741=""),"Check","")</f>
        <v/>
      </c>
    </row>
    <row r="742">
      <c r="A742" s="10" t="inlineStr">
        <is>
          <t>Amex Aug-2025</t>
        </is>
      </c>
      <c r="B742" s="11" t="n">
        <v>45882</v>
      </c>
      <c r="C742" s="10" t="inlineStr">
        <is>
          <t>IGA QUAY QUARTER SYDNEY</t>
        </is>
      </c>
      <c r="D742" s="10">
        <f>IFERROR(INDEX('Review Items'!$D:$D,MATCH(C742,'Review Items'!$B:$B,0)),IFERROR(INDEX('Rule Updates'!$B:$B,MATCH(C742,'Rule Updates'!$A:$A,0)),"Uncategorised"))</f>
        <v/>
      </c>
      <c r="E742" s="10">
        <f>IFERROR(INDEX('Review Items'!$E:$E,MATCH(C742,'Review Items'!$B:$B,0)),IFERROR(INDEX('Rule Updates'!$C:$C,MATCH(C742,'Rule Updates'!$A:$A,0)),"Review"))</f>
        <v/>
      </c>
      <c r="F742" s="12" t="n">
        <v>14.5</v>
      </c>
      <c r="G742" s="12" t="n">
        <v>75.66</v>
      </c>
      <c r="H742" s="10" t="n">
        <v>5</v>
      </c>
      <c r="I742" s="10">
        <f>IF(OR(D742="Uncategorised",E742=""),"Check","")</f>
        <v/>
      </c>
    </row>
    <row r="743">
      <c r="A743" s="10" t="inlineStr">
        <is>
          <t>Amex Aug-2025</t>
        </is>
      </c>
      <c r="B743" s="11" t="n">
        <v>45882</v>
      </c>
      <c r="C743" s="10" t="inlineStr">
        <is>
          <t>SKITTLE LANE Circular Quay</t>
        </is>
      </c>
      <c r="D743" s="10">
        <f>IFERROR(INDEX('Review Items'!$D:$D,MATCH(C743,'Review Items'!$B:$B,0)),IFERROR(INDEX('Rule Updates'!$B:$B,MATCH(C743,'Rule Updates'!$A:$A,0)),"Uncategorised"))</f>
        <v/>
      </c>
      <c r="E743" s="10">
        <f>IFERROR(INDEX('Review Items'!$E:$E,MATCH(C743,'Review Items'!$B:$B,0)),IFERROR(INDEX('Rule Updates'!$C:$C,MATCH(C743,'Rule Updates'!$A:$A,0)),"Review"))</f>
        <v/>
      </c>
      <c r="F743" s="12" t="n">
        <v>67.43000000000001</v>
      </c>
      <c r="G743" s="12" t="n">
        <v>352.39</v>
      </c>
      <c r="H743" s="10" t="n">
        <v>5</v>
      </c>
      <c r="I743" s="10">
        <f>IF(OR(D743="Uncategorised",E743=""),"Check","")</f>
        <v/>
      </c>
    </row>
    <row r="744">
      <c r="A744" s="10" t="inlineStr">
        <is>
          <t>Amex Aug-2025</t>
        </is>
      </c>
      <c r="B744" s="11" t="n">
        <v>45882</v>
      </c>
      <c r="C744" s="10" t="inlineStr">
        <is>
          <t>SKITTLE LANE Circular Quay</t>
        </is>
      </c>
      <c r="D744" s="10">
        <f>IFERROR(INDEX('Review Items'!$D:$D,MATCH(C744,'Review Items'!$B:$B,0)),IFERROR(INDEX('Rule Updates'!$B:$B,MATCH(C744,'Rule Updates'!$A:$A,0)),"Uncategorised"))</f>
        <v/>
      </c>
      <c r="E744" s="10">
        <f>IFERROR(INDEX('Review Items'!$E:$E,MATCH(C744,'Review Items'!$B:$B,0)),IFERROR(INDEX('Rule Updates'!$C:$C,MATCH(C744,'Rule Updates'!$A:$A,0)),"Review"))</f>
        <v/>
      </c>
      <c r="F744" s="12" t="n">
        <v>6.59</v>
      </c>
      <c r="G744" s="12" t="n">
        <v>34.43</v>
      </c>
      <c r="H744" s="10" t="n">
        <v>5</v>
      </c>
      <c r="I744" s="10">
        <f>IF(OR(D744="Uncategorised",E744=""),"Check","")</f>
        <v/>
      </c>
    </row>
    <row r="745">
      <c r="A745" s="10" t="inlineStr">
        <is>
          <t>Amex Aug-2025</t>
        </is>
      </c>
      <c r="B745" s="11" t="n">
        <v>45882</v>
      </c>
      <c r="C745" s="10" t="inlineStr">
        <is>
          <t>UBER TRIP HELP.UBER.COM</t>
        </is>
      </c>
      <c r="D745" s="10">
        <f>IFERROR(INDEX('Review Items'!$D:$D,MATCH(C745,'Review Items'!$B:$B,0)),IFERROR(INDEX('Rule Updates'!$B:$B,MATCH(C745,'Rule Updates'!$A:$A,0)),"Uncategorised"))</f>
        <v/>
      </c>
      <c r="E745" s="10">
        <f>IFERROR(INDEX('Review Items'!$E:$E,MATCH(C745,'Review Items'!$B:$B,0)),IFERROR(INDEX('Rule Updates'!$C:$C,MATCH(C745,'Rule Updates'!$A:$A,0)),"Review"))</f>
        <v/>
      </c>
      <c r="F745" s="12" t="n">
        <v>58.36</v>
      </c>
      <c r="G745" s="12" t="n">
        <v>304.66</v>
      </c>
      <c r="H745" s="10" t="n">
        <v>5</v>
      </c>
      <c r="I745" s="10">
        <f>IF(OR(D745="Uncategorised",E745=""),"Check","")</f>
        <v/>
      </c>
    </row>
    <row r="746">
      <c r="A746" s="10" t="inlineStr">
        <is>
          <t>Amex Aug-2025</t>
        </is>
      </c>
      <c r="B746" s="11" t="n">
        <v>45883</v>
      </c>
      <c r="C746" s="10" t="inlineStr">
        <is>
          <t>CITY'SUPER CENTRAL</t>
        </is>
      </c>
      <c r="D746" s="10">
        <f>IFERROR(INDEX('Review Items'!$D:$D,MATCH(C746,'Review Items'!$B:$B,0)),IFERROR(INDEX('Rule Updates'!$B:$B,MATCH(C746,'Rule Updates'!$A:$A,0)),"Uncategorised"))</f>
        <v/>
      </c>
      <c r="E746" s="10">
        <f>IFERROR(INDEX('Review Items'!$E:$E,MATCH(C746,'Review Items'!$B:$B,0)),IFERROR(INDEX('Rule Updates'!$C:$C,MATCH(C746,'Rule Updates'!$A:$A,0)),"Review"))</f>
        <v/>
      </c>
      <c r="F746" s="10" t="n"/>
      <c r="G746" s="12" t="n">
        <v>1705.3</v>
      </c>
      <c r="H746" s="10" t="n">
        <v>5</v>
      </c>
      <c r="I746" s="10">
        <f>IF(OR(D746="Uncategorised",E746=""),"Check","")</f>
        <v/>
      </c>
    </row>
    <row r="747">
      <c r="A747" s="10" t="inlineStr">
        <is>
          <t>Amex Aug-2025</t>
        </is>
      </c>
      <c r="B747" s="11" t="n">
        <v>45883</v>
      </c>
      <c r="C747" s="10" t="inlineStr">
        <is>
          <t>LANE CRAWFORD (IFC) CENTRAL</t>
        </is>
      </c>
      <c r="D747" s="10">
        <f>IFERROR(INDEX('Review Items'!$D:$D,MATCH(C747,'Review Items'!$B:$B,0)),IFERROR(INDEX('Rule Updates'!$B:$B,MATCH(C747,'Rule Updates'!$A:$A,0)),"Uncategorised"))</f>
        <v/>
      </c>
      <c r="E747" s="10">
        <f>IFERROR(INDEX('Review Items'!$E:$E,MATCH(C747,'Review Items'!$B:$B,0)),IFERROR(INDEX('Rule Updates'!$C:$C,MATCH(C747,'Rule Updates'!$A:$A,0)),"Review"))</f>
        <v/>
      </c>
      <c r="F747" s="10" t="n"/>
      <c r="G747" s="12" t="n">
        <v>990</v>
      </c>
      <c r="H747" s="10" t="n">
        <v>5</v>
      </c>
      <c r="I747" s="10">
        <f>IF(OR(D747="Uncategorised",E747=""),"Check","")</f>
        <v/>
      </c>
    </row>
    <row r="748">
      <c r="A748" s="10" t="inlineStr">
        <is>
          <t>Amex Aug-2025</t>
        </is>
      </c>
      <c r="B748" s="11" t="n">
        <v>45883</v>
      </c>
      <c r="C748" s="10" t="inlineStr">
        <is>
          <t>LE LABO 000000024289 HONG KONG</t>
        </is>
      </c>
      <c r="D748" s="10">
        <f>IFERROR(INDEX('Review Items'!$D:$D,MATCH(C748,'Review Items'!$B:$B,0)),IFERROR(INDEX('Rule Updates'!$B:$B,MATCH(C748,'Rule Updates'!$A:$A,0)),"Uncategorised"))</f>
        <v/>
      </c>
      <c r="E748" s="10">
        <f>IFERROR(INDEX('Review Items'!$E:$E,MATCH(C748,'Review Items'!$B:$B,0)),IFERROR(INDEX('Rule Updates'!$C:$C,MATCH(C748,'Rule Updates'!$A:$A,0)),"Review"))</f>
        <v/>
      </c>
      <c r="F748" s="10" t="n"/>
      <c r="G748" s="12" t="n">
        <v>2130</v>
      </c>
      <c r="H748" s="10" t="n">
        <v>5</v>
      </c>
      <c r="I748" s="10">
        <f>IF(OR(D748="Uncategorised",E748=""),"Check","")</f>
        <v/>
      </c>
    </row>
    <row r="749">
      <c r="A749" s="10" t="inlineStr">
        <is>
          <t>Amex Aug-2025</t>
        </is>
      </c>
      <c r="B749" s="11" t="n">
        <v>45883</v>
      </c>
      <c r="C749" s="10" t="inlineStr">
        <is>
          <t>UBER TRIP HELP.UBER.COM</t>
        </is>
      </c>
      <c r="D749" s="10">
        <f>IFERROR(INDEX('Review Items'!$D:$D,MATCH(C749,'Review Items'!$B:$B,0)),IFERROR(INDEX('Rule Updates'!$B:$B,MATCH(C749,'Rule Updates'!$A:$A,0)),"Uncategorised"))</f>
        <v/>
      </c>
      <c r="E749" s="10">
        <f>IFERROR(INDEX('Review Items'!$E:$E,MATCH(C749,'Review Items'!$B:$B,0)),IFERROR(INDEX('Rule Updates'!$C:$C,MATCH(C749,'Rule Updates'!$A:$A,0)),"Review"))</f>
        <v/>
      </c>
      <c r="F749" s="12" t="n">
        <v>3</v>
      </c>
      <c r="G749" s="12" t="n">
        <v>15.77</v>
      </c>
      <c r="H749" s="10" t="n">
        <v>5</v>
      </c>
      <c r="I749" s="10">
        <f>IF(OR(D749="Uncategorised",E749=""),"Check","")</f>
        <v/>
      </c>
    </row>
    <row r="750">
      <c r="A750" s="10" t="inlineStr">
        <is>
          <t>Amex Aug-2025</t>
        </is>
      </c>
      <c r="B750" s="11" t="n">
        <v>45883</v>
      </c>
      <c r="C750" s="10" t="inlineStr">
        <is>
          <t>ZARA-IFC CENTRAL</t>
        </is>
      </c>
      <c r="D750" s="10">
        <f>IFERROR(INDEX('Review Items'!$D:$D,MATCH(C750,'Review Items'!$B:$B,0)),IFERROR(INDEX('Rule Updates'!$B:$B,MATCH(C750,'Rule Updates'!$A:$A,0)),"Uncategorised"))</f>
        <v/>
      </c>
      <c r="E750" s="10">
        <f>IFERROR(INDEX('Review Items'!$E:$E,MATCH(C750,'Review Items'!$B:$B,0)),IFERROR(INDEX('Rule Updates'!$C:$C,MATCH(C750,'Rule Updates'!$A:$A,0)),"Review"))</f>
        <v/>
      </c>
      <c r="F750" s="10" t="n"/>
      <c r="G750" s="12" t="n">
        <v>399</v>
      </c>
      <c r="H750" s="10" t="n">
        <v>5</v>
      </c>
      <c r="I750" s="10">
        <f>IF(OR(D750="Uncategorised",E750=""),"Check","")</f>
        <v/>
      </c>
    </row>
    <row r="751">
      <c r="A751" s="10" t="inlineStr">
        <is>
          <t>Amex Aug-2025</t>
        </is>
      </c>
      <c r="B751" s="11" t="n">
        <v>45886</v>
      </c>
      <c r="C751" s="10" t="inlineStr">
        <is>
          <t>UNIQLO HONG KONG LIMITE TSIM SHA TSUI</t>
        </is>
      </c>
      <c r="D751" s="10">
        <f>IFERROR(INDEX('Review Items'!$D:$D,MATCH(C751,'Review Items'!$B:$B,0)),IFERROR(INDEX('Rule Updates'!$B:$B,MATCH(C751,'Rule Updates'!$A:$A,0)),"Uncategorised"))</f>
        <v/>
      </c>
      <c r="E751" s="10">
        <f>IFERROR(INDEX('Review Items'!$E:$E,MATCH(C751,'Review Items'!$B:$B,0)),IFERROR(INDEX('Rule Updates'!$C:$C,MATCH(C751,'Rule Updates'!$A:$A,0)),"Review"))</f>
        <v/>
      </c>
      <c r="F751" s="10" t="n"/>
      <c r="G751" s="12" t="n">
        <v>326</v>
      </c>
      <c r="H751" s="10" t="n">
        <v>5</v>
      </c>
      <c r="I751" s="10">
        <f>IF(OR(D751="Uncategorised",E751=""),"Check","")</f>
        <v/>
      </c>
    </row>
    <row r="752">
      <c r="A752" s="10" t="inlineStr">
        <is>
          <t>Amex Aug-2025</t>
        </is>
      </c>
      <c r="B752" s="11" t="n">
        <v>45888</v>
      </c>
      <c r="C752" s="10" t="inlineStr">
        <is>
          <t>CITY'SUPER CENTRAL</t>
        </is>
      </c>
      <c r="D752" s="10">
        <f>IFERROR(INDEX('Review Items'!$D:$D,MATCH(C752,'Review Items'!$B:$B,0)),IFERROR(INDEX('Rule Updates'!$B:$B,MATCH(C752,'Rule Updates'!$A:$A,0)),"Uncategorised"))</f>
        <v/>
      </c>
      <c r="E752" s="10">
        <f>IFERROR(INDEX('Review Items'!$E:$E,MATCH(C752,'Review Items'!$B:$B,0)),IFERROR(INDEX('Rule Updates'!$C:$C,MATCH(C752,'Rule Updates'!$A:$A,0)),"Review"))</f>
        <v/>
      </c>
      <c r="F752" s="10" t="n"/>
      <c r="G752" s="12" t="n">
        <v>2748.9</v>
      </c>
      <c r="H752" s="10" t="n">
        <v>5</v>
      </c>
      <c r="I752" s="10">
        <f>IF(OR(D752="Uncategorised",E752=""),"Check","")</f>
        <v/>
      </c>
    </row>
    <row r="753">
      <c r="A753" s="10" t="inlineStr">
        <is>
          <t>Amex Aug-2025</t>
        </is>
      </c>
      <c r="B753" s="11" t="n">
        <v>45888</v>
      </c>
      <c r="C753" s="10" t="inlineStr">
        <is>
          <t>SEVENTH SON RESTAURANT WAN CHAI</t>
        </is>
      </c>
      <c r="D753" s="10">
        <f>IFERROR(INDEX('Review Items'!$D:$D,MATCH(C753,'Review Items'!$B:$B,0)),IFERROR(INDEX('Rule Updates'!$B:$B,MATCH(C753,'Rule Updates'!$A:$A,0)),"Uncategorised"))</f>
        <v/>
      </c>
      <c r="E753" s="10">
        <f>IFERROR(INDEX('Review Items'!$E:$E,MATCH(C753,'Review Items'!$B:$B,0)),IFERROR(INDEX('Rule Updates'!$C:$C,MATCH(C753,'Rule Updates'!$A:$A,0)),"Review"))</f>
        <v/>
      </c>
      <c r="F753" s="10" t="n"/>
      <c r="G753" s="12" t="n">
        <v>1618</v>
      </c>
      <c r="H753" s="10" t="n">
        <v>7</v>
      </c>
      <c r="I753" s="10">
        <f>IF(OR(D753="Uncategorised",E753=""),"Check","")</f>
        <v/>
      </c>
    </row>
    <row r="754">
      <c r="A754" s="10" t="inlineStr">
        <is>
          <t>Amex Aug-2025</t>
        </is>
      </c>
      <c r="B754" s="11" t="n">
        <v>45889</v>
      </c>
      <c r="C754" s="10" t="inlineStr">
        <is>
          <t>HAY FEVER FLORAL &amp; GIFT MONGKOK</t>
        </is>
      </c>
      <c r="D754" s="10">
        <f>IFERROR(INDEX('Review Items'!$D:$D,MATCH(C754,'Review Items'!$B:$B,0)),IFERROR(INDEX('Rule Updates'!$B:$B,MATCH(C754,'Rule Updates'!$A:$A,0)),"Uncategorised"))</f>
        <v/>
      </c>
      <c r="E754" s="10">
        <f>IFERROR(INDEX('Review Items'!$E:$E,MATCH(C754,'Review Items'!$B:$B,0)),IFERROR(INDEX('Rule Updates'!$C:$C,MATCH(C754,'Rule Updates'!$A:$A,0)),"Review"))</f>
        <v/>
      </c>
      <c r="F754" s="10" t="n"/>
      <c r="G754" s="12" t="n">
        <v>760</v>
      </c>
      <c r="H754" s="10" t="n">
        <v>5</v>
      </c>
      <c r="I754" s="10">
        <f>IF(OR(D754="Uncategorised",E754=""),"Check","")</f>
        <v/>
      </c>
    </row>
    <row r="755">
      <c r="A755" s="10" t="inlineStr">
        <is>
          <t>Amex Aug-2025</t>
        </is>
      </c>
      <c r="B755" s="11" t="n">
        <v>45890</v>
      </c>
      <c r="C755" s="10" t="inlineStr">
        <is>
          <t>GARMIN (EUROPE) LIMITED SOUTHAMPTON</t>
        </is>
      </c>
      <c r="D755" s="10">
        <f>IFERROR(INDEX('Review Items'!$D:$D,MATCH(C755,'Review Items'!$B:$B,0)),IFERROR(INDEX('Rule Updates'!$B:$B,MATCH(C755,'Rule Updates'!$A:$A,0)),"Uncategorised"))</f>
        <v/>
      </c>
      <c r="E755" s="10">
        <f>IFERROR(INDEX('Review Items'!$E:$E,MATCH(C755,'Review Items'!$B:$B,0)),IFERROR(INDEX('Rule Updates'!$C:$C,MATCH(C755,'Rule Updates'!$A:$A,0)),"Review"))</f>
        <v/>
      </c>
      <c r="F755" s="10" t="n"/>
      <c r="G755" s="12" t="n">
        <v>89</v>
      </c>
      <c r="H755" s="10" t="n">
        <v>5</v>
      </c>
      <c r="I755" s="10">
        <f>IF(OR(D755="Uncategorised",E755=""),"Check","")</f>
        <v/>
      </c>
    </row>
    <row r="756">
      <c r="A756" s="10" t="inlineStr">
        <is>
          <t>Amex Aug-2025</t>
        </is>
      </c>
      <c r="B756" s="11" t="n">
        <v>45890</v>
      </c>
      <c r="C756" s="10" t="inlineStr">
        <is>
          <t>THE NET-A-PORTER GROUP HONG KONG</t>
        </is>
      </c>
      <c r="D756" s="10">
        <f>IFERROR(INDEX('Review Items'!$D:$D,MATCH(C756,'Review Items'!$B:$B,0)),IFERROR(INDEX('Rule Updates'!$B:$B,MATCH(C756,'Rule Updates'!$A:$A,0)),"Uncategorised"))</f>
        <v/>
      </c>
      <c r="E756" s="10">
        <f>IFERROR(INDEX('Review Items'!$E:$E,MATCH(C756,'Review Items'!$B:$B,0)),IFERROR(INDEX('Rule Updates'!$C:$C,MATCH(C756,'Rule Updates'!$A:$A,0)),"Review"))</f>
        <v/>
      </c>
      <c r="F756" s="10" t="n"/>
      <c r="G756" s="12" t="n">
        <v>-51373</v>
      </c>
      <c r="H756" s="10" t="n">
        <v>5</v>
      </c>
      <c r="I756" s="10">
        <f>IF(OR(D756="Uncategorised",E756=""),"Check","")</f>
        <v/>
      </c>
    </row>
    <row r="757">
      <c r="A757" s="10" t="inlineStr">
        <is>
          <t>Amex Aug-2025</t>
        </is>
      </c>
      <c r="B757" s="11" t="n">
        <v>45891</v>
      </c>
      <c r="C757" s="10" t="inlineStr">
        <is>
          <t>CITY'SUPER CENTRAL</t>
        </is>
      </c>
      <c r="D757" s="10">
        <f>IFERROR(INDEX('Review Items'!$D:$D,MATCH(C757,'Review Items'!$B:$B,0)),IFERROR(INDEX('Rule Updates'!$B:$B,MATCH(C757,'Rule Updates'!$A:$A,0)),"Uncategorised"))</f>
        <v/>
      </c>
      <c r="E757" s="10">
        <f>IFERROR(INDEX('Review Items'!$E:$E,MATCH(C757,'Review Items'!$B:$B,0)),IFERROR(INDEX('Rule Updates'!$C:$C,MATCH(C757,'Rule Updates'!$A:$A,0)),"Review"))</f>
        <v/>
      </c>
      <c r="F757" s="10" t="n"/>
      <c r="G757" s="12" t="n">
        <v>7590.6</v>
      </c>
      <c r="H757" s="10" t="n">
        <v>5</v>
      </c>
      <c r="I757" s="10">
        <f>IF(OR(D757="Uncategorised",E757=""),"Check","")</f>
        <v/>
      </c>
    </row>
    <row r="758">
      <c r="A758" s="10" t="inlineStr">
        <is>
          <t>Amex Aug-2025</t>
        </is>
      </c>
      <c r="B758" s="11" t="n">
        <v>45891</v>
      </c>
      <c r="C758" s="10" t="inlineStr">
        <is>
          <t>Neighbourhood Coffee 52 Hong Kong</t>
        </is>
      </c>
      <c r="D758" s="10">
        <f>IFERROR(INDEX('Review Items'!$D:$D,MATCH(C758,'Review Items'!$B:$B,0)),IFERROR(INDEX('Rule Updates'!$B:$B,MATCH(C758,'Rule Updates'!$A:$A,0)),"Uncategorised"))</f>
        <v/>
      </c>
      <c r="E758" s="10">
        <f>IFERROR(INDEX('Review Items'!$E:$E,MATCH(C758,'Review Items'!$B:$B,0)),IFERROR(INDEX('Rule Updates'!$C:$C,MATCH(C758,'Rule Updates'!$A:$A,0)),"Review"))</f>
        <v/>
      </c>
      <c r="F758" s="10" t="n"/>
      <c r="G758" s="12" t="n">
        <v>200</v>
      </c>
      <c r="H758" s="10" t="n">
        <v>6</v>
      </c>
      <c r="I758" s="10">
        <f>IF(OR(D758="Uncategorised",E758=""),"Check","")</f>
        <v/>
      </c>
    </row>
    <row r="759">
      <c r="A759" s="10" t="inlineStr">
        <is>
          <t>Amex Aug-2025</t>
        </is>
      </c>
      <c r="B759" s="11" t="n">
        <v>45894</v>
      </c>
      <c r="C759" s="10" t="inlineStr">
        <is>
          <t>CLE DE PEAU BEAUTE CENTRAL</t>
        </is>
      </c>
      <c r="D759" s="10">
        <f>IFERROR(INDEX('Review Items'!$D:$D,MATCH(C759,'Review Items'!$B:$B,0)),IFERROR(INDEX('Rule Updates'!$B:$B,MATCH(C759,'Rule Updates'!$A:$A,0)),"Uncategorised"))</f>
        <v/>
      </c>
      <c r="E759" s="10">
        <f>IFERROR(INDEX('Review Items'!$E:$E,MATCH(C759,'Review Items'!$B:$B,0)),IFERROR(INDEX('Rule Updates'!$C:$C,MATCH(C759,'Rule Updates'!$A:$A,0)),"Review"))</f>
        <v/>
      </c>
      <c r="F759" s="10" t="n"/>
      <c r="G759" s="12" t="n">
        <v>190</v>
      </c>
      <c r="H759" s="10" t="n">
        <v>6</v>
      </c>
      <c r="I759" s="10">
        <f>IF(OR(D759="Uncategorised",E759=""),"Check","")</f>
        <v/>
      </c>
    </row>
    <row r="760">
      <c r="A760" s="10" t="inlineStr">
        <is>
          <t>Amex Sep-2025</t>
        </is>
      </c>
      <c r="B760" s="11" t="n">
        <v>45894</v>
      </c>
      <c r="C760" s="10" t="inlineStr">
        <is>
          <t>OYADO TAMAK 0279722232</t>
        </is>
      </c>
      <c r="D760" s="10">
        <f>IFERROR(INDEX('Review Items'!$D:$D,MATCH(C760,'Review Items'!$B:$B,0)),IFERROR(INDEX('Rule Updates'!$B:$B,MATCH(C760,'Rule Updates'!$A:$A,0)),"Uncategorised"))</f>
        <v/>
      </c>
      <c r="E760" s="10">
        <f>IFERROR(INDEX('Review Items'!$E:$E,MATCH(C760,'Review Items'!$B:$B,0)),IFERROR(INDEX('Rule Updates'!$C:$C,MATCH(C760,'Rule Updates'!$A:$A,0)),"Review"))</f>
        <v/>
      </c>
      <c r="F760" s="12" t="n">
        <v>57500</v>
      </c>
      <c r="G760" s="12" t="n">
        <v>3106.25</v>
      </c>
      <c r="H760" s="10" t="n">
        <v>1</v>
      </c>
      <c r="I760" s="10">
        <f>IF(OR(D760="Uncategorised",E760=""),"Check","")</f>
        <v/>
      </c>
    </row>
    <row r="761">
      <c r="A761" s="10" t="inlineStr">
        <is>
          <t>Amex Aug-2025</t>
        </is>
      </c>
      <c r="B761" s="11" t="n">
        <v>45894</v>
      </c>
      <c r="C761" s="10" t="inlineStr">
        <is>
          <t>SP EIGHTH DAY SKINCA SANTA ANA</t>
        </is>
      </c>
      <c r="D761" s="10">
        <f>IFERROR(INDEX('Review Items'!$D:$D,MATCH(C761,'Review Items'!$B:$B,0)),IFERROR(INDEX('Rule Updates'!$B:$B,MATCH(C761,'Rule Updates'!$A:$A,0)),"Uncategorised"))</f>
        <v/>
      </c>
      <c r="E761" s="10">
        <f>IFERROR(INDEX('Review Items'!$E:$E,MATCH(C761,'Review Items'!$B:$B,0)),IFERROR(INDEX('Rule Updates'!$C:$C,MATCH(C761,'Rule Updates'!$A:$A,0)),"Review"))</f>
        <v/>
      </c>
      <c r="F761" s="12" t="n">
        <v>1547.47</v>
      </c>
      <c r="G761" s="12" t="n">
        <v>12342.92</v>
      </c>
      <c r="H761" s="10" t="n">
        <v>6</v>
      </c>
      <c r="I761" s="10">
        <f>IF(OR(D761="Uncategorised",E761=""),"Check","")</f>
        <v/>
      </c>
    </row>
    <row r="762">
      <c r="A762" s="10" t="inlineStr">
        <is>
          <t>Amex Aug-2025</t>
        </is>
      </c>
      <c r="B762" s="11" t="n">
        <v>45894</v>
      </c>
      <c r="C762" s="10" t="inlineStr">
        <is>
          <t>SP EIGHTH DAY SKINCA SANTA ANA</t>
        </is>
      </c>
      <c r="D762" s="10">
        <f>IFERROR(INDEX('Review Items'!$D:$D,MATCH(C762,'Review Items'!$B:$B,0)),IFERROR(INDEX('Rule Updates'!$B:$B,MATCH(C762,'Rule Updates'!$A:$A,0)),"Uncategorised"))</f>
        <v/>
      </c>
      <c r="E762" s="10">
        <f>IFERROR(INDEX('Review Items'!$E:$E,MATCH(C762,'Review Items'!$B:$B,0)),IFERROR(INDEX('Rule Updates'!$C:$C,MATCH(C762,'Rule Updates'!$A:$A,0)),"Review"))</f>
        <v/>
      </c>
      <c r="F762" s="12" t="n">
        <v>1037.14</v>
      </c>
      <c r="G762" s="12" t="n">
        <v>8272.43</v>
      </c>
      <c r="H762" s="10" t="n">
        <v>6</v>
      </c>
      <c r="I762" s="10">
        <f>IF(OR(D762="Uncategorised",E762=""),"Check","")</f>
        <v/>
      </c>
    </row>
    <row r="763">
      <c r="A763" s="10" t="inlineStr">
        <is>
          <t>Amex Sep-2025</t>
        </is>
      </c>
      <c r="B763" s="11" t="n">
        <v>45897</v>
      </c>
      <c r="C763" s="10" t="inlineStr">
        <is>
          <t>KPAY * TROIS 000000000000 HONG KONG</t>
        </is>
      </c>
      <c r="D763" s="10">
        <f>IFERROR(INDEX('Review Items'!$D:$D,MATCH(C763,'Review Items'!$B:$B,0)),IFERROR(INDEX('Rule Updates'!$B:$B,MATCH(C763,'Rule Updates'!$A:$A,0)),"Uncategorised"))</f>
        <v/>
      </c>
      <c r="E763" s="10">
        <f>IFERROR(INDEX('Review Items'!$E:$E,MATCH(C763,'Review Items'!$B:$B,0)),IFERROR(INDEX('Rule Updates'!$C:$C,MATCH(C763,'Rule Updates'!$A:$A,0)),"Review"))</f>
        <v/>
      </c>
      <c r="F763" s="10" t="n"/>
      <c r="G763" s="12" t="n">
        <v>45</v>
      </c>
      <c r="H763" s="10" t="n">
        <v>1</v>
      </c>
      <c r="I763" s="10">
        <f>IF(OR(D763="Uncategorised",E763=""),"Check","")</f>
        <v/>
      </c>
    </row>
    <row r="764">
      <c r="A764" s="10" t="inlineStr">
        <is>
          <t>Amex Sep-2025</t>
        </is>
      </c>
      <c r="B764" s="11" t="n">
        <v>45897</v>
      </c>
      <c r="C764" s="10" t="inlineStr">
        <is>
          <t>THE LANDMARK MO HOTEL - CENTRAL</t>
        </is>
      </c>
      <c r="D764" s="10">
        <f>IFERROR(INDEX('Review Items'!$D:$D,MATCH(C764,'Review Items'!$B:$B,0)),IFERROR(INDEX('Rule Updates'!$B:$B,MATCH(C764,'Rule Updates'!$A:$A,0)),"Uncategorised"))</f>
        <v/>
      </c>
      <c r="E764" s="10">
        <f>IFERROR(INDEX('Review Items'!$E:$E,MATCH(C764,'Review Items'!$B:$B,0)),IFERROR(INDEX('Rule Updates'!$C:$C,MATCH(C764,'Rule Updates'!$A:$A,0)),"Review"))</f>
        <v/>
      </c>
      <c r="F764" s="10" t="n"/>
      <c r="G764" s="12" t="n">
        <v>164</v>
      </c>
      <c r="H764" s="10" t="n">
        <v>5</v>
      </c>
      <c r="I764" s="10">
        <f>IF(OR(D764="Uncategorised",E764=""),"Check","")</f>
        <v/>
      </c>
    </row>
    <row r="765">
      <c r="A765" s="10" t="inlineStr">
        <is>
          <t>Amex Sep-2025</t>
        </is>
      </c>
      <c r="B765" s="11" t="n">
        <v>45897</v>
      </c>
      <c r="C765" s="10" t="inlineStr">
        <is>
          <t>THE NET-A-PORTER GROUP HONG KONG</t>
        </is>
      </c>
      <c r="D765" s="10">
        <f>IFERROR(INDEX('Review Items'!$D:$D,MATCH(C765,'Review Items'!$B:$B,0)),IFERROR(INDEX('Rule Updates'!$B:$B,MATCH(C765,'Rule Updates'!$A:$A,0)),"Uncategorised"))</f>
        <v/>
      </c>
      <c r="E765" s="10">
        <f>IFERROR(INDEX('Review Items'!$E:$E,MATCH(C765,'Review Items'!$B:$B,0)),IFERROR(INDEX('Rule Updates'!$C:$C,MATCH(C765,'Rule Updates'!$A:$A,0)),"Review"))</f>
        <v/>
      </c>
      <c r="F765" s="10" t="n"/>
      <c r="G765" s="12" t="n">
        <v>102700</v>
      </c>
      <c r="H765" s="10" t="n">
        <v>1</v>
      </c>
      <c r="I765" s="10">
        <f>IF(OR(D765="Uncategorised",E765=""),"Check","")</f>
        <v/>
      </c>
    </row>
    <row r="766">
      <c r="A766" s="10" t="inlineStr">
        <is>
          <t>Amex Sep-2025</t>
        </is>
      </c>
      <c r="B766" s="11" t="n">
        <v>45897</v>
      </c>
      <c r="C766" s="10" t="inlineStr">
        <is>
          <t>THE NET-A-PORTER GROUP HONG KONG</t>
        </is>
      </c>
      <c r="D766" s="10">
        <f>IFERROR(INDEX('Review Items'!$D:$D,MATCH(C766,'Review Items'!$B:$B,0)),IFERROR(INDEX('Rule Updates'!$B:$B,MATCH(C766,'Rule Updates'!$A:$A,0)),"Uncategorised"))</f>
        <v/>
      </c>
      <c r="E766" s="10">
        <f>IFERROR(INDEX('Review Items'!$E:$E,MATCH(C766,'Review Items'!$B:$B,0)),IFERROR(INDEX('Rule Updates'!$C:$C,MATCH(C766,'Rule Updates'!$A:$A,0)),"Review"))</f>
        <v/>
      </c>
      <c r="F766" s="10" t="n"/>
      <c r="G766" s="12" t="n">
        <v>13972</v>
      </c>
      <c r="H766" s="10" t="n">
        <v>1</v>
      </c>
      <c r="I766" s="10">
        <f>IF(OR(D766="Uncategorised",E766=""),"Check","")</f>
        <v/>
      </c>
    </row>
    <row r="767">
      <c r="A767" s="10" t="inlineStr">
        <is>
          <t>Amex Sep-2025</t>
        </is>
      </c>
      <c r="B767" s="11" t="n">
        <v>45898</v>
      </c>
      <c r="C767" s="10" t="inlineStr">
        <is>
          <t>SINGAPOREAIR HONGKONG HONGKONG</t>
        </is>
      </c>
      <c r="D767" s="10">
        <f>IFERROR(INDEX('Review Items'!$D:$D,MATCH(C767,'Review Items'!$B:$B,0)),IFERROR(INDEX('Rule Updates'!$B:$B,MATCH(C767,'Rule Updates'!$A:$A,0)),"Uncategorised"))</f>
        <v/>
      </c>
      <c r="E767" s="10">
        <f>IFERROR(INDEX('Review Items'!$E:$E,MATCH(C767,'Review Items'!$B:$B,0)),IFERROR(INDEX('Rule Updates'!$C:$C,MATCH(C767,'Rule Updates'!$A:$A,0)),"Review"))</f>
        <v/>
      </c>
      <c r="F767" s="10" t="n"/>
      <c r="G767" s="12" t="n">
        <v>19161</v>
      </c>
      <c r="H767" s="10" t="n">
        <v>5</v>
      </c>
      <c r="I767" s="10">
        <f>IF(OR(D767="Uncategorised",E767=""),"Check","")</f>
        <v/>
      </c>
    </row>
    <row r="768">
      <c r="A768" s="10" t="inlineStr">
        <is>
          <t>Amex Sep-2025</t>
        </is>
      </c>
      <c r="B768" s="11" t="n">
        <v>45899</v>
      </c>
      <c r="C768" s="10" t="inlineStr">
        <is>
          <t>CITY ' SUPER CENTRAL</t>
        </is>
      </c>
      <c r="D768" s="10">
        <f>IFERROR(INDEX('Review Items'!$D:$D,MATCH(C768,'Review Items'!$B:$B,0)),IFERROR(INDEX('Rule Updates'!$B:$B,MATCH(C768,'Rule Updates'!$A:$A,0)),"Uncategorised"))</f>
        <v/>
      </c>
      <c r="E768" s="10">
        <f>IFERROR(INDEX('Review Items'!$E:$E,MATCH(C768,'Review Items'!$B:$B,0)),IFERROR(INDEX('Rule Updates'!$C:$C,MATCH(C768,'Rule Updates'!$A:$A,0)),"Review"))</f>
        <v/>
      </c>
      <c r="F768" s="10" t="n"/>
      <c r="G768" s="12" t="n">
        <v>142.6</v>
      </c>
      <c r="H768" s="10" t="n">
        <v>1</v>
      </c>
      <c r="I768" s="10">
        <f>IF(OR(D768="Uncategorised",E768=""),"Check","")</f>
        <v/>
      </c>
    </row>
    <row r="769">
      <c r="A769" s="10" t="inlineStr">
        <is>
          <t>Amex Sep-2025</t>
        </is>
      </c>
      <c r="B769" s="11" t="n">
        <v>45900</v>
      </c>
      <c r="C769" s="10" t="inlineStr">
        <is>
          <t>GOGYO ( B R 8021) CENTRAL</t>
        </is>
      </c>
      <c r="D769" s="10">
        <f>IFERROR(INDEX('Review Items'!$D:$D,MATCH(C769,'Review Items'!$B:$B,0)),IFERROR(INDEX('Rule Updates'!$B:$B,MATCH(C769,'Rule Updates'!$A:$A,0)),"Uncategorised"))</f>
        <v/>
      </c>
      <c r="E769" s="10">
        <f>IFERROR(INDEX('Review Items'!$E:$E,MATCH(C769,'Review Items'!$B:$B,0)),IFERROR(INDEX('Rule Updates'!$C:$C,MATCH(C769,'Rule Updates'!$A:$A,0)),"Review"))</f>
        <v/>
      </c>
      <c r="F769" s="10" t="n"/>
      <c r="G769" s="12" t="n">
        <v>1471.8</v>
      </c>
      <c r="H769" s="10" t="n">
        <v>1</v>
      </c>
      <c r="I769" s="10">
        <f>IF(OR(D769="Uncategorised",E769=""),"Check","")</f>
        <v/>
      </c>
    </row>
    <row r="770">
      <c r="A770" s="10" t="inlineStr">
        <is>
          <t>Amex Sep-2025</t>
        </is>
      </c>
      <c r="B770" s="11" t="n">
        <v>45901</v>
      </c>
      <c r="C770" s="10" t="inlineStr">
        <is>
          <t>AMA ZON PRIME * H 90 I 59 S B 3 AMZ N.COM/ BILL</t>
        </is>
      </c>
      <c r="D770" s="10">
        <f>IFERROR(INDEX('Review Items'!$D:$D,MATCH(C770,'Review Items'!$B:$B,0)),IFERROR(INDEX('Rule Updates'!$B:$B,MATCH(C770,'Rule Updates'!$A:$A,0)),"Uncategorised"))</f>
        <v/>
      </c>
      <c r="E770" s="10">
        <f>IFERROR(INDEX('Review Items'!$E:$E,MATCH(C770,'Review Items'!$B:$B,0)),IFERROR(INDEX('Rule Updates'!$C:$C,MATCH(C770,'Rule Updates'!$A:$A,0)),"Review"))</f>
        <v/>
      </c>
      <c r="F770" s="12" t="n">
        <v>14.99</v>
      </c>
      <c r="G770" s="12" t="n">
        <v>119.2</v>
      </c>
      <c r="H770" s="10" t="n">
        <v>2</v>
      </c>
      <c r="I770" s="10">
        <f>IF(OR(D770="Uncategorised",E770=""),"Check","")</f>
        <v/>
      </c>
    </row>
    <row r="771">
      <c r="A771" s="10" t="inlineStr">
        <is>
          <t>Amex Sep-2025</t>
        </is>
      </c>
      <c r="B771" s="11" t="n">
        <v>45901</v>
      </c>
      <c r="C771" s="10" t="inlineStr">
        <is>
          <t>SP VIOLETGREYSTORE WILMINGTON</t>
        </is>
      </c>
      <c r="D771" s="10">
        <f>IFERROR(INDEX('Review Items'!$D:$D,MATCH(C771,'Review Items'!$B:$B,0)),IFERROR(INDEX('Rule Updates'!$B:$B,MATCH(C771,'Rule Updates'!$A:$A,0)),"Uncategorised"))</f>
        <v/>
      </c>
      <c r="E771" s="10">
        <f>IFERROR(INDEX('Review Items'!$E:$E,MATCH(C771,'Review Items'!$B:$B,0)),IFERROR(INDEX('Rule Updates'!$C:$C,MATCH(C771,'Rule Updates'!$A:$A,0)),"Review"))</f>
        <v/>
      </c>
      <c r="F771" s="12" t="n">
        <v>834.1</v>
      </c>
      <c r="G771" s="12" t="n">
        <v>6633.03</v>
      </c>
      <c r="H771" s="10" t="n">
        <v>1</v>
      </c>
      <c r="I771" s="10">
        <f>IF(OR(D771="Uncategorised",E771=""),"Check","")</f>
        <v/>
      </c>
    </row>
    <row r="772">
      <c r="A772" s="10" t="inlineStr">
        <is>
          <t>Amex Sep-2025</t>
        </is>
      </c>
      <c r="B772" s="11" t="n">
        <v>45902</v>
      </c>
      <c r="C772" s="10" t="inlineStr">
        <is>
          <t>BURGUNDY ETC CENTRAL</t>
        </is>
      </c>
      <c r="D772" s="10">
        <f>IFERROR(INDEX('Review Items'!$D:$D,MATCH(C772,'Review Items'!$B:$B,0)),IFERROR(INDEX('Rule Updates'!$B:$B,MATCH(C772,'Rule Updates'!$A:$A,0)),"Uncategorised"))</f>
        <v/>
      </c>
      <c r="E772" s="10">
        <f>IFERROR(INDEX('Review Items'!$E:$E,MATCH(C772,'Review Items'!$B:$B,0)),IFERROR(INDEX('Rule Updates'!$C:$C,MATCH(C772,'Rule Updates'!$A:$A,0)),"Review"))</f>
        <v/>
      </c>
      <c r="F772" s="10" t="n"/>
      <c r="G772" s="12" t="n">
        <v>540</v>
      </c>
      <c r="H772" s="10" t="n">
        <v>2</v>
      </c>
      <c r="I772" s="10">
        <f>IF(OR(D772="Uncategorised",E772=""),"Check","")</f>
        <v/>
      </c>
    </row>
    <row r="773">
      <c r="A773" s="10" t="inlineStr">
        <is>
          <t>Amex Sep-2025</t>
        </is>
      </c>
      <c r="B773" s="11" t="n">
        <v>45902</v>
      </c>
      <c r="C773" s="10" t="inlineStr">
        <is>
          <t>KPAY * MEDIMART 000000000 HONG KONG</t>
        </is>
      </c>
      <c r="D773" s="10">
        <f>IFERROR(INDEX('Review Items'!$D:$D,MATCH(C773,'Review Items'!$B:$B,0)),IFERROR(INDEX('Rule Updates'!$B:$B,MATCH(C773,'Rule Updates'!$A:$A,0)),"Uncategorised"))</f>
        <v/>
      </c>
      <c r="E773" s="10">
        <f>IFERROR(INDEX('Review Items'!$E:$E,MATCH(C773,'Review Items'!$B:$B,0)),IFERROR(INDEX('Rule Updates'!$C:$C,MATCH(C773,'Rule Updates'!$A:$A,0)),"Review"))</f>
        <v/>
      </c>
      <c r="F773" s="10" t="n"/>
      <c r="G773" s="12" t="n">
        <v>745</v>
      </c>
      <c r="H773" s="10" t="n">
        <v>2</v>
      </c>
      <c r="I773" s="10">
        <f>IF(OR(D773="Uncategorised",E773=""),"Check","")</f>
        <v/>
      </c>
    </row>
    <row r="774">
      <c r="A774" s="10" t="inlineStr">
        <is>
          <t>Amex Sep-2025</t>
        </is>
      </c>
      <c r="B774" s="11" t="n">
        <v>45902</v>
      </c>
      <c r="C774" s="10" t="inlineStr">
        <is>
          <t>OCL * OCTOPUS AD 8188520 KO WLOON BAY</t>
        </is>
      </c>
      <c r="D774" s="10">
        <f>IFERROR(INDEX('Review Items'!$D:$D,MATCH(C774,'Review Items'!$B:$B,0)),IFERROR(INDEX('Rule Updates'!$B:$B,MATCH(C774,'Rule Updates'!$A:$A,0)),"Uncategorised"))</f>
        <v/>
      </c>
      <c r="E774" s="10">
        <f>IFERROR(INDEX('Review Items'!$E:$E,MATCH(C774,'Review Items'!$B:$B,0)),IFERROR(INDEX('Rule Updates'!$C:$C,MATCH(C774,'Rule Updates'!$A:$A,0)),"Review"))</f>
        <v/>
      </c>
      <c r="F774" s="10" t="n"/>
      <c r="G774" s="12" t="n">
        <v>1800</v>
      </c>
      <c r="H774" s="10" t="n">
        <v>2</v>
      </c>
      <c r="I774" s="10">
        <f>IF(OR(D774="Uncategorised",E774=""),"Check","")</f>
        <v/>
      </c>
    </row>
    <row r="775">
      <c r="A775" s="10" t="inlineStr">
        <is>
          <t>Amex Sep-2025</t>
        </is>
      </c>
      <c r="B775" s="11" t="n">
        <v>45902</v>
      </c>
      <c r="C775" s="10" t="inlineStr">
        <is>
          <t>SP IPPODOTEAGLO BAL KYOUTOSHINAKAGY</t>
        </is>
      </c>
      <c r="D775" s="10">
        <f>IFERROR(INDEX('Review Items'!$D:$D,MATCH(C775,'Review Items'!$B:$B,0)),IFERROR(INDEX('Rule Updates'!$B:$B,MATCH(C775,'Rule Updates'!$A:$A,0)),"Uncategorised"))</f>
        <v/>
      </c>
      <c r="E775" s="10">
        <f>IFERROR(INDEX('Review Items'!$E:$E,MATCH(C775,'Review Items'!$B:$B,0)),IFERROR(INDEX('Rule Updates'!$C:$C,MATCH(C775,'Rule Updates'!$A:$A,0)),"Review"))</f>
        <v/>
      </c>
      <c r="F775" s="12" t="n">
        <v>13850</v>
      </c>
      <c r="G775" s="12" t="n">
        <v>749.8200000000001</v>
      </c>
      <c r="H775" s="10" t="n">
        <v>2</v>
      </c>
      <c r="I775" s="10">
        <f>IF(OR(D775="Uncategorised",E775=""),"Check","")</f>
        <v/>
      </c>
    </row>
    <row r="776">
      <c r="A776" s="10" t="inlineStr">
        <is>
          <t>Amex Sep-2025</t>
        </is>
      </c>
      <c r="B776" s="11" t="n">
        <v>45902</v>
      </c>
      <c r="C776" s="10" t="inlineStr">
        <is>
          <t>THE MANDARIN SALON CENTRAL</t>
        </is>
      </c>
      <c r="D776" s="10">
        <f>IFERROR(INDEX('Review Items'!$D:$D,MATCH(C776,'Review Items'!$B:$B,0)),IFERROR(INDEX('Rule Updates'!$B:$B,MATCH(C776,'Rule Updates'!$A:$A,0)),"Uncategorised"))</f>
        <v/>
      </c>
      <c r="E776" s="10">
        <f>IFERROR(INDEX('Review Items'!$E:$E,MATCH(C776,'Review Items'!$B:$B,0)),IFERROR(INDEX('Rule Updates'!$C:$C,MATCH(C776,'Rule Updates'!$A:$A,0)),"Review"))</f>
        <v/>
      </c>
      <c r="F776" s="10" t="n"/>
      <c r="G776" s="12" t="n">
        <v>1210</v>
      </c>
      <c r="H776" s="10" t="n">
        <v>2</v>
      </c>
      <c r="I776" s="10">
        <f>IF(OR(D776="Uncategorised",E776=""),"Check","")</f>
        <v/>
      </c>
    </row>
    <row r="777">
      <c r="A777" s="10" t="inlineStr">
        <is>
          <t>Amex Sep-2025</t>
        </is>
      </c>
      <c r="B777" s="11" t="n">
        <v>45903</v>
      </c>
      <c r="C777" s="10" t="inlineStr">
        <is>
          <t>AMA ZON PRIME * RK 2 C 78 R J4 AMZ N.CO.UK/PM</t>
        </is>
      </c>
      <c r="D777" s="10">
        <f>IFERROR(INDEX('Review Items'!$D:$D,MATCH(C777,'Review Items'!$B:$B,0)),IFERROR(INDEX('Rule Updates'!$B:$B,MATCH(C777,'Rule Updates'!$A:$A,0)),"Uncategorised"))</f>
        <v/>
      </c>
      <c r="E777" s="10">
        <f>IFERROR(INDEX('Review Items'!$E:$E,MATCH(C777,'Review Items'!$B:$B,0)),IFERROR(INDEX('Rule Updates'!$C:$C,MATCH(C777,'Rule Updates'!$A:$A,0)),"Review"))</f>
        <v/>
      </c>
      <c r="F777" s="12" t="n">
        <v>8.99</v>
      </c>
      <c r="G777" s="12" t="n">
        <v>96.87</v>
      </c>
      <c r="H777" s="10" t="n">
        <v>2</v>
      </c>
      <c r="I777" s="10">
        <f>IF(OR(D777="Uncategorised",E777=""),"Check","")</f>
        <v/>
      </c>
    </row>
    <row r="778">
      <c r="A778" s="10" t="inlineStr">
        <is>
          <t>Amex Sep-2025</t>
        </is>
      </c>
      <c r="B778" s="11" t="n">
        <v>45903</v>
      </c>
      <c r="C778" s="10" t="inlineStr">
        <is>
          <t>BB MSL * 1111 ONES HK</t>
        </is>
      </c>
      <c r="D778" s="10">
        <f>IFERROR(INDEX('Review Items'!$D:$D,MATCH(C778,'Review Items'!$B:$B,0)),IFERROR(INDEX('Rule Updates'!$B:$B,MATCH(C778,'Rule Updates'!$A:$A,0)),"Uncategorised"))</f>
        <v/>
      </c>
      <c r="E778" s="10">
        <f>IFERROR(INDEX('Review Items'!$E:$E,MATCH(C778,'Review Items'!$B:$B,0)),IFERROR(INDEX('Rule Updates'!$C:$C,MATCH(C778,'Rule Updates'!$A:$A,0)),"Review"))</f>
        <v/>
      </c>
      <c r="F778" s="10" t="n"/>
      <c r="G778" s="12" t="n">
        <v>3614</v>
      </c>
      <c r="H778" s="10" t="n">
        <v>2</v>
      </c>
      <c r="I778" s="10">
        <f>IF(OR(D778="Uncategorised",E778=""),"Check","")</f>
        <v/>
      </c>
    </row>
    <row r="779">
      <c r="A779" s="10" t="inlineStr">
        <is>
          <t>Amex Sep-2025</t>
        </is>
      </c>
      <c r="B779" s="11" t="n">
        <v>45903</v>
      </c>
      <c r="C779" s="10" t="inlineStr">
        <is>
          <t>BB MSL * I sl e t Co ff ee La b HK</t>
        </is>
      </c>
      <c r="D779" s="10">
        <f>IFERROR(INDEX('Review Items'!$D:$D,MATCH(C779,'Review Items'!$B:$B,0)),IFERROR(INDEX('Rule Updates'!$B:$B,MATCH(C779,'Rule Updates'!$A:$A,0)),"Uncategorised"))</f>
        <v/>
      </c>
      <c r="E779" s="10">
        <f>IFERROR(INDEX('Review Items'!$E:$E,MATCH(C779,'Review Items'!$B:$B,0)),IFERROR(INDEX('Rule Updates'!$C:$C,MATCH(C779,'Rule Updates'!$A:$A,0)),"Review"))</f>
        <v/>
      </c>
      <c r="F779" s="10" t="n"/>
      <c r="G779" s="12" t="n">
        <v>80</v>
      </c>
      <c r="H779" s="10" t="n">
        <v>2</v>
      </c>
      <c r="I779" s="10">
        <f>IF(OR(D779="Uncategorised",E779=""),"Check","")</f>
        <v/>
      </c>
    </row>
    <row r="780">
      <c r="A780" s="10" t="inlineStr">
        <is>
          <t>Amex Sep-2025</t>
        </is>
      </c>
      <c r="B780" s="11" t="n">
        <v>45903</v>
      </c>
      <c r="C780" s="10" t="inlineStr">
        <is>
          <t>BURGUNDY ETC CENTRAL</t>
        </is>
      </c>
      <c r="D780" s="10">
        <f>IFERROR(INDEX('Review Items'!$D:$D,MATCH(C780,'Review Items'!$B:$B,0)),IFERROR(INDEX('Rule Updates'!$B:$B,MATCH(C780,'Rule Updates'!$A:$A,0)),"Uncategorised"))</f>
        <v/>
      </c>
      <c r="E780" s="10">
        <f>IFERROR(INDEX('Review Items'!$E:$E,MATCH(C780,'Review Items'!$B:$B,0)),IFERROR(INDEX('Rule Updates'!$C:$C,MATCH(C780,'Rule Updates'!$A:$A,0)),"Review"))</f>
        <v/>
      </c>
      <c r="F780" s="10" t="n"/>
      <c r="G780" s="12" t="n">
        <v>14870</v>
      </c>
      <c r="H780" s="10" t="n">
        <v>2</v>
      </c>
      <c r="I780" s="10">
        <f>IF(OR(D780="Uncategorised",E780=""),"Check","")</f>
        <v/>
      </c>
    </row>
    <row r="781">
      <c r="A781" s="10" t="inlineStr">
        <is>
          <t>Amex Sep-2025</t>
        </is>
      </c>
      <c r="B781" s="11" t="n">
        <v>45903</v>
      </c>
      <c r="C781" s="10" t="inlineStr">
        <is>
          <t>BURGUNDY ETC CENTRAL</t>
        </is>
      </c>
      <c r="D781" s="10">
        <f>IFERROR(INDEX('Review Items'!$D:$D,MATCH(C781,'Review Items'!$B:$B,0)),IFERROR(INDEX('Rule Updates'!$B:$B,MATCH(C781,'Rule Updates'!$A:$A,0)),"Uncategorised"))</f>
        <v/>
      </c>
      <c r="E781" s="10">
        <f>IFERROR(INDEX('Review Items'!$E:$E,MATCH(C781,'Review Items'!$B:$B,0)),IFERROR(INDEX('Rule Updates'!$C:$C,MATCH(C781,'Rule Updates'!$A:$A,0)),"Review"))</f>
        <v/>
      </c>
      <c r="F781" s="10" t="n"/>
      <c r="G781" s="12" t="n">
        <v>3951</v>
      </c>
      <c r="H781" s="10" t="n">
        <v>2</v>
      </c>
      <c r="I781" s="10">
        <f>IF(OR(D781="Uncategorised",E781=""),"Check","")</f>
        <v/>
      </c>
    </row>
    <row r="782">
      <c r="A782" s="10" t="inlineStr">
        <is>
          <t>Amex Sep-2025</t>
        </is>
      </c>
      <c r="B782" s="11" t="n">
        <v>45903</v>
      </c>
      <c r="C782" s="10" t="inlineStr">
        <is>
          <t>DRIES VAN NOTEN CENTRAL</t>
        </is>
      </c>
      <c r="D782" s="10">
        <f>IFERROR(INDEX('Review Items'!$D:$D,MATCH(C782,'Review Items'!$B:$B,0)),IFERROR(INDEX('Rule Updates'!$B:$B,MATCH(C782,'Rule Updates'!$A:$A,0)),"Uncategorised"))</f>
        <v/>
      </c>
      <c r="E782" s="10">
        <f>IFERROR(INDEX('Review Items'!$E:$E,MATCH(C782,'Review Items'!$B:$B,0)),IFERROR(INDEX('Rule Updates'!$C:$C,MATCH(C782,'Rule Updates'!$A:$A,0)),"Review"))</f>
        <v/>
      </c>
      <c r="F782" s="10" t="n"/>
      <c r="G782" s="12" t="n">
        <v>3591</v>
      </c>
      <c r="H782" s="10" t="n">
        <v>2</v>
      </c>
      <c r="I782" s="10">
        <f>IF(OR(D782="Uncategorised",E782=""),"Check","")</f>
        <v/>
      </c>
    </row>
    <row r="783">
      <c r="A783" s="10" t="inlineStr">
        <is>
          <t>Amex Sep-2025</t>
        </is>
      </c>
      <c r="B783" s="11" t="n">
        <v>45903</v>
      </c>
      <c r="C783" s="10" t="inlineStr">
        <is>
          <t>HK SANATORIUM &amp; HOSP - HAPPY VALLEY</t>
        </is>
      </c>
      <c r="D783" s="10">
        <f>IFERROR(INDEX('Review Items'!$D:$D,MATCH(C783,'Review Items'!$B:$B,0)),IFERROR(INDEX('Rule Updates'!$B:$B,MATCH(C783,'Rule Updates'!$A:$A,0)),"Uncategorised"))</f>
        <v/>
      </c>
      <c r="E783" s="10">
        <f>IFERROR(INDEX('Review Items'!$E:$E,MATCH(C783,'Review Items'!$B:$B,0)),IFERROR(INDEX('Rule Updates'!$C:$C,MATCH(C783,'Rule Updates'!$A:$A,0)),"Review"))</f>
        <v/>
      </c>
      <c r="F783" s="10" t="n"/>
      <c r="G783" s="12" t="n">
        <v>1866</v>
      </c>
      <c r="H783" s="10" t="n">
        <v>5</v>
      </c>
      <c r="I783" s="10">
        <f>IF(OR(D783="Uncategorised",E783=""),"Check","")</f>
        <v/>
      </c>
    </row>
    <row r="784">
      <c r="A784" s="10" t="inlineStr">
        <is>
          <t>Amex Sep-2025</t>
        </is>
      </c>
      <c r="B784" s="11" t="n">
        <v>45903</v>
      </c>
      <c r="C784" s="10" t="inlineStr">
        <is>
          <t>HKSH HEALTHCARE ( TANNER HONG KONG</t>
        </is>
      </c>
      <c r="D784" s="10">
        <f>IFERROR(INDEX('Review Items'!$D:$D,MATCH(C784,'Review Items'!$B:$B,0)),IFERROR(INDEX('Rule Updates'!$B:$B,MATCH(C784,'Rule Updates'!$A:$A,0)),"Uncategorised"))</f>
        <v/>
      </c>
      <c r="E784" s="10">
        <f>IFERROR(INDEX('Review Items'!$E:$E,MATCH(C784,'Review Items'!$B:$B,0)),IFERROR(INDEX('Rule Updates'!$C:$C,MATCH(C784,'Rule Updates'!$A:$A,0)),"Review"))</f>
        <v/>
      </c>
      <c r="F784" s="10" t="n"/>
      <c r="G784" s="12" t="n">
        <v>508</v>
      </c>
      <c r="H784" s="10" t="n">
        <v>5</v>
      </c>
      <c r="I784" s="10">
        <f>IF(OR(D784="Uncategorised",E784=""),"Check","")</f>
        <v/>
      </c>
    </row>
    <row r="785">
      <c r="A785" s="10" t="inlineStr">
        <is>
          <t>Amex Sep-2025</t>
        </is>
      </c>
      <c r="B785" s="11" t="n">
        <v>45903</v>
      </c>
      <c r="C785" s="10" t="inlineStr">
        <is>
          <t>ISA BEL MARANT - LANDMAR CENTRAL</t>
        </is>
      </c>
      <c r="D785" s="10">
        <f>IFERROR(INDEX('Review Items'!$D:$D,MATCH(C785,'Review Items'!$B:$B,0)),IFERROR(INDEX('Rule Updates'!$B:$B,MATCH(C785,'Rule Updates'!$A:$A,0)),"Uncategorised"))</f>
        <v/>
      </c>
      <c r="E785" s="10">
        <f>IFERROR(INDEX('Review Items'!$E:$E,MATCH(C785,'Review Items'!$B:$B,0)),IFERROR(INDEX('Rule Updates'!$C:$C,MATCH(C785,'Rule Updates'!$A:$A,0)),"Review"))</f>
        <v/>
      </c>
      <c r="F785" s="10" t="n"/>
      <c r="G785" s="12" t="n">
        <v>7380</v>
      </c>
      <c r="H785" s="10" t="n">
        <v>2</v>
      </c>
      <c r="I785" s="10">
        <f>IF(OR(D785="Uncategorised",E785=""),"Check","")</f>
        <v/>
      </c>
    </row>
    <row r="786">
      <c r="A786" s="10" t="inlineStr">
        <is>
          <t>Amex Sep-2025</t>
        </is>
      </c>
      <c r="B786" s="11" t="n">
        <v>45903</v>
      </c>
      <c r="C786" s="10" t="inlineStr">
        <is>
          <t>WHALE CLU BHK</t>
        </is>
      </c>
      <c r="D786" s="10">
        <f>IFERROR(INDEX('Review Items'!$D:$D,MATCH(C786,'Review Items'!$B:$B,0)),IFERROR(INDEX('Rule Updates'!$B:$B,MATCH(C786,'Rule Updates'!$A:$A,0)),"Uncategorised"))</f>
        <v/>
      </c>
      <c r="E786" s="10">
        <f>IFERROR(INDEX('Review Items'!$E:$E,MATCH(C786,'Review Items'!$B:$B,0)),IFERROR(INDEX('Rule Updates'!$C:$C,MATCH(C786,'Rule Updates'!$A:$A,0)),"Review"))</f>
        <v/>
      </c>
      <c r="F786" s="10" t="n"/>
      <c r="G786" s="12" t="n">
        <v>50886</v>
      </c>
      <c r="H786" s="10" t="n">
        <v>2</v>
      </c>
      <c r="I786" s="10">
        <f>IF(OR(D786="Uncategorised",E786=""),"Check","")</f>
        <v/>
      </c>
    </row>
    <row r="787">
      <c r="A787" s="10" t="inlineStr">
        <is>
          <t>Amex Sep-2025</t>
        </is>
      </c>
      <c r="B787" s="11" t="n">
        <v>45903</v>
      </c>
      <c r="C787" s="10" t="inlineStr">
        <is>
          <t>WHALE CLU BHK</t>
        </is>
      </c>
      <c r="D787" s="10">
        <f>IFERROR(INDEX('Review Items'!$D:$D,MATCH(C787,'Review Items'!$B:$B,0)),IFERROR(INDEX('Rule Updates'!$B:$B,MATCH(C787,'Rule Updates'!$A:$A,0)),"Uncategorised"))</f>
        <v/>
      </c>
      <c r="E787" s="10">
        <f>IFERROR(INDEX('Review Items'!$E:$E,MATCH(C787,'Review Items'!$B:$B,0)),IFERROR(INDEX('Rule Updates'!$C:$C,MATCH(C787,'Rule Updates'!$A:$A,0)),"Review"))</f>
        <v/>
      </c>
      <c r="F787" s="10" t="n"/>
      <c r="G787" s="12" t="n">
        <v>50000</v>
      </c>
      <c r="H787" s="10" t="n">
        <v>2</v>
      </c>
      <c r="I787" s="10">
        <f>IF(OR(D787="Uncategorised",E787=""),"Check","")</f>
        <v/>
      </c>
    </row>
    <row r="788">
      <c r="A788" s="10" t="inlineStr">
        <is>
          <t>Amex Sep-2025</t>
        </is>
      </c>
      <c r="B788" s="11" t="n">
        <v>45904</v>
      </c>
      <c r="C788" s="10" t="inlineStr">
        <is>
          <t>45 RCENTRAL</t>
        </is>
      </c>
      <c r="D788" s="10">
        <f>IFERROR(INDEX('Review Items'!$D:$D,MATCH(C788,'Review Items'!$B:$B,0)),IFERROR(INDEX('Rule Updates'!$B:$B,MATCH(C788,'Rule Updates'!$A:$A,0)),"Uncategorised"))</f>
        <v/>
      </c>
      <c r="E788" s="10">
        <f>IFERROR(INDEX('Review Items'!$E:$E,MATCH(C788,'Review Items'!$B:$B,0)),IFERROR(INDEX('Rule Updates'!$C:$C,MATCH(C788,'Rule Updates'!$A:$A,0)),"Review"))</f>
        <v/>
      </c>
      <c r="F788" s="10" t="n"/>
      <c r="G788" s="12" t="n">
        <v>7645</v>
      </c>
      <c r="H788" s="10" t="n">
        <v>3</v>
      </c>
      <c r="I788" s="10">
        <f>IF(OR(D788="Uncategorised",E788=""),"Check","")</f>
        <v/>
      </c>
    </row>
    <row r="789">
      <c r="A789" s="10" t="inlineStr">
        <is>
          <t>Amex Sep-2025</t>
        </is>
      </c>
      <c r="B789" s="11" t="n">
        <v>45904</v>
      </c>
      <c r="C789" s="10" t="inlineStr">
        <is>
          <t>CITY ' SUPER CENTRAL</t>
        </is>
      </c>
      <c r="D789" s="10">
        <f>IFERROR(INDEX('Review Items'!$D:$D,MATCH(C789,'Review Items'!$B:$B,0)),IFERROR(INDEX('Rule Updates'!$B:$B,MATCH(C789,'Rule Updates'!$A:$A,0)),"Uncategorised"))</f>
        <v/>
      </c>
      <c r="E789" s="10">
        <f>IFERROR(INDEX('Review Items'!$E:$E,MATCH(C789,'Review Items'!$B:$B,0)),IFERROR(INDEX('Rule Updates'!$C:$C,MATCH(C789,'Rule Updates'!$A:$A,0)),"Review"))</f>
        <v/>
      </c>
      <c r="F789" s="10" t="n"/>
      <c r="G789" s="12" t="n">
        <v>1656.7</v>
      </c>
      <c r="H789" s="10" t="n">
        <v>3</v>
      </c>
      <c r="I789" s="10">
        <f>IF(OR(D789="Uncategorised",E789=""),"Check","")</f>
        <v/>
      </c>
    </row>
    <row r="790">
      <c r="A790" s="10" t="inlineStr">
        <is>
          <t>Amex Sep-2025</t>
        </is>
      </c>
      <c r="B790" s="11" t="n">
        <v>45904</v>
      </c>
      <c r="C790" s="10" t="inlineStr">
        <is>
          <t>L ' OREAL HONG KONG LIMIT WAN CHAI</t>
        </is>
      </c>
      <c r="D790" s="10">
        <f>IFERROR(INDEX('Review Items'!$D:$D,MATCH(C790,'Review Items'!$B:$B,0)),IFERROR(INDEX('Rule Updates'!$B:$B,MATCH(C790,'Rule Updates'!$A:$A,0)),"Uncategorised"))</f>
        <v/>
      </c>
      <c r="E790" s="10">
        <f>IFERROR(INDEX('Review Items'!$E:$E,MATCH(C790,'Review Items'!$B:$B,0)),IFERROR(INDEX('Rule Updates'!$C:$C,MATCH(C790,'Rule Updates'!$A:$A,0)),"Review"))</f>
        <v/>
      </c>
      <c r="F790" s="10" t="n"/>
      <c r="G790" s="12" t="n">
        <v>1520</v>
      </c>
      <c r="H790" s="10" t="n">
        <v>2</v>
      </c>
      <c r="I790" s="10">
        <f>IF(OR(D790="Uncategorised",E790=""),"Check","")</f>
        <v/>
      </c>
    </row>
    <row r="791">
      <c r="A791" s="10" t="inlineStr">
        <is>
          <t>Amex Sep-2025</t>
        </is>
      </c>
      <c r="B791" s="11" t="n">
        <v>45904</v>
      </c>
      <c r="C791" s="10" t="inlineStr">
        <is>
          <t>PAYPAL * LARQ 4029357733</t>
        </is>
      </c>
      <c r="D791" s="10">
        <f>IFERROR(INDEX('Review Items'!$D:$D,MATCH(C791,'Review Items'!$B:$B,0)),IFERROR(INDEX('Rule Updates'!$B:$B,MATCH(C791,'Rule Updates'!$A:$A,0)),"Uncategorised"))</f>
        <v/>
      </c>
      <c r="E791" s="10">
        <f>IFERROR(INDEX('Review Items'!$E:$E,MATCH(C791,'Review Items'!$B:$B,0)),IFERROR(INDEX('Rule Updates'!$C:$C,MATCH(C791,'Rule Updates'!$A:$A,0)),"Review"))</f>
        <v/>
      </c>
      <c r="F791" s="12" t="n">
        <v>28.54</v>
      </c>
      <c r="G791" s="12" t="n">
        <v>227.12</v>
      </c>
      <c r="H791" s="10" t="n">
        <v>3</v>
      </c>
      <c r="I791" s="10">
        <f>IF(OR(D791="Uncategorised",E791=""),"Check","")</f>
        <v/>
      </c>
    </row>
    <row r="792">
      <c r="A792" s="10" t="inlineStr">
        <is>
          <t>Amex Sep-2025</t>
        </is>
      </c>
      <c r="B792" s="11" t="n">
        <v>45905</v>
      </c>
      <c r="C792" s="10" t="inlineStr">
        <is>
          <t>CITYSUPER STORE @ SOUTH WONG CHUK HANG</t>
        </is>
      </c>
      <c r="D792" s="10">
        <f>IFERROR(INDEX('Review Items'!$D:$D,MATCH(C792,'Review Items'!$B:$B,0)),IFERROR(INDEX('Rule Updates'!$B:$B,MATCH(C792,'Rule Updates'!$A:$A,0)),"Uncategorised"))</f>
        <v/>
      </c>
      <c r="E792" s="10">
        <f>IFERROR(INDEX('Review Items'!$E:$E,MATCH(C792,'Review Items'!$B:$B,0)),IFERROR(INDEX('Rule Updates'!$C:$C,MATCH(C792,'Rule Updates'!$A:$A,0)),"Review"))</f>
        <v/>
      </c>
      <c r="F792" s="10" t="n"/>
      <c r="G792" s="12" t="n">
        <v>1094.3</v>
      </c>
      <c r="H792" s="10" t="n">
        <v>3</v>
      </c>
      <c r="I792" s="10">
        <f>IF(OR(D792="Uncategorised",E792=""),"Check","")</f>
        <v/>
      </c>
    </row>
    <row r="793">
      <c r="A793" s="10" t="inlineStr">
        <is>
          <t>Amex Sep-2025</t>
        </is>
      </c>
      <c r="B793" s="11" t="n">
        <v>45905</v>
      </c>
      <c r="C793" s="10" t="inlineStr">
        <is>
          <t>PAYMENT RECEIVED THROUGH AUTOPAY</t>
        </is>
      </c>
      <c r="D793" s="10">
        <f>IFERROR(INDEX('Review Items'!$D:$D,MATCH(C793,'Review Items'!$B:$B,0)),IFERROR(INDEX('Rule Updates'!$B:$B,MATCH(C793,'Rule Updates'!$A:$A,0)),"Uncategorised"))</f>
        <v/>
      </c>
      <c r="E793" s="10">
        <f>IFERROR(INDEX('Review Items'!$E:$E,MATCH(C793,'Review Items'!$B:$B,0)),IFERROR(INDEX('Rule Updates'!$C:$C,MATCH(C793,'Rule Updates'!$A:$A,0)),"Review"))</f>
        <v/>
      </c>
      <c r="F793" s="10" t="n"/>
      <c r="G793" s="12" t="n">
        <v>-118885.74</v>
      </c>
      <c r="H793" s="10" t="n">
        <v>1</v>
      </c>
      <c r="I793" s="10">
        <f>IF(OR(D793="Uncategorised",E793=""),"Check","")</f>
        <v/>
      </c>
    </row>
    <row r="794">
      <c r="A794" s="10" t="inlineStr">
        <is>
          <t>Amex Sep-2025</t>
        </is>
      </c>
      <c r="B794" s="11" t="n">
        <v>45905</v>
      </c>
      <c r="C794" s="10" t="inlineStr">
        <is>
          <t>THE NET-A-PORTER GROUP HONG KONG</t>
        </is>
      </c>
      <c r="D794" s="10">
        <f>IFERROR(INDEX('Review Items'!$D:$D,MATCH(C794,'Review Items'!$B:$B,0)),IFERROR(INDEX('Rule Updates'!$B:$B,MATCH(C794,'Rule Updates'!$A:$A,0)),"Uncategorised"))</f>
        <v/>
      </c>
      <c r="E794" s="10">
        <f>IFERROR(INDEX('Review Items'!$E:$E,MATCH(C794,'Review Items'!$B:$B,0)),IFERROR(INDEX('Rule Updates'!$C:$C,MATCH(C794,'Rule Updates'!$A:$A,0)),"Review"))</f>
        <v/>
      </c>
      <c r="F794" s="10" t="n"/>
      <c r="G794" s="12" t="n">
        <v>21100</v>
      </c>
      <c r="H794" s="10" t="n">
        <v>3</v>
      </c>
      <c r="I794" s="10">
        <f>IF(OR(D794="Uncategorised",E794=""),"Check","")</f>
        <v/>
      </c>
    </row>
    <row r="795">
      <c r="A795" s="10" t="inlineStr">
        <is>
          <t>Amex Sep-2025</t>
        </is>
      </c>
      <c r="B795" s="11" t="n">
        <v>45906</v>
      </c>
      <c r="C795" s="10" t="inlineStr">
        <is>
          <t>AMA ZON.CO.UK 353 - 12477661</t>
        </is>
      </c>
      <c r="D795" s="10">
        <f>IFERROR(INDEX('Review Items'!$D:$D,MATCH(C795,'Review Items'!$B:$B,0)),IFERROR(INDEX('Rule Updates'!$B:$B,MATCH(C795,'Rule Updates'!$A:$A,0)),"Uncategorised"))</f>
        <v/>
      </c>
      <c r="E795" s="10">
        <f>IFERROR(INDEX('Review Items'!$E:$E,MATCH(C795,'Review Items'!$B:$B,0)),IFERROR(INDEX('Rule Updates'!$C:$C,MATCH(C795,'Rule Updates'!$A:$A,0)),"Review"))</f>
        <v/>
      </c>
      <c r="F795" s="12" t="n">
        <v>9.49</v>
      </c>
      <c r="G795" s="12" t="n">
        <v>102.37</v>
      </c>
      <c r="H795" s="10" t="n">
        <v>3</v>
      </c>
      <c r="I795" s="10">
        <f>IF(OR(D795="Uncategorised",E795=""),"Check","")</f>
        <v/>
      </c>
    </row>
    <row r="796">
      <c r="A796" s="10" t="inlineStr">
        <is>
          <t>Amex Sep-2025</t>
        </is>
      </c>
      <c r="B796" s="11" t="n">
        <v>45907</v>
      </c>
      <c r="C796" s="10" t="inlineStr">
        <is>
          <t>CITY ' SUPER CENTRAL</t>
        </is>
      </c>
      <c r="D796" s="10">
        <f>IFERROR(INDEX('Review Items'!$D:$D,MATCH(C796,'Review Items'!$B:$B,0)),IFERROR(INDEX('Rule Updates'!$B:$B,MATCH(C796,'Rule Updates'!$A:$A,0)),"Uncategorised"))</f>
        <v/>
      </c>
      <c r="E796" s="10">
        <f>IFERROR(INDEX('Review Items'!$E:$E,MATCH(C796,'Review Items'!$B:$B,0)),IFERROR(INDEX('Rule Updates'!$C:$C,MATCH(C796,'Rule Updates'!$A:$A,0)),"Review"))</f>
        <v/>
      </c>
      <c r="F796" s="10" t="n"/>
      <c r="G796" s="12" t="n">
        <v>1442.7</v>
      </c>
      <c r="H796" s="10" t="n">
        <v>3</v>
      </c>
      <c r="I796" s="10">
        <f>IF(OR(D796="Uncategorised",E796=""),"Check","")</f>
        <v/>
      </c>
    </row>
    <row r="797">
      <c r="A797" s="10" t="inlineStr">
        <is>
          <t>Amex Sep-2025</t>
        </is>
      </c>
      <c r="B797" s="11" t="n">
        <v>45909</v>
      </c>
      <c r="C797" s="10" t="inlineStr">
        <is>
          <t>G 7 QADMIRALTY</t>
        </is>
      </c>
      <c r="D797" s="10">
        <f>IFERROR(INDEX('Review Items'!$D:$D,MATCH(C797,'Review Items'!$B:$B,0)),IFERROR(INDEX('Rule Updates'!$B:$B,MATCH(C797,'Rule Updates'!$A:$A,0)),"Uncategorised"))</f>
        <v/>
      </c>
      <c r="E797" s="10">
        <f>IFERROR(INDEX('Review Items'!$E:$E,MATCH(C797,'Review Items'!$B:$B,0)),IFERROR(INDEX('Rule Updates'!$C:$C,MATCH(C797,'Rule Updates'!$A:$A,0)),"Review"))</f>
        <v/>
      </c>
      <c r="F797" s="10" t="n"/>
      <c r="G797" s="12" t="n">
        <v>1228</v>
      </c>
      <c r="H797" s="10" t="n">
        <v>3</v>
      </c>
      <c r="I797" s="10">
        <f>IF(OR(D797="Uncategorised",E797=""),"Check","")</f>
        <v/>
      </c>
    </row>
    <row r="798">
      <c r="A798" s="10" t="inlineStr">
        <is>
          <t>Amex Sep-2025</t>
        </is>
      </c>
      <c r="B798" s="11" t="n">
        <v>45909</v>
      </c>
      <c r="C798" s="10" t="inlineStr">
        <is>
          <t>IL COLPO PACI FIC PLACE ADMIRALTY</t>
        </is>
      </c>
      <c r="D798" s="10">
        <f>IFERROR(INDEX('Review Items'!$D:$D,MATCH(C798,'Review Items'!$B:$B,0)),IFERROR(INDEX('Rule Updates'!$B:$B,MATCH(C798,'Rule Updates'!$A:$A,0)),"Uncategorised"))</f>
        <v/>
      </c>
      <c r="E798" s="10">
        <f>IFERROR(INDEX('Review Items'!$E:$E,MATCH(C798,'Review Items'!$B:$B,0)),IFERROR(INDEX('Rule Updates'!$C:$C,MATCH(C798,'Rule Updates'!$A:$A,0)),"Review"))</f>
        <v/>
      </c>
      <c r="F798" s="10" t="n"/>
      <c r="G798" s="12" t="n">
        <v>12280</v>
      </c>
      <c r="H798" s="10" t="n">
        <v>3</v>
      </c>
      <c r="I798" s="10">
        <f>IF(OR(D798="Uncategorised",E798=""),"Check","")</f>
        <v/>
      </c>
    </row>
    <row r="799">
      <c r="A799" s="10" t="inlineStr">
        <is>
          <t>Amex Sep-2025</t>
        </is>
      </c>
      <c r="B799" s="11" t="n">
        <v>45909</v>
      </c>
      <c r="C799" s="10" t="inlineStr">
        <is>
          <t>LITTLE COVE ESPRESSO 00 HONG KONG</t>
        </is>
      </c>
      <c r="D799" s="10">
        <f>IFERROR(INDEX('Review Items'!$D:$D,MATCH(C799,'Review Items'!$B:$B,0)),IFERROR(INDEX('Rule Updates'!$B:$B,MATCH(C799,'Rule Updates'!$A:$A,0)),"Uncategorised"))</f>
        <v/>
      </c>
      <c r="E799" s="10">
        <f>IFERROR(INDEX('Review Items'!$E:$E,MATCH(C799,'Review Items'!$B:$B,0)),IFERROR(INDEX('Rule Updates'!$C:$C,MATCH(C799,'Rule Updates'!$A:$A,0)),"Review"))</f>
        <v/>
      </c>
      <c r="F799" s="10" t="n"/>
      <c r="G799" s="12" t="n">
        <v>81</v>
      </c>
      <c r="H799" s="10" t="n">
        <v>3</v>
      </c>
      <c r="I799" s="10">
        <f>IF(OR(D799="Uncategorised",E799=""),"Check","")</f>
        <v/>
      </c>
    </row>
    <row r="800">
      <c r="A800" s="10" t="inlineStr">
        <is>
          <t>Amex Sep-2025</t>
        </is>
      </c>
      <c r="B800" s="11" t="n">
        <v>45909</v>
      </c>
      <c r="C800" s="10" t="inlineStr">
        <is>
          <t>THE NET-A-PORTER GROUP HONG KONG</t>
        </is>
      </c>
      <c r="D800" s="10">
        <f>IFERROR(INDEX('Review Items'!$D:$D,MATCH(C800,'Review Items'!$B:$B,0)),IFERROR(INDEX('Rule Updates'!$B:$B,MATCH(C800,'Rule Updates'!$A:$A,0)),"Uncategorised"))</f>
        <v/>
      </c>
      <c r="E800" s="10">
        <f>IFERROR(INDEX('Review Items'!$E:$E,MATCH(C800,'Review Items'!$B:$B,0)),IFERROR(INDEX('Rule Updates'!$C:$C,MATCH(C800,'Rule Updates'!$A:$A,0)),"Review"))</f>
        <v/>
      </c>
      <c r="F800" s="10" t="n"/>
      <c r="G800" s="12" t="n">
        <v>-4305</v>
      </c>
      <c r="H800" s="10" t="n">
        <v>3</v>
      </c>
      <c r="I800" s="10">
        <f>IF(OR(D800="Uncategorised",E800=""),"Check","")</f>
        <v/>
      </c>
    </row>
    <row r="801">
      <c r="A801" s="10" t="inlineStr">
        <is>
          <t>Amex Sep-2025</t>
        </is>
      </c>
      <c r="B801" s="11" t="n">
        <v>45910</v>
      </c>
      <c r="C801" s="10" t="inlineStr">
        <is>
          <t>AMA ZON PRIME *Z 818 D 33 E 4 AMZ N.CO.UK/PM</t>
        </is>
      </c>
      <c r="D801" s="10">
        <f>IFERROR(INDEX('Review Items'!$D:$D,MATCH(C801,'Review Items'!$B:$B,0)),IFERROR(INDEX('Rule Updates'!$B:$B,MATCH(C801,'Rule Updates'!$A:$A,0)),"Uncategorised"))</f>
        <v/>
      </c>
      <c r="E801" s="10">
        <f>IFERROR(INDEX('Review Items'!$E:$E,MATCH(C801,'Review Items'!$B:$B,0)),IFERROR(INDEX('Rule Updates'!$C:$C,MATCH(C801,'Rule Updates'!$A:$A,0)),"Review"))</f>
        <v/>
      </c>
      <c r="F801" s="12" t="n">
        <v>8.99</v>
      </c>
      <c r="G801" s="12" t="n">
        <v>97.08</v>
      </c>
      <c r="H801" s="10" t="n">
        <v>3</v>
      </c>
      <c r="I801" s="10">
        <f>IF(OR(D801="Uncategorised",E801=""),"Check","")</f>
        <v/>
      </c>
    </row>
    <row r="802">
      <c r="A802" s="10" t="inlineStr">
        <is>
          <t>Amex Sep-2025</t>
        </is>
      </c>
      <c r="B802" s="11" t="n">
        <v>45911</v>
      </c>
      <c r="C802" s="10" t="inlineStr">
        <is>
          <t>CITYSUPER STORE @ SOUTH WONG CHUK HANG</t>
        </is>
      </c>
      <c r="D802" s="10">
        <f>IFERROR(INDEX('Review Items'!$D:$D,MATCH(C802,'Review Items'!$B:$B,0)),IFERROR(INDEX('Rule Updates'!$B:$B,MATCH(C802,'Rule Updates'!$A:$A,0)),"Uncategorised"))</f>
        <v/>
      </c>
      <c r="E802" s="10">
        <f>IFERROR(INDEX('Review Items'!$E:$E,MATCH(C802,'Review Items'!$B:$B,0)),IFERROR(INDEX('Rule Updates'!$C:$C,MATCH(C802,'Rule Updates'!$A:$A,0)),"Review"))</f>
        <v/>
      </c>
      <c r="F802" s="10" t="n"/>
      <c r="G802" s="12" t="n">
        <v>1242</v>
      </c>
      <c r="H802" s="10" t="n">
        <v>3</v>
      </c>
      <c r="I802" s="10">
        <f>IF(OR(D802="Uncategorised",E802=""),"Check","")</f>
        <v/>
      </c>
    </row>
    <row r="803">
      <c r="A803" s="10" t="inlineStr">
        <is>
          <t>Amex Sep-2025</t>
        </is>
      </c>
      <c r="B803" s="11" t="n">
        <v>45911</v>
      </c>
      <c r="C803" s="10" t="inlineStr">
        <is>
          <t>HK SANATORIUM &amp; HOSP - HAPPY VALLEY</t>
        </is>
      </c>
      <c r="D803" s="10">
        <f>IFERROR(INDEX('Review Items'!$D:$D,MATCH(C803,'Review Items'!$B:$B,0)),IFERROR(INDEX('Rule Updates'!$B:$B,MATCH(C803,'Rule Updates'!$A:$A,0)),"Uncategorised"))</f>
        <v/>
      </c>
      <c r="E803" s="10">
        <f>IFERROR(INDEX('Review Items'!$E:$E,MATCH(C803,'Review Items'!$B:$B,0)),IFERROR(INDEX('Rule Updates'!$C:$C,MATCH(C803,'Rule Updates'!$A:$A,0)),"Review"))</f>
        <v/>
      </c>
      <c r="F803" s="10" t="n"/>
      <c r="G803" s="12" t="n">
        <v>6499</v>
      </c>
      <c r="H803" s="10" t="n">
        <v>5</v>
      </c>
      <c r="I803" s="10">
        <f>IF(OR(D803="Uncategorised",E803=""),"Check","")</f>
        <v/>
      </c>
    </row>
    <row r="804">
      <c r="A804" s="10" t="inlineStr">
        <is>
          <t>Amex Sep-2025</t>
        </is>
      </c>
      <c r="B804" s="11" t="n">
        <v>45911</v>
      </c>
      <c r="C804" s="10" t="inlineStr">
        <is>
          <t>THE NET-A-PORTER GROUP HONG KONG</t>
        </is>
      </c>
      <c r="D804" s="10">
        <f>IFERROR(INDEX('Review Items'!$D:$D,MATCH(C804,'Review Items'!$B:$B,0)),IFERROR(INDEX('Rule Updates'!$B:$B,MATCH(C804,'Rule Updates'!$A:$A,0)),"Uncategorised"))</f>
        <v/>
      </c>
      <c r="E804" s="10">
        <f>IFERROR(INDEX('Review Items'!$E:$E,MATCH(C804,'Review Items'!$B:$B,0)),IFERROR(INDEX('Rule Updates'!$C:$C,MATCH(C804,'Rule Updates'!$A:$A,0)),"Review"))</f>
        <v/>
      </c>
      <c r="F804" s="10" t="n"/>
      <c r="G804" s="12" t="n">
        <v>-102700</v>
      </c>
      <c r="H804" s="10" t="n">
        <v>3</v>
      </c>
      <c r="I804" s="10">
        <f>IF(OR(D804="Uncategorised",E804=""),"Check","")</f>
        <v/>
      </c>
    </row>
    <row r="805">
      <c r="A805" s="10" t="inlineStr">
        <is>
          <t>Amex Sep-2025</t>
        </is>
      </c>
      <c r="B805" s="11" t="n">
        <v>45914</v>
      </c>
      <c r="C805" s="10" t="inlineStr">
        <is>
          <t>EMPEROR CINEMA HONG KONG</t>
        </is>
      </c>
      <c r="D805" s="10">
        <f>IFERROR(INDEX('Review Items'!$D:$D,MATCH(C805,'Review Items'!$B:$B,0)),IFERROR(INDEX('Rule Updates'!$B:$B,MATCH(C805,'Rule Updates'!$A:$A,0)),"Uncategorised"))</f>
        <v/>
      </c>
      <c r="E805" s="10">
        <f>IFERROR(INDEX('Review Items'!$E:$E,MATCH(C805,'Review Items'!$B:$B,0)),IFERROR(INDEX('Rule Updates'!$C:$C,MATCH(C805,'Rule Updates'!$A:$A,0)),"Review"))</f>
        <v/>
      </c>
      <c r="F805" s="10" t="n"/>
      <c r="G805" s="12" t="n">
        <v>450</v>
      </c>
      <c r="H805" s="10" t="n">
        <v>3</v>
      </c>
      <c r="I805" s="10">
        <f>IF(OR(D805="Uncategorised",E805=""),"Check","")</f>
        <v/>
      </c>
    </row>
    <row r="806">
      <c r="A806" s="10" t="inlineStr">
        <is>
          <t>Amex Sep-2025</t>
        </is>
      </c>
      <c r="B806" s="11" t="n">
        <v>45915</v>
      </c>
      <c r="C806" s="10" t="inlineStr">
        <is>
          <t>HARVEY NICHOLS CENTRAL</t>
        </is>
      </c>
      <c r="D806" s="10">
        <f>IFERROR(INDEX('Review Items'!$D:$D,MATCH(C806,'Review Items'!$B:$B,0)),IFERROR(INDEX('Rule Updates'!$B:$B,MATCH(C806,'Rule Updates'!$A:$A,0)),"Uncategorised"))</f>
        <v/>
      </c>
      <c r="E806" s="10">
        <f>IFERROR(INDEX('Review Items'!$E:$E,MATCH(C806,'Review Items'!$B:$B,0)),IFERROR(INDEX('Rule Updates'!$C:$C,MATCH(C806,'Rule Updates'!$A:$A,0)),"Review"))</f>
        <v/>
      </c>
      <c r="F806" s="10" t="n"/>
      <c r="G806" s="12" t="n">
        <v>1425</v>
      </c>
      <c r="H806" s="10" t="n">
        <v>3</v>
      </c>
      <c r="I806" s="10">
        <f>IF(OR(D806="Uncategorised",E806=""),"Check","")</f>
        <v/>
      </c>
    </row>
    <row r="807">
      <c r="A807" s="10" t="inlineStr">
        <is>
          <t>Amex Sep-2025</t>
        </is>
      </c>
      <c r="B807" s="11" t="n">
        <v>45919</v>
      </c>
      <c r="C807" s="10" t="inlineStr">
        <is>
          <t>CITY ' SUPER CENTRAL</t>
        </is>
      </c>
      <c r="D807" s="10">
        <f>IFERROR(INDEX('Review Items'!$D:$D,MATCH(C807,'Review Items'!$B:$B,0)),IFERROR(INDEX('Rule Updates'!$B:$B,MATCH(C807,'Rule Updates'!$A:$A,0)),"Uncategorised"))</f>
        <v/>
      </c>
      <c r="E807" s="10">
        <f>IFERROR(INDEX('Review Items'!$E:$E,MATCH(C807,'Review Items'!$B:$B,0)),IFERROR(INDEX('Rule Updates'!$C:$C,MATCH(C807,'Rule Updates'!$A:$A,0)),"Review"))</f>
        <v/>
      </c>
      <c r="F807" s="10" t="n"/>
      <c r="G807" s="12" t="n">
        <v>5406.9</v>
      </c>
      <c r="H807" s="10" t="n">
        <v>3</v>
      </c>
      <c r="I807" s="10">
        <f>IF(OR(D807="Uncategorised",E807=""),"Check","")</f>
        <v/>
      </c>
    </row>
    <row r="808">
      <c r="A808" s="10" t="inlineStr">
        <is>
          <t>Amex Sep-2025</t>
        </is>
      </c>
      <c r="B808" s="11" t="n">
        <v>45919</v>
      </c>
      <c r="C808" s="10" t="inlineStr">
        <is>
          <t>ISLAND SHANGRI-LA - MIN ADMIRALTY</t>
        </is>
      </c>
      <c r="D808" s="10">
        <f>IFERROR(INDEX('Review Items'!$D:$D,MATCH(C808,'Review Items'!$B:$B,0)),IFERROR(INDEX('Rule Updates'!$B:$B,MATCH(C808,'Rule Updates'!$A:$A,0)),"Uncategorised"))</f>
        <v/>
      </c>
      <c r="E808" s="10">
        <f>IFERROR(INDEX('Review Items'!$E:$E,MATCH(C808,'Review Items'!$B:$B,0)),IFERROR(INDEX('Rule Updates'!$C:$C,MATCH(C808,'Rule Updates'!$A:$A,0)),"Review"))</f>
        <v/>
      </c>
      <c r="F808" s="10" t="n"/>
      <c r="G808" s="12" t="n">
        <v>2035.6</v>
      </c>
      <c r="H808" s="10" t="n">
        <v>5</v>
      </c>
      <c r="I808" s="10">
        <f>IF(OR(D808="Uncategorised",E808=""),"Check","")</f>
        <v/>
      </c>
    </row>
    <row r="809">
      <c r="A809" s="10" t="inlineStr">
        <is>
          <t>Amex Sep-2025</t>
        </is>
      </c>
      <c r="B809" s="11" t="n">
        <v>45919</v>
      </c>
      <c r="C809" s="10" t="inlineStr">
        <is>
          <t>SP SEOUL RECIPE HK TSEUN WAN</t>
        </is>
      </c>
      <c r="D809" s="10">
        <f>IFERROR(INDEX('Review Items'!$D:$D,MATCH(C809,'Review Items'!$B:$B,0)),IFERROR(INDEX('Rule Updates'!$B:$B,MATCH(C809,'Rule Updates'!$A:$A,0)),"Uncategorised"))</f>
        <v/>
      </c>
      <c r="E809" s="10">
        <f>IFERROR(INDEX('Review Items'!$E:$E,MATCH(C809,'Review Items'!$B:$B,0)),IFERROR(INDEX('Rule Updates'!$C:$C,MATCH(C809,'Rule Updates'!$A:$A,0)),"Review"))</f>
        <v/>
      </c>
      <c r="F809" s="10" t="n"/>
      <c r="G809" s="12" t="n">
        <v>2757.4</v>
      </c>
      <c r="H809" s="10" t="n">
        <v>3</v>
      </c>
      <c r="I809" s="10">
        <f>IF(OR(D809="Uncategorised",E809=""),"Check","")</f>
        <v/>
      </c>
    </row>
    <row r="810">
      <c r="A810" s="10" t="inlineStr">
        <is>
          <t>Amex Sep-2025</t>
        </is>
      </c>
      <c r="B810" s="11" t="n">
        <v>45921</v>
      </c>
      <c r="C810" s="10" t="inlineStr">
        <is>
          <t>GARMIN ( EUROPE ) LIMITED SOUTHAMPTON</t>
        </is>
      </c>
      <c r="D810" s="10">
        <f>IFERROR(INDEX('Review Items'!$D:$D,MATCH(C810,'Review Items'!$B:$B,0)),IFERROR(INDEX('Rule Updates'!$B:$B,MATCH(C810,'Rule Updates'!$A:$A,0)),"Uncategorised"))</f>
        <v/>
      </c>
      <c r="E810" s="10">
        <f>IFERROR(INDEX('Review Items'!$E:$E,MATCH(C810,'Review Items'!$B:$B,0)),IFERROR(INDEX('Rule Updates'!$C:$C,MATCH(C810,'Rule Updates'!$A:$A,0)),"Review"))</f>
        <v/>
      </c>
      <c r="F810" s="10" t="n"/>
      <c r="G810" s="12" t="n">
        <v>89</v>
      </c>
      <c r="H810" s="10" t="n">
        <v>3</v>
      </c>
      <c r="I810" s="10">
        <f>IF(OR(D810="Uncategorised",E810=""),"Check","")</f>
        <v/>
      </c>
    </row>
    <row r="811">
      <c r="A811" s="10" t="inlineStr">
        <is>
          <t>Amex Sep-2025</t>
        </is>
      </c>
      <c r="B811" s="11" t="n">
        <v>45922</v>
      </c>
      <c r="C811" s="10" t="inlineStr">
        <is>
          <t>WHALE CLU BHK</t>
        </is>
      </c>
      <c r="D811" s="10">
        <f>IFERROR(INDEX('Review Items'!$D:$D,MATCH(C811,'Review Items'!$B:$B,0)),IFERROR(INDEX('Rule Updates'!$B:$B,MATCH(C811,'Rule Updates'!$A:$A,0)),"Uncategorised"))</f>
        <v/>
      </c>
      <c r="E811" s="10">
        <f>IFERROR(INDEX('Review Items'!$E:$E,MATCH(C811,'Review Items'!$B:$B,0)),IFERROR(INDEX('Rule Updates'!$C:$C,MATCH(C811,'Rule Updates'!$A:$A,0)),"Review"))</f>
        <v/>
      </c>
      <c r="F811" s="10" t="n"/>
      <c r="G811" s="12" t="n">
        <v>11872</v>
      </c>
      <c r="H811" s="10" t="n">
        <v>3</v>
      </c>
      <c r="I811" s="10">
        <f>IF(OR(D811="Uncategorised",E811=""),"Check","")</f>
        <v/>
      </c>
    </row>
    <row r="812">
      <c r="A812" s="10" t="inlineStr">
        <is>
          <t>Amex Sep-2025</t>
        </is>
      </c>
      <c r="B812" s="11" t="n">
        <v>45924</v>
      </c>
      <c r="C812" s="10" t="inlineStr">
        <is>
          <t>THE NET-A-PORTER GROUP HONG KONG</t>
        </is>
      </c>
      <c r="D812" s="10">
        <f>IFERROR(INDEX('Review Items'!$D:$D,MATCH(C812,'Review Items'!$B:$B,0)),IFERROR(INDEX('Rule Updates'!$B:$B,MATCH(C812,'Rule Updates'!$A:$A,0)),"Uncategorised"))</f>
        <v/>
      </c>
      <c r="E812" s="10">
        <f>IFERROR(INDEX('Review Items'!$E:$E,MATCH(C812,'Review Items'!$B:$B,0)),IFERROR(INDEX('Rule Updates'!$C:$C,MATCH(C812,'Rule Updates'!$A:$A,0)),"Review"))</f>
        <v/>
      </c>
      <c r="F812" s="10" t="n"/>
      <c r="G812" s="12" t="n">
        <v>99107</v>
      </c>
      <c r="H812" s="10" t="n">
        <v>3</v>
      </c>
      <c r="I812" s="10">
        <f>IF(OR(D812="Uncategorised",E812=""),"Check","")</f>
        <v/>
      </c>
    </row>
    <row r="813">
      <c r="A813" s="10" t="inlineStr">
        <is>
          <t>Amex Sep-2025</t>
        </is>
      </c>
      <c r="B813" s="11" t="n">
        <v>45925</v>
      </c>
      <c r="C813" s="10" t="inlineStr">
        <is>
          <t>B A &amp; SH CENTRAL</t>
        </is>
      </c>
      <c r="D813" s="10">
        <f>IFERROR(INDEX('Review Items'!$D:$D,MATCH(C813,'Review Items'!$B:$B,0)),IFERROR(INDEX('Rule Updates'!$B:$B,MATCH(C813,'Rule Updates'!$A:$A,0)),"Uncategorised"))</f>
        <v/>
      </c>
      <c r="E813" s="10">
        <f>IFERROR(INDEX('Review Items'!$E:$E,MATCH(C813,'Review Items'!$B:$B,0)),IFERROR(INDEX('Rule Updates'!$C:$C,MATCH(C813,'Rule Updates'!$A:$A,0)),"Review"))</f>
        <v/>
      </c>
      <c r="F813" s="10" t="n"/>
      <c r="G813" s="12" t="n">
        <v>3627</v>
      </c>
      <c r="H813" s="10" t="n">
        <v>4</v>
      </c>
      <c r="I813" s="10">
        <f>IF(OR(D813="Uncategorised",E813=""),"Check","")</f>
        <v/>
      </c>
    </row>
    <row r="814">
      <c r="A814" s="10" t="inlineStr">
        <is>
          <t>Amex Oct-2025</t>
        </is>
      </c>
      <c r="B814" s="11" t="n">
        <v>45925</v>
      </c>
      <c r="C814" s="10" t="inlineStr">
        <is>
          <t>GLO BALE * / B A&amp;SH LONDON</t>
        </is>
      </c>
      <c r="D814" s="10">
        <f>IFERROR(INDEX('Review Items'!$D:$D,MATCH(C814,'Review Items'!$B:$B,0)),IFERROR(INDEX('Rule Updates'!$B:$B,MATCH(C814,'Rule Updates'!$A:$A,0)),"Uncategorised"))</f>
        <v/>
      </c>
      <c r="E814" s="10">
        <f>IFERROR(INDEX('Review Items'!$E:$E,MATCH(C814,'Review Items'!$B:$B,0)),IFERROR(INDEX('Rule Updates'!$C:$C,MATCH(C814,'Rule Updates'!$A:$A,0)),"Review"))</f>
        <v/>
      </c>
      <c r="F814" s="10" t="n"/>
      <c r="G814" s="12" t="n">
        <v>1890</v>
      </c>
      <c r="H814" s="10" t="n">
        <v>1</v>
      </c>
      <c r="I814" s="10">
        <f>IF(OR(D814="Uncategorised",E814=""),"Check","")</f>
        <v/>
      </c>
    </row>
    <row r="815">
      <c r="A815" s="10" t="inlineStr">
        <is>
          <t>Amex Sep-2025</t>
        </is>
      </c>
      <c r="B815" s="11" t="n">
        <v>45925</v>
      </c>
      <c r="C815" s="10" t="inlineStr">
        <is>
          <t>LANE CRA WF ORD ( I F C ) CENTRAL</t>
        </is>
      </c>
      <c r="D815" s="10">
        <f>IFERROR(INDEX('Review Items'!$D:$D,MATCH(C815,'Review Items'!$B:$B,0)),IFERROR(INDEX('Rule Updates'!$B:$B,MATCH(C815,'Rule Updates'!$A:$A,0)),"Uncategorised"))</f>
        <v/>
      </c>
      <c r="E815" s="10">
        <f>IFERROR(INDEX('Review Items'!$E:$E,MATCH(C815,'Review Items'!$B:$B,0)),IFERROR(INDEX('Rule Updates'!$C:$C,MATCH(C815,'Rule Updates'!$A:$A,0)),"Review"))</f>
        <v/>
      </c>
      <c r="F815" s="10" t="n"/>
      <c r="G815" s="12" t="n">
        <v>6930</v>
      </c>
      <c r="H815" s="10" t="n">
        <v>3</v>
      </c>
      <c r="I815" s="10">
        <f>IF(OR(D815="Uncategorised",E815=""),"Check","")</f>
        <v/>
      </c>
    </row>
    <row r="816">
      <c r="A816" s="10" t="inlineStr">
        <is>
          <t>Amex Sep-2025</t>
        </is>
      </c>
      <c r="B816" s="11" t="n">
        <v>45925</v>
      </c>
      <c r="C816" s="10" t="inlineStr">
        <is>
          <t>THE NET-A-PORTER GROUP HONG KONG</t>
        </is>
      </c>
      <c r="D816" s="10">
        <f>IFERROR(INDEX('Review Items'!$D:$D,MATCH(C816,'Review Items'!$B:$B,0)),IFERROR(INDEX('Rule Updates'!$B:$B,MATCH(C816,'Rule Updates'!$A:$A,0)),"Uncategorised"))</f>
        <v/>
      </c>
      <c r="E816" s="10">
        <f>IFERROR(INDEX('Review Items'!$E:$E,MATCH(C816,'Review Items'!$B:$B,0)),IFERROR(INDEX('Rule Updates'!$C:$C,MATCH(C816,'Rule Updates'!$A:$A,0)),"Review"))</f>
        <v/>
      </c>
      <c r="F816" s="10" t="n"/>
      <c r="G816" s="12" t="n">
        <v>-15390</v>
      </c>
      <c r="H816" s="10" t="n">
        <v>3</v>
      </c>
      <c r="I816" s="10">
        <f>IF(OR(D816="Uncategorised",E816=""),"Check","")</f>
        <v/>
      </c>
    </row>
    <row r="817">
      <c r="A817" s="10" t="inlineStr">
        <is>
          <t>Amex Sep-2025</t>
        </is>
      </c>
      <c r="B817" s="11" t="n">
        <v>45926</v>
      </c>
      <c r="C817" s="10" t="inlineStr">
        <is>
          <t>ANNUAL FEE</t>
        </is>
      </c>
      <c r="D817" s="10">
        <f>IFERROR(INDEX('Review Items'!$D:$D,MATCH(C817,'Review Items'!$B:$B,0)),IFERROR(INDEX('Rule Updates'!$B:$B,MATCH(C817,'Rule Updates'!$A:$A,0)),"Uncategorised"))</f>
        <v/>
      </c>
      <c r="E817" s="10">
        <f>IFERROR(INDEX('Review Items'!$E:$E,MATCH(C817,'Review Items'!$B:$B,0)),IFERROR(INDEX('Rule Updates'!$C:$C,MATCH(C817,'Rule Updates'!$A:$A,0)),"Review"))</f>
        <v/>
      </c>
      <c r="F817" s="10" t="n"/>
      <c r="G817" s="12" t="n">
        <v>38800</v>
      </c>
      <c r="H817" s="10" t="n">
        <v>6</v>
      </c>
      <c r="I817" s="10">
        <f>IF(OR(D817="Uncategorised",E817=""),"Check","")</f>
        <v/>
      </c>
    </row>
    <row r="818">
      <c r="A818" s="10" t="inlineStr">
        <is>
          <t>Amex Oct-2025</t>
        </is>
      </c>
      <c r="B818" s="11" t="n">
        <v>45926</v>
      </c>
      <c r="C818" s="10" t="inlineStr">
        <is>
          <t>PEKING GARDEN - ALE XAND CENTRAL</t>
        </is>
      </c>
      <c r="D818" s="10">
        <f>IFERROR(INDEX('Review Items'!$D:$D,MATCH(C818,'Review Items'!$B:$B,0)),IFERROR(INDEX('Rule Updates'!$B:$B,MATCH(C818,'Rule Updates'!$A:$A,0)),"Uncategorised"))</f>
        <v/>
      </c>
      <c r="E818" s="10">
        <f>IFERROR(INDEX('Review Items'!$E:$E,MATCH(C818,'Review Items'!$B:$B,0)),IFERROR(INDEX('Rule Updates'!$C:$C,MATCH(C818,'Rule Updates'!$A:$A,0)),"Review"))</f>
        <v/>
      </c>
      <c r="F818" s="10" t="n"/>
      <c r="G818" s="12" t="n">
        <v>1724.9</v>
      </c>
      <c r="H818" s="10" t="n">
        <v>6</v>
      </c>
      <c r="I818" s="10">
        <f>IF(OR(D818="Uncategorised",E818=""),"Check","")</f>
        <v/>
      </c>
    </row>
    <row r="819">
      <c r="A819" s="10" t="inlineStr">
        <is>
          <t>Amex Oct-2025</t>
        </is>
      </c>
      <c r="B819" s="11" t="n">
        <v>45926</v>
      </c>
      <c r="C819" s="10" t="inlineStr">
        <is>
          <t>PONTI WINE CELLARS 0000 HONG KONG</t>
        </is>
      </c>
      <c r="D819" s="10">
        <f>IFERROR(INDEX('Review Items'!$D:$D,MATCH(C819,'Review Items'!$B:$B,0)),IFERROR(INDEX('Rule Updates'!$B:$B,MATCH(C819,'Rule Updates'!$A:$A,0)),"Uncategorised"))</f>
        <v/>
      </c>
      <c r="E819" s="10">
        <f>IFERROR(INDEX('Review Items'!$E:$E,MATCH(C819,'Review Items'!$B:$B,0)),IFERROR(INDEX('Rule Updates'!$C:$C,MATCH(C819,'Rule Updates'!$A:$A,0)),"Review"))</f>
        <v/>
      </c>
      <c r="F819" s="10" t="n"/>
      <c r="G819" s="12" t="n">
        <v>24496</v>
      </c>
      <c r="H819" s="10" t="n">
        <v>1</v>
      </c>
      <c r="I819" s="10">
        <f>IF(OR(D819="Uncategorised",E819=""),"Check","")</f>
        <v/>
      </c>
    </row>
    <row r="820">
      <c r="A820" s="10" t="inlineStr">
        <is>
          <t>Amex Oct-2025</t>
        </is>
      </c>
      <c r="B820" s="11" t="n">
        <v>45927</v>
      </c>
      <c r="C820" s="10" t="inlineStr">
        <is>
          <t>WHALE CLU BHK</t>
        </is>
      </c>
      <c r="D820" s="10">
        <f>IFERROR(INDEX('Review Items'!$D:$D,MATCH(C820,'Review Items'!$B:$B,0)),IFERROR(INDEX('Rule Updates'!$B:$B,MATCH(C820,'Rule Updates'!$A:$A,0)),"Uncategorised"))</f>
        <v/>
      </c>
      <c r="E820" s="10">
        <f>IFERROR(INDEX('Review Items'!$E:$E,MATCH(C820,'Review Items'!$B:$B,0)),IFERROR(INDEX('Rule Updates'!$C:$C,MATCH(C820,'Rule Updates'!$A:$A,0)),"Review"))</f>
        <v/>
      </c>
      <c r="F820" s="10" t="n"/>
      <c r="G820" s="12" t="n">
        <v>26187</v>
      </c>
      <c r="H820" s="10" t="n">
        <v>1</v>
      </c>
      <c r="I820" s="10">
        <f>IF(OR(D820="Uncategorised",E820=""),"Check","")</f>
        <v/>
      </c>
    </row>
    <row r="821">
      <c r="A821" s="10" t="inlineStr">
        <is>
          <t>Amex Oct-2025</t>
        </is>
      </c>
      <c r="B821" s="11" t="n">
        <v>45928</v>
      </c>
      <c r="C821" s="10" t="inlineStr">
        <is>
          <t>BAR LEONE SHEUNG WAN</t>
        </is>
      </c>
      <c r="D821" s="10">
        <f>IFERROR(INDEX('Review Items'!$D:$D,MATCH(C821,'Review Items'!$B:$B,0)),IFERROR(INDEX('Rule Updates'!$B:$B,MATCH(C821,'Rule Updates'!$A:$A,0)),"Uncategorised"))</f>
        <v/>
      </c>
      <c r="E821" s="10">
        <f>IFERROR(INDEX('Review Items'!$E:$E,MATCH(C821,'Review Items'!$B:$B,0)),IFERROR(INDEX('Rule Updates'!$C:$C,MATCH(C821,'Rule Updates'!$A:$A,0)),"Review"))</f>
        <v/>
      </c>
      <c r="F821" s="10" t="n"/>
      <c r="G821" s="12" t="n">
        <v>2878</v>
      </c>
      <c r="H821" s="10" t="n">
        <v>1</v>
      </c>
      <c r="I821" s="10">
        <f>IF(OR(D821="Uncategorised",E821=""),"Check","")</f>
        <v/>
      </c>
    </row>
    <row r="822">
      <c r="A822" s="10" t="inlineStr">
        <is>
          <t>Amex Oct-2025</t>
        </is>
      </c>
      <c r="B822" s="11" t="n">
        <v>45930</v>
      </c>
      <c r="C822" s="10" t="inlineStr">
        <is>
          <t>SP SO FTER VOLUMES ZETLAND</t>
        </is>
      </c>
      <c r="D822" s="10">
        <f>IFERROR(INDEX('Review Items'!$D:$D,MATCH(C822,'Review Items'!$B:$B,0)),IFERROR(INDEX('Rule Updates'!$B:$B,MATCH(C822,'Rule Updates'!$A:$A,0)),"Uncategorised"))</f>
        <v/>
      </c>
      <c r="E822" s="10">
        <f>IFERROR(INDEX('Review Items'!$E:$E,MATCH(C822,'Review Items'!$B:$B,0)),IFERROR(INDEX('Rule Updates'!$C:$C,MATCH(C822,'Rule Updates'!$A:$A,0)),"Review"))</f>
        <v/>
      </c>
      <c r="F822" s="10" t="n"/>
      <c r="G822" s="12" t="n">
        <v>153</v>
      </c>
      <c r="H822" s="10" t="n">
        <v>1</v>
      </c>
      <c r="I822" s="10">
        <f>IF(OR(D822="Uncategorised",E822=""),"Check","")</f>
        <v/>
      </c>
    </row>
    <row r="823">
      <c r="A823" s="10" t="inlineStr">
        <is>
          <t>Amex Oct-2025</t>
        </is>
      </c>
      <c r="B823" s="11" t="n">
        <v>45930</v>
      </c>
      <c r="C823" s="10" t="inlineStr">
        <is>
          <t>THE MANDARIN SALON CENTRAL</t>
        </is>
      </c>
      <c r="D823" s="10">
        <f>IFERROR(INDEX('Review Items'!$D:$D,MATCH(C823,'Review Items'!$B:$B,0)),IFERROR(INDEX('Rule Updates'!$B:$B,MATCH(C823,'Rule Updates'!$A:$A,0)),"Uncategorised"))</f>
        <v/>
      </c>
      <c r="E823" s="10">
        <f>IFERROR(INDEX('Review Items'!$E:$E,MATCH(C823,'Review Items'!$B:$B,0)),IFERROR(INDEX('Rule Updates'!$C:$C,MATCH(C823,'Rule Updates'!$A:$A,0)),"Review"))</f>
        <v/>
      </c>
      <c r="F823" s="10" t="n"/>
      <c r="G823" s="12" t="n">
        <v>2090</v>
      </c>
      <c r="H823" s="10" t="n">
        <v>1</v>
      </c>
      <c r="I823" s="10">
        <f>IF(OR(D823="Uncategorised",E823=""),"Check","")</f>
        <v/>
      </c>
    </row>
    <row r="824">
      <c r="A824" s="10" t="inlineStr">
        <is>
          <t>Amex Oct-2025</t>
        </is>
      </c>
      <c r="B824" s="11" t="n">
        <v>45931</v>
      </c>
      <c r="C824" s="10" t="inlineStr">
        <is>
          <t>AELLISEU SEOUL</t>
        </is>
      </c>
      <c r="D824" s="10">
        <f>IFERROR(INDEX('Review Items'!$D:$D,MATCH(C824,'Review Items'!$B:$B,0)),IFERROR(INDEX('Rule Updates'!$B:$B,MATCH(C824,'Rule Updates'!$A:$A,0)),"Uncategorised"))</f>
        <v/>
      </c>
      <c r="E824" s="10">
        <f>IFERROR(INDEX('Review Items'!$E:$E,MATCH(C824,'Review Items'!$B:$B,0)),IFERROR(INDEX('Rule Updates'!$C:$C,MATCH(C824,'Rule Updates'!$A:$A,0)),"Review"))</f>
        <v/>
      </c>
      <c r="F824" s="12" t="n">
        <v>111000</v>
      </c>
      <c r="G824" s="12" t="n">
        <v>627.89</v>
      </c>
      <c r="H824" s="10" t="n">
        <v>1</v>
      </c>
      <c r="I824" s="10">
        <f>IF(OR(D824="Uncategorised",E824=""),"Check","")</f>
        <v/>
      </c>
    </row>
    <row r="825">
      <c r="A825" s="10" t="inlineStr">
        <is>
          <t>Amex Oct-2025</t>
        </is>
      </c>
      <c r="B825" s="11" t="n">
        <v>45931</v>
      </c>
      <c r="C825" s="10" t="inlineStr">
        <is>
          <t>ANDA ZSEOUL GANGNAM SEOUL</t>
        </is>
      </c>
      <c r="D825" s="10">
        <f>IFERROR(INDEX('Review Items'!$D:$D,MATCH(C825,'Review Items'!$B:$B,0)),IFERROR(INDEX('Rule Updates'!$B:$B,MATCH(C825,'Rule Updates'!$A:$A,0)),"Uncategorised"))</f>
        <v/>
      </c>
      <c r="E825" s="10">
        <f>IFERROR(INDEX('Review Items'!$E:$E,MATCH(C825,'Review Items'!$B:$B,0)),IFERROR(INDEX('Rule Updates'!$C:$C,MATCH(C825,'Rule Updates'!$A:$A,0)),"Review"))</f>
        <v/>
      </c>
      <c r="F825" s="12" t="n">
        <v>1907386</v>
      </c>
      <c r="G825" s="12" t="n">
        <v>10814.95</v>
      </c>
      <c r="H825" s="10" t="n">
        <v>1</v>
      </c>
      <c r="I825" s="10">
        <f>IF(OR(D825="Uncategorised",E825=""),"Check","")</f>
        <v/>
      </c>
    </row>
    <row r="826">
      <c r="A826" s="10" t="inlineStr">
        <is>
          <t>Amex Oct-2025</t>
        </is>
      </c>
      <c r="B826" s="11" t="n">
        <v>45932</v>
      </c>
      <c r="C826" s="10" t="inlineStr">
        <is>
          <t>Bl u e B o ttl e Co ff ee Ko r e SEOUL</t>
        </is>
      </c>
      <c r="D826" s="10">
        <f>IFERROR(INDEX('Review Items'!$D:$D,MATCH(C826,'Review Items'!$B:$B,0)),IFERROR(INDEX('Rule Updates'!$B:$B,MATCH(C826,'Rule Updates'!$A:$A,0)),"Uncategorised"))</f>
        <v/>
      </c>
      <c r="E826" s="10">
        <f>IFERROR(INDEX('Review Items'!$E:$E,MATCH(C826,'Review Items'!$B:$B,0)),IFERROR(INDEX('Rule Updates'!$C:$C,MATCH(C826,'Rule Updates'!$A:$A,0)),"Review"))</f>
        <v/>
      </c>
      <c r="F826" s="12" t="n">
        <v>20500</v>
      </c>
      <c r="G826" s="12" t="n">
        <v>116.18</v>
      </c>
      <c r="H826" s="10" t="n">
        <v>2</v>
      </c>
      <c r="I826" s="10">
        <f>IF(OR(D826="Uncategorised",E826=""),"Check","")</f>
        <v/>
      </c>
    </row>
    <row r="827">
      <c r="A827" s="10" t="inlineStr">
        <is>
          <t>Amex Oct-2025</t>
        </is>
      </c>
      <c r="B827" s="11" t="n">
        <v>45932</v>
      </c>
      <c r="C827" s="10" t="inlineStr">
        <is>
          <t>HOUSE BYLIM INC SEOUL</t>
        </is>
      </c>
      <c r="D827" s="10">
        <f>IFERROR(INDEX('Review Items'!$D:$D,MATCH(C827,'Review Items'!$B:$B,0)),IFERROR(INDEX('Rule Updates'!$B:$B,MATCH(C827,'Rule Updates'!$A:$A,0)),"Uncategorised"))</f>
        <v/>
      </c>
      <c r="E827" s="10">
        <f>IFERROR(INDEX('Review Items'!$E:$E,MATCH(C827,'Review Items'!$B:$B,0)),IFERROR(INDEX('Rule Updates'!$C:$C,MATCH(C827,'Rule Updates'!$A:$A,0)),"Review"))</f>
        <v/>
      </c>
      <c r="F827" s="12" t="n">
        <v>26500</v>
      </c>
      <c r="G827" s="12" t="n">
        <v>150.23</v>
      </c>
      <c r="H827" s="10" t="n">
        <v>2</v>
      </c>
      <c r="I827" s="10">
        <f>IF(OR(D827="Uncategorised",E827=""),"Check","")</f>
        <v/>
      </c>
    </row>
    <row r="828">
      <c r="A828" s="10" t="inlineStr">
        <is>
          <t>Amex Oct-2025</t>
        </is>
      </c>
      <c r="B828" s="11" t="n">
        <v>45932</v>
      </c>
      <c r="C828" s="10" t="inlineStr">
        <is>
          <t>JOOSIKHOISA GOODLEONEOK SEOUL</t>
        </is>
      </c>
      <c r="D828" s="10">
        <f>IFERROR(INDEX('Review Items'!$D:$D,MATCH(C828,'Review Items'!$B:$B,0)),IFERROR(INDEX('Rule Updates'!$B:$B,MATCH(C828,'Rule Updates'!$A:$A,0)),"Uncategorised"))</f>
        <v/>
      </c>
      <c r="E828" s="10">
        <f>IFERROR(INDEX('Review Items'!$E:$E,MATCH(C828,'Review Items'!$B:$B,0)),IFERROR(INDEX('Rule Updates'!$C:$C,MATCH(C828,'Rule Updates'!$A:$A,0)),"Review"))</f>
        <v/>
      </c>
      <c r="F828" s="12" t="n">
        <v>89000</v>
      </c>
      <c r="G828" s="12" t="n">
        <v>504.52</v>
      </c>
      <c r="H828" s="10" t="n">
        <v>2</v>
      </c>
      <c r="I828" s="10">
        <f>IF(OR(D828="Uncategorised",E828=""),"Check","")</f>
        <v/>
      </c>
    </row>
    <row r="829">
      <c r="A829" s="10" t="inlineStr">
        <is>
          <t>Amex Oct-2025</t>
        </is>
      </c>
      <c r="B829" s="11" t="n">
        <v>45932</v>
      </c>
      <c r="C829" s="10" t="inlineStr">
        <is>
          <t>SSI JEOIIOLLI BEUYEONG ( J OSEOUL</t>
        </is>
      </c>
      <c r="D829" s="10">
        <f>IFERROR(INDEX('Review Items'!$D:$D,MATCH(C829,'Review Items'!$B:$B,0)),IFERROR(INDEX('Rule Updates'!$B:$B,MATCH(C829,'Rule Updates'!$A:$A,0)),"Uncategorised"))</f>
        <v/>
      </c>
      <c r="E829" s="10">
        <f>IFERROR(INDEX('Review Items'!$E:$E,MATCH(C829,'Review Items'!$B:$B,0)),IFERROR(INDEX('Rule Updates'!$C:$C,MATCH(C829,'Rule Updates'!$A:$A,0)),"Review"))</f>
        <v/>
      </c>
      <c r="F829" s="12" t="n">
        <v>297700</v>
      </c>
      <c r="G829" s="12" t="n">
        <v>1687.85</v>
      </c>
      <c r="H829" s="10" t="n">
        <v>2</v>
      </c>
      <c r="I829" s="10">
        <f>IF(OR(D829="Uncategorised",E829=""),"Check","")</f>
        <v/>
      </c>
    </row>
    <row r="830">
      <c r="A830" s="10" t="inlineStr">
        <is>
          <t>Amex Oct-2025</t>
        </is>
      </c>
      <c r="B830" s="11" t="n">
        <v>45932</v>
      </c>
      <c r="C830" s="10" t="inlineStr">
        <is>
          <t>U BER TRIP HTTPS : //HELP.U B</t>
        </is>
      </c>
      <c r="D830" s="10">
        <f>IFERROR(INDEX('Review Items'!$D:$D,MATCH(C830,'Review Items'!$B:$B,0)),IFERROR(INDEX('Rule Updates'!$B:$B,MATCH(C830,'Rule Updates'!$A:$A,0)),"Uncategorised"))</f>
        <v/>
      </c>
      <c r="E830" s="10">
        <f>IFERROR(INDEX('Review Items'!$E:$E,MATCH(C830,'Review Items'!$B:$B,0)),IFERROR(INDEX('Rule Updates'!$C:$C,MATCH(C830,'Rule Updates'!$A:$A,0)),"Review"))</f>
        <v/>
      </c>
      <c r="F830" s="12" t="n">
        <v>7400</v>
      </c>
      <c r="G830" s="12" t="n">
        <v>41.83</v>
      </c>
      <c r="H830" s="10" t="n">
        <v>2</v>
      </c>
      <c r="I830" s="10">
        <f>IF(OR(D830="Uncategorised",E830=""),"Check","")</f>
        <v/>
      </c>
    </row>
    <row r="831">
      <c r="A831" s="10" t="inlineStr">
        <is>
          <t>Amex Oct-2025</t>
        </is>
      </c>
      <c r="B831" s="11" t="n">
        <v>45933</v>
      </c>
      <c r="C831" s="10" t="inlineStr">
        <is>
          <t>( JOO ) HYEONDAI BAIKHOA JEO SEOUL</t>
        </is>
      </c>
      <c r="D831" s="10">
        <f>IFERROR(INDEX('Review Items'!$D:$D,MATCH(C831,'Review Items'!$B:$B,0)),IFERROR(INDEX('Rule Updates'!$B:$B,MATCH(C831,'Rule Updates'!$A:$A,0)),"Uncategorised"))</f>
        <v/>
      </c>
      <c r="E831" s="10">
        <f>IFERROR(INDEX('Review Items'!$E:$E,MATCH(C831,'Review Items'!$B:$B,0)),IFERROR(INDEX('Rule Updates'!$C:$C,MATCH(C831,'Rule Updates'!$A:$A,0)),"Review"))</f>
        <v/>
      </c>
      <c r="F831" s="12" t="n">
        <v>468000</v>
      </c>
      <c r="G831" s="12" t="n">
        <v>2653.46</v>
      </c>
      <c r="H831" s="10" t="n">
        <v>2</v>
      </c>
      <c r="I831" s="10">
        <f>IF(OR(D831="Uncategorised",E831=""),"Check","")</f>
        <v/>
      </c>
    </row>
    <row r="832">
      <c r="A832" s="10" t="inlineStr">
        <is>
          <t>Amex Oct-2025</t>
        </is>
      </c>
      <c r="B832" s="11" t="n">
        <v>45933</v>
      </c>
      <c r="C832" s="10" t="inlineStr">
        <is>
          <t>( JOO ) HYEONDAI BAIKHOA JEO SEOUL</t>
        </is>
      </c>
      <c r="D832" s="10">
        <f>IFERROR(INDEX('Review Items'!$D:$D,MATCH(C832,'Review Items'!$B:$B,0)),IFERROR(INDEX('Rule Updates'!$B:$B,MATCH(C832,'Rule Updates'!$A:$A,0)),"Uncategorised"))</f>
        <v/>
      </c>
      <c r="E832" s="10">
        <f>IFERROR(INDEX('Review Items'!$E:$E,MATCH(C832,'Review Items'!$B:$B,0)),IFERROR(INDEX('Rule Updates'!$C:$C,MATCH(C832,'Rule Updates'!$A:$A,0)),"Review"))</f>
        <v/>
      </c>
      <c r="F832" s="12" t="n">
        <v>199450</v>
      </c>
      <c r="G832" s="12" t="n">
        <v>1130.79</v>
      </c>
      <c r="H832" s="10" t="n">
        <v>2</v>
      </c>
      <c r="I832" s="10">
        <f>IF(OR(D832="Uncategorised",E832=""),"Check","")</f>
        <v/>
      </c>
    </row>
    <row r="833">
      <c r="A833" s="10" t="inlineStr">
        <is>
          <t>Amex Oct-2025</t>
        </is>
      </c>
      <c r="B833" s="11" t="n">
        <v>45933</v>
      </c>
      <c r="C833" s="10" t="inlineStr">
        <is>
          <t>BEON/ BEONINHAL SEOUL</t>
        </is>
      </c>
      <c r="D833" s="10">
        <f>IFERROR(INDEX('Review Items'!$D:$D,MATCH(C833,'Review Items'!$B:$B,0)),IFERROR(INDEX('Rule Updates'!$B:$B,MATCH(C833,'Rule Updates'!$A:$A,0)),"Uncategorised"))</f>
        <v/>
      </c>
      <c r="E833" s="10">
        <f>IFERROR(INDEX('Review Items'!$E:$E,MATCH(C833,'Review Items'!$B:$B,0)),IFERROR(INDEX('Rule Updates'!$C:$C,MATCH(C833,'Rule Updates'!$A:$A,0)),"Review"))</f>
        <v/>
      </c>
      <c r="F833" s="12" t="n">
        <v>191000</v>
      </c>
      <c r="G833" s="12" t="n">
        <v>1082.93</v>
      </c>
      <c r="H833" s="10" t="n">
        <v>2</v>
      </c>
      <c r="I833" s="10">
        <f>IF(OR(D833="Uncategorised",E833=""),"Check","")</f>
        <v/>
      </c>
    </row>
    <row r="834">
      <c r="A834" s="10" t="inlineStr">
        <is>
          <t>Amex Oct-2025</t>
        </is>
      </c>
      <c r="B834" s="11" t="n">
        <v>45933</v>
      </c>
      <c r="C834" s="10" t="inlineStr">
        <is>
          <t>Bl u e B o ttl e Co ff ee Ko r e SEOUL</t>
        </is>
      </c>
      <c r="D834" s="10">
        <f>IFERROR(INDEX('Review Items'!$D:$D,MATCH(C834,'Review Items'!$B:$B,0)),IFERROR(INDEX('Rule Updates'!$B:$B,MATCH(C834,'Rule Updates'!$A:$A,0)),"Uncategorised"))</f>
        <v/>
      </c>
      <c r="E834" s="10">
        <f>IFERROR(INDEX('Review Items'!$E:$E,MATCH(C834,'Review Items'!$B:$B,0)),IFERROR(INDEX('Rule Updates'!$C:$C,MATCH(C834,'Rule Updates'!$A:$A,0)),"Review"))</f>
        <v/>
      </c>
      <c r="F834" s="12" t="n">
        <v>18100</v>
      </c>
      <c r="G834" s="12" t="n">
        <v>102.63</v>
      </c>
      <c r="H834" s="10" t="n">
        <v>2</v>
      </c>
      <c r="I834" s="10">
        <f>IF(OR(D834="Uncategorised",E834=""),"Check","")</f>
        <v/>
      </c>
    </row>
    <row r="835">
      <c r="A835" s="10" t="inlineStr">
        <is>
          <t>Amex Oct-2025</t>
        </is>
      </c>
      <c r="B835" s="11" t="n">
        <v>45933</v>
      </c>
      <c r="C835" s="10" t="inlineStr">
        <is>
          <t>CAPITAL CREATIVE LTD CENTRAL</t>
        </is>
      </c>
      <c r="D835" s="10">
        <f>IFERROR(INDEX('Review Items'!$D:$D,MATCH(C835,'Review Items'!$B:$B,0)),IFERROR(INDEX('Rule Updates'!$B:$B,MATCH(C835,'Rule Updates'!$A:$A,0)),"Uncategorised"))</f>
        <v/>
      </c>
      <c r="E835" s="10">
        <f>IFERROR(INDEX('Review Items'!$E:$E,MATCH(C835,'Review Items'!$B:$B,0)),IFERROR(INDEX('Rule Updates'!$C:$C,MATCH(C835,'Rule Updates'!$A:$A,0)),"Review"))</f>
        <v/>
      </c>
      <c r="F835" s="10" t="n"/>
      <c r="G835" s="12" t="n">
        <v>46750</v>
      </c>
      <c r="H835" s="10" t="n">
        <v>2</v>
      </c>
      <c r="I835" s="10">
        <f>IF(OR(D835="Uncategorised",E835=""),"Check","")</f>
        <v/>
      </c>
    </row>
    <row r="836">
      <c r="A836" s="10" t="inlineStr">
        <is>
          <t>Amex Oct-2025</t>
        </is>
      </c>
      <c r="B836" s="11" t="n">
        <v>45933</v>
      </c>
      <c r="C836" s="10" t="inlineStr">
        <is>
          <t>O li v e Yo u n g SEOUL</t>
        </is>
      </c>
      <c r="D836" s="10">
        <f>IFERROR(INDEX('Review Items'!$D:$D,MATCH(C836,'Review Items'!$B:$B,0)),IFERROR(INDEX('Rule Updates'!$B:$B,MATCH(C836,'Rule Updates'!$A:$A,0)),"Uncategorised"))</f>
        <v/>
      </c>
      <c r="E836" s="10">
        <f>IFERROR(INDEX('Review Items'!$E:$E,MATCH(C836,'Review Items'!$B:$B,0)),IFERROR(INDEX('Rule Updates'!$C:$C,MATCH(C836,'Rule Updates'!$A:$A,0)),"Review"))</f>
        <v/>
      </c>
      <c r="F836" s="12" t="n">
        <v>130600</v>
      </c>
      <c r="G836" s="12" t="n">
        <v>740.49</v>
      </c>
      <c r="H836" s="10" t="n">
        <v>3</v>
      </c>
      <c r="I836" s="10">
        <f>IF(OR(D836="Uncategorised",E836=""),"Check","")</f>
        <v/>
      </c>
    </row>
    <row r="837">
      <c r="A837" s="10" t="inlineStr">
        <is>
          <t>Amex Oct-2025</t>
        </is>
      </c>
      <c r="B837" s="11" t="n">
        <v>45933</v>
      </c>
      <c r="C837" s="10" t="inlineStr">
        <is>
          <t>SEUTAENDADEU BEULEDEU SSEOUL</t>
        </is>
      </c>
      <c r="D837" s="10">
        <f>IFERROR(INDEX('Review Items'!$D:$D,MATCH(C837,'Review Items'!$B:$B,0)),IFERROR(INDEX('Rule Updates'!$B:$B,MATCH(C837,'Rule Updates'!$A:$A,0)),"Uncategorised"))</f>
        <v/>
      </c>
      <c r="E837" s="10">
        <f>IFERROR(INDEX('Review Items'!$E:$E,MATCH(C837,'Review Items'!$B:$B,0)),IFERROR(INDEX('Rule Updates'!$C:$C,MATCH(C837,'Rule Updates'!$A:$A,0)),"Review"))</f>
        <v/>
      </c>
      <c r="F837" s="12" t="n">
        <v>15500</v>
      </c>
      <c r="G837" s="12" t="n">
        <v>87.87</v>
      </c>
      <c r="H837" s="10" t="n">
        <v>2</v>
      </c>
      <c r="I837" s="10">
        <f>IF(OR(D837="Uncategorised",E837=""),"Check","")</f>
        <v/>
      </c>
    </row>
    <row r="838">
      <c r="A838" s="10" t="inlineStr">
        <is>
          <t>Amex Oct-2025</t>
        </is>
      </c>
      <c r="B838" s="11" t="n">
        <v>45933</v>
      </c>
      <c r="C838" s="10" t="inlineStr">
        <is>
          <t>SSI JEOIIOLLI BEUYEONGJ OSEOUL</t>
        </is>
      </c>
      <c r="D838" s="10">
        <f>IFERROR(INDEX('Review Items'!$D:$D,MATCH(C838,'Review Items'!$B:$B,0)),IFERROR(INDEX('Rule Updates'!$B:$B,MATCH(C838,'Rule Updates'!$A:$A,0)),"Uncategorised"))</f>
        <v/>
      </c>
      <c r="E838" s="10">
        <f>IFERROR(INDEX('Review Items'!$E:$E,MATCH(C838,'Review Items'!$B:$B,0)),IFERROR(INDEX('Rule Updates'!$C:$C,MATCH(C838,'Rule Updates'!$A:$A,0)),"Review"))</f>
        <v/>
      </c>
      <c r="F838" s="12" t="n">
        <v>56700</v>
      </c>
      <c r="G838" s="12" t="n">
        <v>321.47</v>
      </c>
      <c r="H838" s="10" t="n">
        <v>3</v>
      </c>
      <c r="I838" s="10">
        <f>IF(OR(D838="Uncategorised",E838=""),"Check","")</f>
        <v/>
      </c>
    </row>
    <row r="839">
      <c r="A839" s="10" t="inlineStr">
        <is>
          <t>Amex Oct-2025</t>
        </is>
      </c>
      <c r="B839" s="11" t="n">
        <v>45934</v>
      </c>
      <c r="C839" s="10" t="inlineStr">
        <is>
          <t>JIESEU 25 INCHEONGONGHANG INCHEON</t>
        </is>
      </c>
      <c r="D839" s="10">
        <f>IFERROR(INDEX('Review Items'!$D:$D,MATCH(C839,'Review Items'!$B:$B,0)),IFERROR(INDEX('Rule Updates'!$B:$B,MATCH(C839,'Rule Updates'!$A:$A,0)),"Uncategorised"))</f>
        <v/>
      </c>
      <c r="E839" s="10">
        <f>IFERROR(INDEX('Review Items'!$E:$E,MATCH(C839,'Review Items'!$B:$B,0)),IFERROR(INDEX('Rule Updates'!$C:$C,MATCH(C839,'Rule Updates'!$A:$A,0)),"Review"))</f>
        <v/>
      </c>
      <c r="F839" s="12" t="n">
        <v>3400</v>
      </c>
      <c r="G839" s="12" t="n">
        <v>19.28</v>
      </c>
      <c r="H839" s="10" t="n">
        <v>3</v>
      </c>
      <c r="I839" s="10">
        <f>IF(OR(D839="Uncategorised",E839=""),"Check","")</f>
        <v/>
      </c>
    </row>
    <row r="840">
      <c r="A840" s="10" t="inlineStr">
        <is>
          <t>Amex Oct-2025</t>
        </is>
      </c>
      <c r="B840" s="11" t="n">
        <v>45935</v>
      </c>
      <c r="C840" s="10" t="inlineStr">
        <is>
          <t>BAR LEONE SHEUNG WAN</t>
        </is>
      </c>
      <c r="D840" s="10">
        <f>IFERROR(INDEX('Review Items'!$D:$D,MATCH(C840,'Review Items'!$B:$B,0)),IFERROR(INDEX('Rule Updates'!$B:$B,MATCH(C840,'Rule Updates'!$A:$A,0)),"Uncategorised"))</f>
        <v/>
      </c>
      <c r="E840" s="10">
        <f>IFERROR(INDEX('Review Items'!$E:$E,MATCH(C840,'Review Items'!$B:$B,0)),IFERROR(INDEX('Rule Updates'!$C:$C,MATCH(C840,'Rule Updates'!$A:$A,0)),"Review"))</f>
        <v/>
      </c>
      <c r="F840" s="10" t="n"/>
      <c r="G840" s="12" t="n">
        <v>1860</v>
      </c>
      <c r="H840" s="10" t="n">
        <v>3</v>
      </c>
      <c r="I840" s="10">
        <f>IF(OR(D840="Uncategorised",E840=""),"Check","")</f>
        <v/>
      </c>
    </row>
    <row r="841">
      <c r="A841" s="10" t="inlineStr">
        <is>
          <t>Amex Oct-2025</t>
        </is>
      </c>
      <c r="B841" s="11" t="n">
        <v>45935</v>
      </c>
      <c r="C841" s="10" t="inlineStr">
        <is>
          <t>OYADO TAMAK 0279722232</t>
        </is>
      </c>
      <c r="D841" s="10">
        <f>IFERROR(INDEX('Review Items'!$D:$D,MATCH(C841,'Review Items'!$B:$B,0)),IFERROR(INDEX('Rule Updates'!$B:$B,MATCH(C841,'Rule Updates'!$A:$A,0)),"Uncategorised"))</f>
        <v/>
      </c>
      <c r="E841" s="10">
        <f>IFERROR(INDEX('Review Items'!$E:$E,MATCH(C841,'Review Items'!$B:$B,0)),IFERROR(INDEX('Rule Updates'!$C:$C,MATCH(C841,'Rule Updates'!$A:$A,0)),"Review"))</f>
        <v/>
      </c>
      <c r="F841" s="12" t="n">
        <v>57500</v>
      </c>
      <c r="G841" s="12" t="n">
        <v>-3040.66</v>
      </c>
      <c r="H841" s="10" t="n">
        <v>3</v>
      </c>
      <c r="I841" s="10">
        <f>IF(OR(D841="Uncategorised",E841=""),"Check","")</f>
        <v/>
      </c>
    </row>
    <row r="842">
      <c r="A842" s="10" t="inlineStr">
        <is>
          <t>Amex Oct-2025</t>
        </is>
      </c>
      <c r="B842" s="11" t="n">
        <v>45936</v>
      </c>
      <c r="C842" s="10" t="inlineStr">
        <is>
          <t>GREAT FOOD HALL ( GPP- 25 ADMIRALTY</t>
        </is>
      </c>
      <c r="D842" s="10">
        <f>IFERROR(INDEX('Review Items'!$D:$D,MATCH(C842,'Review Items'!$B:$B,0)),IFERROR(INDEX('Rule Updates'!$B:$B,MATCH(C842,'Rule Updates'!$A:$A,0)),"Uncategorised"))</f>
        <v/>
      </c>
      <c r="E842" s="10">
        <f>IFERROR(INDEX('Review Items'!$E:$E,MATCH(C842,'Review Items'!$B:$B,0)),IFERROR(INDEX('Rule Updates'!$C:$C,MATCH(C842,'Rule Updates'!$A:$A,0)),"Review"))</f>
        <v/>
      </c>
      <c r="F842" s="10" t="n"/>
      <c r="G842" s="12" t="n">
        <v>2701.2</v>
      </c>
      <c r="H842" s="10" t="n">
        <v>3</v>
      </c>
      <c r="I842" s="10">
        <f>IF(OR(D842="Uncategorised",E842=""),"Check","")</f>
        <v/>
      </c>
    </row>
    <row r="843">
      <c r="A843" s="10" t="inlineStr">
        <is>
          <t>Amex Oct-2025</t>
        </is>
      </c>
      <c r="B843" s="11" t="n">
        <v>45936</v>
      </c>
      <c r="C843" s="10" t="inlineStr">
        <is>
          <t>IL COLPO PACI FIC PLACE ADMIRALTY</t>
        </is>
      </c>
      <c r="D843" s="10">
        <f>IFERROR(INDEX('Review Items'!$D:$D,MATCH(C843,'Review Items'!$B:$B,0)),IFERROR(INDEX('Rule Updates'!$B:$B,MATCH(C843,'Rule Updates'!$A:$A,0)),"Uncategorised"))</f>
        <v/>
      </c>
      <c r="E843" s="10">
        <f>IFERROR(INDEX('Review Items'!$E:$E,MATCH(C843,'Review Items'!$B:$B,0)),IFERROR(INDEX('Rule Updates'!$C:$C,MATCH(C843,'Rule Updates'!$A:$A,0)),"Review"))</f>
        <v/>
      </c>
      <c r="F843" s="10" t="n"/>
      <c r="G843" s="12" t="n">
        <v>8640</v>
      </c>
      <c r="H843" s="10" t="n">
        <v>3</v>
      </c>
      <c r="I843" s="10">
        <f>IF(OR(D843="Uncategorised",E843=""),"Check","")</f>
        <v/>
      </c>
    </row>
    <row r="844">
      <c r="A844" s="10" t="inlineStr">
        <is>
          <t>Amex Oct-2025</t>
        </is>
      </c>
      <c r="B844" s="11" t="n">
        <v>45936</v>
      </c>
      <c r="C844" s="10" t="inlineStr">
        <is>
          <t>PAYMENT RECEIVED THROUGH AUTOPAY</t>
        </is>
      </c>
      <c r="D844" s="10">
        <f>IFERROR(INDEX('Review Items'!$D:$D,MATCH(C844,'Review Items'!$B:$B,0)),IFERROR(INDEX('Rule Updates'!$B:$B,MATCH(C844,'Rule Updates'!$A:$A,0)),"Uncategorised"))</f>
        <v/>
      </c>
      <c r="E844" s="10">
        <f>IFERROR(INDEX('Review Items'!$E:$E,MATCH(C844,'Review Items'!$B:$B,0)),IFERROR(INDEX('Rule Updates'!$C:$C,MATCH(C844,'Rule Updates'!$A:$A,0)),"Review"))</f>
        <v/>
      </c>
      <c r="F844" s="10" t="n"/>
      <c r="G844" s="12" t="n">
        <v>-395722.74</v>
      </c>
      <c r="H844" s="10" t="n">
        <v>1</v>
      </c>
      <c r="I844" s="10">
        <f>IF(OR(D844="Uncategorised",E844=""),"Check","")</f>
        <v/>
      </c>
    </row>
    <row r="845">
      <c r="A845" s="10" t="inlineStr">
        <is>
          <t>Amex Oct-2025</t>
        </is>
      </c>
      <c r="B845" s="11" t="n">
        <v>45938</v>
      </c>
      <c r="C845" s="10" t="inlineStr">
        <is>
          <t>CITYSUPER STORE @ SOUTH WONG CHUK HANG</t>
        </is>
      </c>
      <c r="D845" s="10">
        <f>IFERROR(INDEX('Review Items'!$D:$D,MATCH(C845,'Review Items'!$B:$B,0)),IFERROR(INDEX('Rule Updates'!$B:$B,MATCH(C845,'Rule Updates'!$A:$A,0)),"Uncategorised"))</f>
        <v/>
      </c>
      <c r="E845" s="10">
        <f>IFERROR(INDEX('Review Items'!$E:$E,MATCH(C845,'Review Items'!$B:$B,0)),IFERROR(INDEX('Rule Updates'!$C:$C,MATCH(C845,'Rule Updates'!$A:$A,0)),"Review"))</f>
        <v/>
      </c>
      <c r="F845" s="10" t="n"/>
      <c r="G845" s="12" t="n">
        <v>1206.7</v>
      </c>
      <c r="H845" s="10" t="n">
        <v>3</v>
      </c>
      <c r="I845" s="10">
        <f>IF(OR(D845="Uncategorised",E845=""),"Check","")</f>
        <v/>
      </c>
    </row>
    <row r="846">
      <c r="A846" s="10" t="inlineStr">
        <is>
          <t>Amex Oct-2025</t>
        </is>
      </c>
      <c r="B846" s="11" t="n">
        <v>45939</v>
      </c>
      <c r="C846" s="10" t="inlineStr">
        <is>
          <t>BB MSL * FLE XSTUDIO HK</t>
        </is>
      </c>
      <c r="D846" s="10">
        <f>IFERROR(INDEX('Review Items'!$D:$D,MATCH(C846,'Review Items'!$B:$B,0)),IFERROR(INDEX('Rule Updates'!$B:$B,MATCH(C846,'Rule Updates'!$A:$A,0)),"Uncategorised"))</f>
        <v/>
      </c>
      <c r="E846" s="10">
        <f>IFERROR(INDEX('Review Items'!$E:$E,MATCH(C846,'Review Items'!$B:$B,0)),IFERROR(INDEX('Rule Updates'!$C:$C,MATCH(C846,'Rule Updates'!$A:$A,0)),"Review"))</f>
        <v/>
      </c>
      <c r="F846" s="10" t="n"/>
      <c r="G846" s="12" t="n">
        <v>12090</v>
      </c>
      <c r="H846" s="10" t="n">
        <v>3</v>
      </c>
      <c r="I846" s="10">
        <f>IF(OR(D846="Uncategorised",E846=""),"Check","")</f>
        <v/>
      </c>
    </row>
    <row r="847">
      <c r="A847" s="10" t="inlineStr">
        <is>
          <t>Amex Oct-2025</t>
        </is>
      </c>
      <c r="B847" s="11" t="n">
        <v>45939</v>
      </c>
      <c r="C847" s="10" t="inlineStr">
        <is>
          <t>U BER TRIP HTTPS : //HELP.U B</t>
        </is>
      </c>
      <c r="D847" s="10">
        <f>IFERROR(INDEX('Review Items'!$D:$D,MATCH(C847,'Review Items'!$B:$B,0)),IFERROR(INDEX('Rule Updates'!$B:$B,MATCH(C847,'Rule Updates'!$A:$A,0)),"Uncategorised"))</f>
        <v/>
      </c>
      <c r="E847" s="10">
        <f>IFERROR(INDEX('Review Items'!$E:$E,MATCH(C847,'Review Items'!$B:$B,0)),IFERROR(INDEX('Rule Updates'!$C:$C,MATCH(C847,'Rule Updates'!$A:$A,0)),"Review"))</f>
        <v/>
      </c>
      <c r="F847" s="10" t="n"/>
      <c r="G847" s="12" t="n">
        <v>44.62</v>
      </c>
      <c r="H847" s="10" t="n">
        <v>3</v>
      </c>
      <c r="I847" s="10">
        <f>IF(OR(D847="Uncategorised",E847=""),"Check","")</f>
        <v/>
      </c>
    </row>
    <row r="848">
      <c r="A848" s="10" t="inlineStr">
        <is>
          <t>Amex Oct-2025</t>
        </is>
      </c>
      <c r="B848" s="11" t="n">
        <v>45940</v>
      </c>
      <c r="C848" s="10" t="inlineStr">
        <is>
          <t>AMA ZON PRIME * A Q 3 CG 5 IH 5 AMZ N.CO.UK/PM</t>
        </is>
      </c>
      <c r="D848" s="10">
        <f>IFERROR(INDEX('Review Items'!$D:$D,MATCH(C848,'Review Items'!$B:$B,0)),IFERROR(INDEX('Rule Updates'!$B:$B,MATCH(C848,'Rule Updates'!$A:$A,0)),"Uncategorised"))</f>
        <v/>
      </c>
      <c r="E848" s="10">
        <f>IFERROR(INDEX('Review Items'!$E:$E,MATCH(C848,'Review Items'!$B:$B,0)),IFERROR(INDEX('Rule Updates'!$C:$C,MATCH(C848,'Rule Updates'!$A:$A,0)),"Review"))</f>
        <v/>
      </c>
      <c r="F848" s="12" t="n">
        <v>8.99</v>
      </c>
      <c r="G848" s="12" t="n">
        <v>95.55</v>
      </c>
      <c r="H848" s="10" t="n">
        <v>3</v>
      </c>
      <c r="I848" s="10">
        <f>IF(OR(D848="Uncategorised",E848=""),"Check","")</f>
        <v/>
      </c>
    </row>
    <row r="849">
      <c r="A849" s="10" t="inlineStr">
        <is>
          <t>Amex Oct-2025</t>
        </is>
      </c>
      <c r="B849" s="11" t="n">
        <v>45940</v>
      </c>
      <c r="C849" s="10" t="inlineStr">
        <is>
          <t>KPAY * GALLERY TETE HONG HONG KONG</t>
        </is>
      </c>
      <c r="D849" s="10">
        <f>IFERROR(INDEX('Review Items'!$D:$D,MATCH(C849,'Review Items'!$B:$B,0)),IFERROR(INDEX('Rule Updates'!$B:$B,MATCH(C849,'Rule Updates'!$A:$A,0)),"Uncategorised"))</f>
        <v/>
      </c>
      <c r="E849" s="10">
        <f>IFERROR(INDEX('Review Items'!$E:$E,MATCH(C849,'Review Items'!$B:$B,0)),IFERROR(INDEX('Rule Updates'!$C:$C,MATCH(C849,'Rule Updates'!$A:$A,0)),"Review"))</f>
        <v/>
      </c>
      <c r="F849" s="10" t="n"/>
      <c r="G849" s="12" t="n">
        <v>20320</v>
      </c>
      <c r="H849" s="10" t="n">
        <v>3</v>
      </c>
      <c r="I849" s="10">
        <f>IF(OR(D849="Uncategorised",E849=""),"Check","")</f>
        <v/>
      </c>
    </row>
    <row r="850">
      <c r="A850" s="10" t="inlineStr">
        <is>
          <t>Amex Oct-2025</t>
        </is>
      </c>
      <c r="B850" s="11" t="n">
        <v>45940</v>
      </c>
      <c r="C850" s="10" t="inlineStr">
        <is>
          <t>KPAY * SC ROASTERY 000000 HONG KONG</t>
        </is>
      </c>
      <c r="D850" s="10">
        <f>IFERROR(INDEX('Review Items'!$D:$D,MATCH(C850,'Review Items'!$B:$B,0)),IFERROR(INDEX('Rule Updates'!$B:$B,MATCH(C850,'Rule Updates'!$A:$A,0)),"Uncategorised"))</f>
        <v/>
      </c>
      <c r="E850" s="10">
        <f>IFERROR(INDEX('Review Items'!$E:$E,MATCH(C850,'Review Items'!$B:$B,0)),IFERROR(INDEX('Rule Updates'!$C:$C,MATCH(C850,'Rule Updates'!$A:$A,0)),"Review"))</f>
        <v/>
      </c>
      <c r="F850" s="10" t="n"/>
      <c r="G850" s="12" t="n">
        <v>456</v>
      </c>
      <c r="H850" s="10" t="n">
        <v>3</v>
      </c>
      <c r="I850" s="10">
        <f>IF(OR(D850="Uncategorised",E850=""),"Check","")</f>
        <v/>
      </c>
    </row>
    <row r="851">
      <c r="A851" s="10" t="inlineStr">
        <is>
          <t>Amex Oct-2025</t>
        </is>
      </c>
      <c r="B851" s="11" t="n">
        <v>45943</v>
      </c>
      <c r="C851" s="10" t="inlineStr">
        <is>
          <t>RESERVEPS.COM EL SEGUNDO</t>
        </is>
      </c>
      <c r="D851" s="10">
        <f>IFERROR(INDEX('Review Items'!$D:$D,MATCH(C851,'Review Items'!$B:$B,0)),IFERROR(INDEX('Rule Updates'!$B:$B,MATCH(C851,'Rule Updates'!$A:$A,0)),"Uncategorised"))</f>
        <v/>
      </c>
      <c r="E851" s="10">
        <f>IFERROR(INDEX('Review Items'!$E:$E,MATCH(C851,'Review Items'!$B:$B,0)),IFERROR(INDEX('Rule Updates'!$C:$C,MATCH(C851,'Rule Updates'!$A:$A,0)),"Review"))</f>
        <v/>
      </c>
      <c r="F851" s="12" t="n">
        <v>995</v>
      </c>
      <c r="G851" s="12" t="n">
        <v>7898.97</v>
      </c>
      <c r="H851" s="10" t="n">
        <v>3</v>
      </c>
      <c r="I851" s="10">
        <f>IF(OR(D851="Uncategorised",E851=""),"Check","")</f>
        <v/>
      </c>
    </row>
    <row r="852">
      <c r="A852" s="10" t="inlineStr">
        <is>
          <t>Amex Oct-2025</t>
        </is>
      </c>
      <c r="B852" s="11" t="n">
        <v>45943</v>
      </c>
      <c r="C852" s="10" t="inlineStr">
        <is>
          <t>RESERVEPS.COM EL SEGUNDO</t>
        </is>
      </c>
      <c r="D852" s="10">
        <f>IFERROR(INDEX('Review Items'!$D:$D,MATCH(C852,'Review Items'!$B:$B,0)),IFERROR(INDEX('Rule Updates'!$B:$B,MATCH(C852,'Rule Updates'!$A:$A,0)),"Uncategorised"))</f>
        <v/>
      </c>
      <c r="E852" s="10">
        <f>IFERROR(INDEX('Review Items'!$E:$E,MATCH(C852,'Review Items'!$B:$B,0)),IFERROR(INDEX('Rule Updates'!$C:$C,MATCH(C852,'Rule Updates'!$A:$A,0)),"Review"))</f>
        <v/>
      </c>
      <c r="F852" s="12" t="n">
        <v>995</v>
      </c>
      <c r="G852" s="12" t="n">
        <v>7898.97</v>
      </c>
      <c r="H852" s="10" t="n">
        <v>3</v>
      </c>
      <c r="I852" s="10">
        <f>IF(OR(D852="Uncategorised",E852=""),"Check","")</f>
        <v/>
      </c>
    </row>
    <row r="853">
      <c r="A853" s="10" t="inlineStr">
        <is>
          <t>Amex Oct-2025</t>
        </is>
      </c>
      <c r="B853" s="11" t="n">
        <v>45943</v>
      </c>
      <c r="C853" s="10" t="inlineStr">
        <is>
          <t>SP IM 8 HEALTH CHARLOTTE</t>
        </is>
      </c>
      <c r="D853" s="10">
        <f>IFERROR(INDEX('Review Items'!$D:$D,MATCH(C853,'Review Items'!$B:$B,0)),IFERROR(INDEX('Rule Updates'!$B:$B,MATCH(C853,'Rule Updates'!$A:$A,0)),"Uncategorised"))</f>
        <v/>
      </c>
      <c r="E853" s="10">
        <f>IFERROR(INDEX('Review Items'!$E:$E,MATCH(C853,'Review Items'!$B:$B,0)),IFERROR(INDEX('Rule Updates'!$C:$C,MATCH(C853,'Rule Updates'!$A:$A,0)),"Review"))</f>
        <v/>
      </c>
      <c r="F853" s="10" t="n"/>
      <c r="G853" s="12" t="n">
        <v>911.1</v>
      </c>
      <c r="H853" s="10" t="n">
        <v>3</v>
      </c>
      <c r="I853" s="10">
        <f>IF(OR(D853="Uncategorised",E853=""),"Check","")</f>
        <v/>
      </c>
    </row>
    <row r="854">
      <c r="A854" s="10" t="inlineStr">
        <is>
          <t>Amex Oct-2025</t>
        </is>
      </c>
      <c r="B854" s="11" t="n">
        <v>45944</v>
      </c>
      <c r="C854" s="10" t="inlineStr">
        <is>
          <t>BURGUNDY ETC CENTRAL</t>
        </is>
      </c>
      <c r="D854" s="10">
        <f>IFERROR(INDEX('Review Items'!$D:$D,MATCH(C854,'Review Items'!$B:$B,0)),IFERROR(INDEX('Rule Updates'!$B:$B,MATCH(C854,'Rule Updates'!$A:$A,0)),"Uncategorised"))</f>
        <v/>
      </c>
      <c r="E854" s="10">
        <f>IFERROR(INDEX('Review Items'!$E:$E,MATCH(C854,'Review Items'!$B:$B,0)),IFERROR(INDEX('Rule Updates'!$C:$C,MATCH(C854,'Rule Updates'!$A:$A,0)),"Review"))</f>
        <v/>
      </c>
      <c r="F854" s="10" t="n"/>
      <c r="G854" s="12" t="n">
        <v>26474</v>
      </c>
      <c r="H854" s="10" t="n">
        <v>3</v>
      </c>
      <c r="I854" s="10">
        <f>IF(OR(D854="Uncategorised",E854=""),"Check","")</f>
        <v/>
      </c>
    </row>
    <row r="855">
      <c r="A855" s="10" t="inlineStr">
        <is>
          <t>Amex Oct-2025</t>
        </is>
      </c>
      <c r="B855" s="11" t="n">
        <v>45944</v>
      </c>
      <c r="C855" s="10" t="inlineStr">
        <is>
          <t>CLARINS LIMITED CENTRAL</t>
        </is>
      </c>
      <c r="D855" s="10">
        <f>IFERROR(INDEX('Review Items'!$D:$D,MATCH(C855,'Review Items'!$B:$B,0)),IFERROR(INDEX('Rule Updates'!$B:$B,MATCH(C855,'Rule Updates'!$A:$A,0)),"Uncategorised"))</f>
        <v/>
      </c>
      <c r="E855" s="10">
        <f>IFERROR(INDEX('Review Items'!$E:$E,MATCH(C855,'Review Items'!$B:$B,0)),IFERROR(INDEX('Rule Updates'!$C:$C,MATCH(C855,'Rule Updates'!$A:$A,0)),"Review"))</f>
        <v/>
      </c>
      <c r="F855" s="10" t="n"/>
      <c r="G855" s="12" t="n">
        <v>8260</v>
      </c>
      <c r="H855" s="10" t="n">
        <v>3</v>
      </c>
      <c r="I855" s="10">
        <f>IF(OR(D855="Uncategorised",E855=""),"Check","")</f>
        <v/>
      </c>
    </row>
    <row r="856">
      <c r="A856" s="10" t="inlineStr">
        <is>
          <t>Amex Oct-2025</t>
        </is>
      </c>
      <c r="B856" s="11" t="n">
        <v>45944</v>
      </c>
      <c r="C856" s="10" t="inlineStr">
        <is>
          <t>SP LOOKOPTIC LOS ANGELES</t>
        </is>
      </c>
      <c r="D856" s="10">
        <f>IFERROR(INDEX('Review Items'!$D:$D,MATCH(C856,'Review Items'!$B:$B,0)),IFERROR(INDEX('Rule Updates'!$B:$B,MATCH(C856,'Rule Updates'!$A:$A,0)),"Uncategorised"))</f>
        <v/>
      </c>
      <c r="E856" s="10">
        <f>IFERROR(INDEX('Review Items'!$E:$E,MATCH(C856,'Review Items'!$B:$B,0)),IFERROR(INDEX('Rule Updates'!$C:$C,MATCH(C856,'Rule Updates'!$A:$A,0)),"Review"))</f>
        <v/>
      </c>
      <c r="F856" s="12" t="n">
        <v>193.99</v>
      </c>
      <c r="G856" s="12" t="n">
        <v>1539.38</v>
      </c>
      <c r="H856" s="10" t="n">
        <v>3</v>
      </c>
      <c r="I856" s="10">
        <f>IF(OR(D856="Uncategorised",E856=""),"Check","")</f>
        <v/>
      </c>
    </row>
    <row r="857">
      <c r="A857" s="10" t="inlineStr">
        <is>
          <t>Amex Oct-2025</t>
        </is>
      </c>
      <c r="B857" s="11" t="n">
        <v>45945</v>
      </c>
      <c r="C857" s="10" t="inlineStr">
        <is>
          <t>THE NET-A-PORTER GROUP HONG KONG</t>
        </is>
      </c>
      <c r="D857" s="10">
        <f>IFERROR(INDEX('Review Items'!$D:$D,MATCH(C857,'Review Items'!$B:$B,0)),IFERROR(INDEX('Rule Updates'!$B:$B,MATCH(C857,'Rule Updates'!$A:$A,0)),"Uncategorised"))</f>
        <v/>
      </c>
      <c r="E857" s="10">
        <f>IFERROR(INDEX('Review Items'!$E:$E,MATCH(C857,'Review Items'!$B:$B,0)),IFERROR(INDEX('Rule Updates'!$C:$C,MATCH(C857,'Rule Updates'!$A:$A,0)),"Review"))</f>
        <v/>
      </c>
      <c r="F857" s="10" t="n"/>
      <c r="G857" s="12" t="n">
        <v>-19580</v>
      </c>
      <c r="H857" s="10" t="n">
        <v>3</v>
      </c>
      <c r="I857" s="10">
        <f>IF(OR(D857="Uncategorised",E857=""),"Check","")</f>
        <v/>
      </c>
    </row>
    <row r="858">
      <c r="A858" s="10" t="inlineStr">
        <is>
          <t>Amex Oct-2025</t>
        </is>
      </c>
      <c r="B858" s="11" t="n">
        <v>45945</v>
      </c>
      <c r="C858" s="10" t="inlineStr">
        <is>
          <t>THE NET-A-PORTER GROUP HONG KONG</t>
        </is>
      </c>
      <c r="D858" s="10">
        <f>IFERROR(INDEX('Review Items'!$D:$D,MATCH(C858,'Review Items'!$B:$B,0)),IFERROR(INDEX('Rule Updates'!$B:$B,MATCH(C858,'Rule Updates'!$A:$A,0)),"Uncategorised"))</f>
        <v/>
      </c>
      <c r="E858" s="10">
        <f>IFERROR(INDEX('Review Items'!$E:$E,MATCH(C858,'Review Items'!$B:$B,0)),IFERROR(INDEX('Rule Updates'!$C:$C,MATCH(C858,'Rule Updates'!$A:$A,0)),"Review"))</f>
        <v/>
      </c>
      <c r="F858" s="10" t="n"/>
      <c r="G858" s="12" t="n">
        <v>-5385</v>
      </c>
      <c r="H858" s="10" t="n">
        <v>4</v>
      </c>
      <c r="I858" s="10">
        <f>IF(OR(D858="Uncategorised",E858=""),"Check","")</f>
        <v/>
      </c>
    </row>
    <row r="859">
      <c r="A859" s="10" t="inlineStr">
        <is>
          <t>Amex Oct-2025</t>
        </is>
      </c>
      <c r="B859" s="11" t="n">
        <v>45945</v>
      </c>
      <c r="C859" s="10" t="inlineStr">
        <is>
          <t>U BER TRIP HTTPS : //HELP.U B</t>
        </is>
      </c>
      <c r="D859" s="10">
        <f>IFERROR(INDEX('Review Items'!$D:$D,MATCH(C859,'Review Items'!$B:$B,0)),IFERROR(INDEX('Rule Updates'!$B:$B,MATCH(C859,'Rule Updates'!$A:$A,0)),"Uncategorised"))</f>
        <v/>
      </c>
      <c r="E859" s="10">
        <f>IFERROR(INDEX('Review Items'!$E:$E,MATCH(C859,'Review Items'!$B:$B,0)),IFERROR(INDEX('Rule Updates'!$C:$C,MATCH(C859,'Rule Updates'!$A:$A,0)),"Review"))</f>
        <v/>
      </c>
      <c r="F859" s="12" t="n">
        <v>74.17</v>
      </c>
      <c r="G859" s="12" t="n">
        <v>588.38</v>
      </c>
      <c r="H859" s="10" t="n">
        <v>3</v>
      </c>
      <c r="I859" s="10">
        <f>IF(OR(D859="Uncategorised",E859=""),"Check","")</f>
        <v/>
      </c>
    </row>
    <row r="860">
      <c r="A860" s="10" t="inlineStr">
        <is>
          <t>Amex Oct-2025</t>
        </is>
      </c>
      <c r="B860" s="11" t="n">
        <v>45946</v>
      </c>
      <c r="C860" s="10" t="inlineStr">
        <is>
          <t>COS BAR BEVERLY HILLS</t>
        </is>
      </c>
      <c r="D860" s="10">
        <f>IFERROR(INDEX('Review Items'!$D:$D,MATCH(C860,'Review Items'!$B:$B,0)),IFERROR(INDEX('Rule Updates'!$B:$B,MATCH(C860,'Rule Updates'!$A:$A,0)),"Uncategorised"))</f>
        <v/>
      </c>
      <c r="E860" s="10">
        <f>IFERROR(INDEX('Review Items'!$E:$E,MATCH(C860,'Review Items'!$B:$B,0)),IFERROR(INDEX('Rule Updates'!$C:$C,MATCH(C860,'Rule Updates'!$A:$A,0)),"Review"))</f>
        <v/>
      </c>
      <c r="F860" s="12" t="n">
        <v>609.11</v>
      </c>
      <c r="G860" s="12" t="n">
        <v>4829.61</v>
      </c>
      <c r="H860" s="10" t="n">
        <v>4</v>
      </c>
      <c r="I860" s="10">
        <f>IF(OR(D860="Uncategorised",E860=""),"Check","")</f>
        <v/>
      </c>
    </row>
    <row r="861">
      <c r="A861" s="10" t="inlineStr">
        <is>
          <t>Amex Oct-2025</t>
        </is>
      </c>
      <c r="B861" s="11" t="n">
        <v>45946</v>
      </c>
      <c r="C861" s="10" t="inlineStr">
        <is>
          <t>RESERVEPS.COM EL SEGUNDO</t>
        </is>
      </c>
      <c r="D861" s="10">
        <f>IFERROR(INDEX('Review Items'!$D:$D,MATCH(C861,'Review Items'!$B:$B,0)),IFERROR(INDEX('Rule Updates'!$B:$B,MATCH(C861,'Rule Updates'!$A:$A,0)),"Uncategorised"))</f>
        <v/>
      </c>
      <c r="E861" s="10">
        <f>IFERROR(INDEX('Review Items'!$E:$E,MATCH(C861,'Review Items'!$B:$B,0)),IFERROR(INDEX('Rule Updates'!$C:$C,MATCH(C861,'Rule Updates'!$A:$A,0)),"Review"))</f>
        <v/>
      </c>
      <c r="F861" s="12" t="n">
        <v>4.2</v>
      </c>
      <c r="G861" s="12" t="n">
        <v>33.32</v>
      </c>
      <c r="H861" s="10" t="n">
        <v>4</v>
      </c>
      <c r="I861" s="10">
        <f>IF(OR(D861="Uncategorised",E861=""),"Check","")</f>
        <v/>
      </c>
    </row>
    <row r="862">
      <c r="A862" s="10" t="inlineStr">
        <is>
          <t>Amex Oct-2025</t>
        </is>
      </c>
      <c r="B862" s="11" t="n">
        <v>45946</v>
      </c>
      <c r="C862" s="10" t="inlineStr">
        <is>
          <t>SP FRANKIES BKINIS-LEAP CHICAGO</t>
        </is>
      </c>
      <c r="D862" s="10">
        <f>IFERROR(INDEX('Review Items'!$D:$D,MATCH(C862,'Review Items'!$B:$B,0)),IFERROR(INDEX('Rule Updates'!$B:$B,MATCH(C862,'Rule Updates'!$A:$A,0)),"Uncategorised"))</f>
        <v/>
      </c>
      <c r="E862" s="10">
        <f>IFERROR(INDEX('Review Items'!$E:$E,MATCH(C862,'Review Items'!$B:$B,0)),IFERROR(INDEX('Rule Updates'!$C:$C,MATCH(C862,'Rule Updates'!$A:$A,0)),"Review"))</f>
        <v/>
      </c>
      <c r="F862" s="12" t="n">
        <v>164.63</v>
      </c>
      <c r="G862" s="12" t="n">
        <v>1306.15</v>
      </c>
      <c r="H862" s="10" t="n">
        <v>4</v>
      </c>
      <c r="I862" s="10">
        <f>IF(OR(D862="Uncategorised",E862=""),"Check","")</f>
        <v/>
      </c>
    </row>
    <row r="863">
      <c r="A863" s="10" t="inlineStr">
        <is>
          <t>Amex Oct-2025</t>
        </is>
      </c>
      <c r="B863" s="11" t="n">
        <v>45946</v>
      </c>
      <c r="C863" s="10" t="inlineStr">
        <is>
          <t>SP HEIST LOS ANGELES</t>
        </is>
      </c>
      <c r="D863" s="10">
        <f>IFERROR(INDEX('Review Items'!$D:$D,MATCH(C863,'Review Items'!$B:$B,0)),IFERROR(INDEX('Rule Updates'!$B:$B,MATCH(C863,'Rule Updates'!$A:$A,0)),"Uncategorised"))</f>
        <v/>
      </c>
      <c r="E863" s="10">
        <f>IFERROR(INDEX('Review Items'!$E:$E,MATCH(C863,'Review Items'!$B:$B,0)),IFERROR(INDEX('Rule Updates'!$C:$C,MATCH(C863,'Rule Updates'!$A:$A,0)),"Review"))</f>
        <v/>
      </c>
      <c r="F863" s="12" t="n">
        <v>428.03</v>
      </c>
      <c r="G863" s="12" t="n">
        <v>3395.93</v>
      </c>
      <c r="H863" s="10" t="n">
        <v>4</v>
      </c>
      <c r="I863" s="10">
        <f>IF(OR(D863="Uncategorised",E863=""),"Check","")</f>
        <v/>
      </c>
    </row>
    <row r="864">
      <c r="A864" s="10" t="inlineStr">
        <is>
          <t>Amex Oct-2025</t>
        </is>
      </c>
      <c r="B864" s="11" t="n">
        <v>45946</v>
      </c>
      <c r="C864" s="10" t="inlineStr">
        <is>
          <t>THE NET-A-PORTER GROUP HONG KONG</t>
        </is>
      </c>
      <c r="D864" s="10">
        <f>IFERROR(INDEX('Review Items'!$D:$D,MATCH(C864,'Review Items'!$B:$B,0)),IFERROR(INDEX('Rule Updates'!$B:$B,MATCH(C864,'Rule Updates'!$A:$A,0)),"Uncategorised"))</f>
        <v/>
      </c>
      <c r="E864" s="10">
        <f>IFERROR(INDEX('Review Items'!$E:$E,MATCH(C864,'Review Items'!$B:$B,0)),IFERROR(INDEX('Rule Updates'!$C:$C,MATCH(C864,'Rule Updates'!$A:$A,0)),"Review"))</f>
        <v/>
      </c>
      <c r="F864" s="10" t="n"/>
      <c r="G864" s="12" t="n">
        <v>-64230</v>
      </c>
      <c r="H864" s="10" t="n">
        <v>4</v>
      </c>
      <c r="I864" s="10">
        <f>IF(OR(D864="Uncategorised",E864=""),"Check","")</f>
        <v/>
      </c>
    </row>
    <row r="865">
      <c r="A865" s="10" t="inlineStr">
        <is>
          <t>Amex Oct-2025</t>
        </is>
      </c>
      <c r="B865" s="11" t="n">
        <v>45946</v>
      </c>
      <c r="C865" s="10" t="inlineStr">
        <is>
          <t>U BER TRIP HTTPS : //HELP.U B</t>
        </is>
      </c>
      <c r="D865" s="10">
        <f>IFERROR(INDEX('Review Items'!$D:$D,MATCH(C865,'Review Items'!$B:$B,0)),IFERROR(INDEX('Rule Updates'!$B:$B,MATCH(C865,'Rule Updates'!$A:$A,0)),"Uncategorised"))</f>
        <v/>
      </c>
      <c r="E865" s="10">
        <f>IFERROR(INDEX('Review Items'!$E:$E,MATCH(C865,'Review Items'!$B:$B,0)),IFERROR(INDEX('Rule Updates'!$C:$C,MATCH(C865,'Rule Updates'!$A:$A,0)),"Review"))</f>
        <v/>
      </c>
      <c r="F865" s="12" t="n">
        <v>11.13</v>
      </c>
      <c r="G865" s="12" t="n">
        <v>88.25</v>
      </c>
      <c r="H865" s="10" t="n">
        <v>4</v>
      </c>
      <c r="I865" s="10">
        <f>IF(OR(D865="Uncategorised",E865=""),"Check","")</f>
        <v/>
      </c>
    </row>
    <row r="866">
      <c r="A866" s="10" t="inlineStr">
        <is>
          <t>Amex Oct-2025</t>
        </is>
      </c>
      <c r="B866" s="11" t="n">
        <v>45946</v>
      </c>
      <c r="C866" s="10" t="inlineStr">
        <is>
          <t>U BER TRIP HTTPS : //HELP.U B</t>
        </is>
      </c>
      <c r="D866" s="10">
        <f>IFERROR(INDEX('Review Items'!$D:$D,MATCH(C866,'Review Items'!$B:$B,0)),IFERROR(INDEX('Rule Updates'!$B:$B,MATCH(C866,'Rule Updates'!$A:$A,0)),"Uncategorised"))</f>
        <v/>
      </c>
      <c r="E866" s="10">
        <f>IFERROR(INDEX('Review Items'!$E:$E,MATCH(C866,'Review Items'!$B:$B,0)),IFERROR(INDEX('Rule Updates'!$C:$C,MATCH(C866,'Rule Updates'!$A:$A,0)),"Review"))</f>
        <v/>
      </c>
      <c r="F866" s="12" t="n">
        <v>61.88</v>
      </c>
      <c r="G866" s="12" t="n">
        <v>490.64</v>
      </c>
      <c r="H866" s="10" t="n">
        <v>4</v>
      </c>
      <c r="I866" s="10">
        <f>IF(OR(D866="Uncategorised",E866=""),"Check","")</f>
        <v/>
      </c>
    </row>
    <row r="867">
      <c r="A867" s="10" t="inlineStr">
        <is>
          <t>Amex Oct-2025</t>
        </is>
      </c>
      <c r="B867" s="11" t="n">
        <v>45946</v>
      </c>
      <c r="C867" s="10" t="inlineStr">
        <is>
          <t>VINCE LLC NE WYORK</t>
        </is>
      </c>
      <c r="D867" s="10">
        <f>IFERROR(INDEX('Review Items'!$D:$D,MATCH(C867,'Review Items'!$B:$B,0)),IFERROR(INDEX('Rule Updates'!$B:$B,MATCH(C867,'Rule Updates'!$A:$A,0)),"Uncategorised"))</f>
        <v/>
      </c>
      <c r="E867" s="10">
        <f>IFERROR(INDEX('Review Items'!$E:$E,MATCH(C867,'Review Items'!$B:$B,0)),IFERROR(INDEX('Rule Updates'!$C:$C,MATCH(C867,'Rule Updates'!$A:$A,0)),"Review"))</f>
        <v/>
      </c>
      <c r="F867" s="12" t="n">
        <v>2046.66</v>
      </c>
      <c r="G867" s="12" t="n">
        <v>16237.93</v>
      </c>
      <c r="H867" s="10" t="n">
        <v>4</v>
      </c>
      <c r="I867" s="10">
        <f>IF(OR(D867="Uncategorised",E867=""),"Check","")</f>
        <v/>
      </c>
    </row>
    <row r="868">
      <c r="A868" s="10" t="inlineStr">
        <is>
          <t>Amex Oct-2025</t>
        </is>
      </c>
      <c r="B868" s="11" t="n">
        <v>45947</v>
      </c>
      <c r="C868" s="10" t="inlineStr">
        <is>
          <t>TST * DESTROYER 00123951 CULVER CITY</t>
        </is>
      </c>
      <c r="D868" s="10">
        <f>IFERROR(INDEX('Review Items'!$D:$D,MATCH(C868,'Review Items'!$B:$B,0)),IFERROR(INDEX('Rule Updates'!$B:$B,MATCH(C868,'Rule Updates'!$A:$A,0)),"Uncategorised"))</f>
        <v/>
      </c>
      <c r="E868" s="10">
        <f>IFERROR(INDEX('Review Items'!$E:$E,MATCH(C868,'Review Items'!$B:$B,0)),IFERROR(INDEX('Rule Updates'!$C:$C,MATCH(C868,'Rule Updates'!$A:$A,0)),"Review"))</f>
        <v/>
      </c>
      <c r="F868" s="12" t="n">
        <v>150.43</v>
      </c>
      <c r="G868" s="12" t="n">
        <v>1192.23</v>
      </c>
      <c r="H868" s="10" t="n">
        <v>4</v>
      </c>
      <c r="I868" s="10">
        <f>IF(OR(D868="Uncategorised",E868=""),"Check","")</f>
        <v/>
      </c>
    </row>
    <row r="869">
      <c r="A869" s="10" t="inlineStr">
        <is>
          <t>Amex Oct-2025</t>
        </is>
      </c>
      <c r="B869" s="11" t="n">
        <v>45947</v>
      </c>
      <c r="C869" s="10" t="inlineStr">
        <is>
          <t>TST * DESTROYER 00123951 CULVER CITY</t>
        </is>
      </c>
      <c r="D869" s="10">
        <f>IFERROR(INDEX('Review Items'!$D:$D,MATCH(C869,'Review Items'!$B:$B,0)),IFERROR(INDEX('Rule Updates'!$B:$B,MATCH(C869,'Rule Updates'!$A:$A,0)),"Uncategorised"))</f>
        <v/>
      </c>
      <c r="E869" s="10">
        <f>IFERROR(INDEX('Review Items'!$E:$E,MATCH(C869,'Review Items'!$B:$B,0)),IFERROR(INDEX('Rule Updates'!$C:$C,MATCH(C869,'Rule Updates'!$A:$A,0)),"Review"))</f>
        <v/>
      </c>
      <c r="F869" s="12" t="n">
        <v>28.33</v>
      </c>
      <c r="G869" s="12" t="n">
        <v>224.53</v>
      </c>
      <c r="H869" s="10" t="n">
        <v>4</v>
      </c>
      <c r="I869" s="10">
        <f>IF(OR(D869="Uncategorised",E869=""),"Check","")</f>
        <v/>
      </c>
    </row>
    <row r="870">
      <c r="A870" s="10" t="inlineStr">
        <is>
          <t>Amex Oct-2025</t>
        </is>
      </c>
      <c r="B870" s="11" t="n">
        <v>45948</v>
      </c>
      <c r="C870" s="10" t="inlineStr">
        <is>
          <t>GELSON ' SMARKET # 34 000 LOS ANGELES</t>
        </is>
      </c>
      <c r="D870" s="10">
        <f>IFERROR(INDEX('Review Items'!$D:$D,MATCH(C870,'Review Items'!$B:$B,0)),IFERROR(INDEX('Rule Updates'!$B:$B,MATCH(C870,'Rule Updates'!$A:$A,0)),"Uncategorised"))</f>
        <v/>
      </c>
      <c r="E870" s="10">
        <f>IFERROR(INDEX('Review Items'!$E:$E,MATCH(C870,'Review Items'!$B:$B,0)),IFERROR(INDEX('Rule Updates'!$C:$C,MATCH(C870,'Rule Updates'!$A:$A,0)),"Review"))</f>
        <v/>
      </c>
      <c r="F870" s="12" t="n">
        <v>112.35</v>
      </c>
      <c r="G870" s="12" t="n">
        <v>890.42</v>
      </c>
      <c r="H870" s="10" t="n">
        <v>4</v>
      </c>
      <c r="I870" s="10">
        <f>IF(OR(D870="Uncategorised",E870=""),"Check","")</f>
        <v/>
      </c>
    </row>
    <row r="871">
      <c r="A871" s="10" t="inlineStr">
        <is>
          <t>Amex Oct-2025</t>
        </is>
      </c>
      <c r="B871" s="11" t="n">
        <v>45948</v>
      </c>
      <c r="C871" s="10" t="inlineStr">
        <is>
          <t>HUDSONNEW SST 1247 1247 CARSON</t>
        </is>
      </c>
      <c r="D871" s="10">
        <f>IFERROR(INDEX('Review Items'!$D:$D,MATCH(C871,'Review Items'!$B:$B,0)),IFERROR(INDEX('Rule Updates'!$B:$B,MATCH(C871,'Rule Updates'!$A:$A,0)),"Uncategorised"))</f>
        <v/>
      </c>
      <c r="E871" s="10">
        <f>IFERROR(INDEX('Review Items'!$E:$E,MATCH(C871,'Review Items'!$B:$B,0)),IFERROR(INDEX('Rule Updates'!$C:$C,MATCH(C871,'Rule Updates'!$A:$A,0)),"Review"))</f>
        <v/>
      </c>
      <c r="F871" s="12" t="n">
        <v>45.85</v>
      </c>
      <c r="G871" s="12" t="n">
        <v>363.38</v>
      </c>
      <c r="H871" s="10" t="n">
        <v>4</v>
      </c>
      <c r="I871" s="10">
        <f>IF(OR(D871="Uncategorised",E871=""),"Check","")</f>
        <v/>
      </c>
    </row>
    <row r="872">
      <c r="A872" s="10" t="inlineStr">
        <is>
          <t>Amex Oct-2025</t>
        </is>
      </c>
      <c r="B872" s="11" t="n">
        <v>45948</v>
      </c>
      <c r="C872" s="10" t="inlineStr">
        <is>
          <t>RAG &amp; BONE HOLDINGS , LL NE WYORK</t>
        </is>
      </c>
      <c r="D872" s="10">
        <f>IFERROR(INDEX('Review Items'!$D:$D,MATCH(C872,'Review Items'!$B:$B,0)),IFERROR(INDEX('Rule Updates'!$B:$B,MATCH(C872,'Rule Updates'!$A:$A,0)),"Uncategorised"))</f>
        <v/>
      </c>
      <c r="E872" s="10">
        <f>IFERROR(INDEX('Review Items'!$E:$E,MATCH(C872,'Review Items'!$B:$B,0)),IFERROR(INDEX('Rule Updates'!$C:$C,MATCH(C872,'Rule Updates'!$A:$A,0)),"Review"))</f>
        <v/>
      </c>
      <c r="F872" s="12" t="n">
        <v>755.8200000000001</v>
      </c>
      <c r="G872" s="12" t="n">
        <v>5990.25</v>
      </c>
      <c r="H872" s="10" t="n">
        <v>4</v>
      </c>
      <c r="I872" s="10">
        <f>IF(OR(D872="Uncategorised",E872=""),"Check","")</f>
        <v/>
      </c>
    </row>
    <row r="873">
      <c r="A873" s="10" t="inlineStr">
        <is>
          <t>Amex Oct-2025</t>
        </is>
      </c>
      <c r="B873" s="11" t="n">
        <v>45948</v>
      </c>
      <c r="C873" s="10" t="inlineStr">
        <is>
          <t>SP VIOLETGREYSTORE LOS ANGELES</t>
        </is>
      </c>
      <c r="D873" s="10">
        <f>IFERROR(INDEX('Review Items'!$D:$D,MATCH(C873,'Review Items'!$B:$B,0)),IFERROR(INDEX('Rule Updates'!$B:$B,MATCH(C873,'Rule Updates'!$A:$A,0)),"Uncategorised"))</f>
        <v/>
      </c>
      <c r="E873" s="10">
        <f>IFERROR(INDEX('Review Items'!$E:$E,MATCH(C873,'Review Items'!$B:$B,0)),IFERROR(INDEX('Rule Updates'!$C:$C,MATCH(C873,'Rule Updates'!$A:$A,0)),"Review"))</f>
        <v/>
      </c>
      <c r="F873" s="12" t="n">
        <v>642.05</v>
      </c>
      <c r="G873" s="12" t="n">
        <v>5088.56</v>
      </c>
      <c r="H873" s="10" t="n">
        <v>4</v>
      </c>
      <c r="I873" s="10">
        <f>IF(OR(D873="Uncategorised",E873=""),"Check","")</f>
        <v/>
      </c>
    </row>
    <row r="874">
      <c r="A874" s="10" t="inlineStr">
        <is>
          <t>Amex Oct-2025</t>
        </is>
      </c>
      <c r="B874" s="11" t="n">
        <v>45948</v>
      </c>
      <c r="C874" s="10" t="inlineStr">
        <is>
          <t>SPA.P.C. NE WYORK</t>
        </is>
      </c>
      <c r="D874" s="10">
        <f>IFERROR(INDEX('Review Items'!$D:$D,MATCH(C874,'Review Items'!$B:$B,0)),IFERROR(INDEX('Rule Updates'!$B:$B,MATCH(C874,'Rule Updates'!$A:$A,0)),"Uncategorised"))</f>
        <v/>
      </c>
      <c r="E874" s="10">
        <f>IFERROR(INDEX('Review Items'!$E:$E,MATCH(C874,'Review Items'!$B:$B,0)),IFERROR(INDEX('Rule Updates'!$C:$C,MATCH(C874,'Rule Updates'!$A:$A,0)),"Review"))</f>
        <v/>
      </c>
      <c r="F874" s="12" t="n">
        <v>910.9299999999999</v>
      </c>
      <c r="G874" s="12" t="n">
        <v>7219.58</v>
      </c>
      <c r="H874" s="10" t="n">
        <v>4</v>
      </c>
      <c r="I874" s="10">
        <f>IF(OR(D874="Uncategorised",E874=""),"Check","")</f>
        <v/>
      </c>
    </row>
    <row r="875">
      <c r="A875" s="10" t="inlineStr">
        <is>
          <t>Amex Oct-2025</t>
        </is>
      </c>
      <c r="B875" s="11" t="n">
        <v>45949</v>
      </c>
      <c r="C875" s="10" t="inlineStr">
        <is>
          <t>LS &amp; PARTNERS @ LA XLLC LOS ANGELES</t>
        </is>
      </c>
      <c r="D875" s="10">
        <f>IFERROR(INDEX('Review Items'!$D:$D,MATCH(C875,'Review Items'!$B:$B,0)),IFERROR(INDEX('Rule Updates'!$B:$B,MATCH(C875,'Rule Updates'!$A:$A,0)),"Uncategorised"))</f>
        <v/>
      </c>
      <c r="E875" s="10">
        <f>IFERROR(INDEX('Review Items'!$E:$E,MATCH(C875,'Review Items'!$B:$B,0)),IFERROR(INDEX('Rule Updates'!$C:$C,MATCH(C875,'Rule Updates'!$A:$A,0)),"Review"))</f>
        <v/>
      </c>
      <c r="F875" s="12" t="n">
        <v>7.89</v>
      </c>
      <c r="G875" s="12" t="n">
        <v>62.53</v>
      </c>
      <c r="H875" s="10" t="n">
        <v>4</v>
      </c>
      <c r="I875" s="10">
        <f>IF(OR(D875="Uncategorised",E875=""),"Check","")</f>
        <v/>
      </c>
    </row>
    <row r="876">
      <c r="A876" s="10" t="inlineStr">
        <is>
          <t>Amex Oct-2025</t>
        </is>
      </c>
      <c r="B876" s="11" t="n">
        <v>45951</v>
      </c>
      <c r="C876" s="10" t="inlineStr">
        <is>
          <t>GARMIN ( EUROPE ) LIMITED SOUTHAMPTON</t>
        </is>
      </c>
      <c r="D876" s="10">
        <f>IFERROR(INDEX('Review Items'!$D:$D,MATCH(C876,'Review Items'!$B:$B,0)),IFERROR(INDEX('Rule Updates'!$B:$B,MATCH(C876,'Rule Updates'!$A:$A,0)),"Uncategorised"))</f>
        <v/>
      </c>
      <c r="E876" s="10">
        <f>IFERROR(INDEX('Review Items'!$E:$E,MATCH(C876,'Review Items'!$B:$B,0)),IFERROR(INDEX('Rule Updates'!$C:$C,MATCH(C876,'Rule Updates'!$A:$A,0)),"Review"))</f>
        <v/>
      </c>
      <c r="F876" s="10" t="n"/>
      <c r="G876" s="12" t="n">
        <v>89</v>
      </c>
      <c r="H876" s="10" t="n">
        <v>5</v>
      </c>
      <c r="I876" s="10">
        <f>IF(OR(D876="Uncategorised",E876=""),"Check","")</f>
        <v/>
      </c>
    </row>
    <row r="877">
      <c r="A877" s="10" t="inlineStr">
        <is>
          <t>Amex Oct-2025</t>
        </is>
      </c>
      <c r="B877" s="11" t="n">
        <v>45952</v>
      </c>
      <c r="C877" s="10" t="inlineStr">
        <is>
          <t>PRIMO POSTO SHEUNG WAN</t>
        </is>
      </c>
      <c r="D877" s="10">
        <f>IFERROR(INDEX('Review Items'!$D:$D,MATCH(C877,'Review Items'!$B:$B,0)),IFERROR(INDEX('Rule Updates'!$B:$B,MATCH(C877,'Rule Updates'!$A:$A,0)),"Uncategorised"))</f>
        <v/>
      </c>
      <c r="E877" s="10">
        <f>IFERROR(INDEX('Review Items'!$E:$E,MATCH(C877,'Review Items'!$B:$B,0)),IFERROR(INDEX('Rule Updates'!$C:$C,MATCH(C877,'Rule Updates'!$A:$A,0)),"Review"))</f>
        <v/>
      </c>
      <c r="F877" s="10" t="n"/>
      <c r="G877" s="12" t="n">
        <v>1859</v>
      </c>
      <c r="H877" s="10" t="n">
        <v>6</v>
      </c>
      <c r="I877" s="10">
        <f>IF(OR(D877="Uncategorised",E877=""),"Check","")</f>
        <v/>
      </c>
    </row>
    <row r="878">
      <c r="A878" s="10" t="inlineStr">
        <is>
          <t>Amex Oct-2025</t>
        </is>
      </c>
      <c r="B878" s="11" t="n">
        <v>45952</v>
      </c>
      <c r="C878" s="10" t="inlineStr">
        <is>
          <t>RESERVEPS.COM EL SEGUNDO</t>
        </is>
      </c>
      <c r="D878" s="10">
        <f>IFERROR(INDEX('Review Items'!$D:$D,MATCH(C878,'Review Items'!$B:$B,0)),IFERROR(INDEX('Rule Updates'!$B:$B,MATCH(C878,'Rule Updates'!$A:$A,0)),"Uncategorised"))</f>
        <v/>
      </c>
      <c r="E878" s="10">
        <f>IFERROR(INDEX('Review Items'!$E:$E,MATCH(C878,'Review Items'!$B:$B,0)),IFERROR(INDEX('Rule Updates'!$C:$C,MATCH(C878,'Rule Updates'!$A:$A,0)),"Review"))</f>
        <v/>
      </c>
      <c r="F878" s="12" t="n">
        <v>995</v>
      </c>
      <c r="G878" s="12" t="n">
        <v>-7733.34</v>
      </c>
      <c r="H878" s="10" t="n">
        <v>5</v>
      </c>
      <c r="I878" s="10">
        <f>IF(OR(D878="Uncategorised",E878=""),"Check","")</f>
        <v/>
      </c>
    </row>
    <row r="879">
      <c r="A879" s="10" t="inlineStr">
        <is>
          <t>Amex Oct-2025</t>
        </is>
      </c>
      <c r="B879" s="11" t="n">
        <v>45954</v>
      </c>
      <c r="C879" s="10" t="inlineStr">
        <is>
          <t>COHIB ACIGAR DIVAN HONG KONG</t>
        </is>
      </c>
      <c r="D879" s="10">
        <f>IFERROR(INDEX('Review Items'!$D:$D,MATCH(C879,'Review Items'!$B:$B,0)),IFERROR(INDEX('Rule Updates'!$B:$B,MATCH(C879,'Rule Updates'!$A:$A,0)),"Uncategorised"))</f>
        <v/>
      </c>
      <c r="E879" s="10">
        <f>IFERROR(INDEX('Review Items'!$E:$E,MATCH(C879,'Review Items'!$B:$B,0)),IFERROR(INDEX('Rule Updates'!$C:$C,MATCH(C879,'Rule Updates'!$A:$A,0)),"Review"))</f>
        <v/>
      </c>
      <c r="F879" s="10" t="n"/>
      <c r="G879" s="12" t="n">
        <v>4768</v>
      </c>
      <c r="H879" s="10" t="n">
        <v>5</v>
      </c>
      <c r="I879" s="10">
        <f>IF(OR(D879="Uncategorised",E879=""),"Check","")</f>
        <v/>
      </c>
    </row>
    <row r="880">
      <c r="A880" s="10" t="inlineStr">
        <is>
          <t>Amex Oct-2025</t>
        </is>
      </c>
      <c r="B880" s="11" t="n">
        <v>45954</v>
      </c>
      <c r="C880" s="10" t="inlineStr">
        <is>
          <t>IL COLPO PACI FIC PLACE ADMIRALTY</t>
        </is>
      </c>
      <c r="D880" s="10">
        <f>IFERROR(INDEX('Review Items'!$D:$D,MATCH(C880,'Review Items'!$B:$B,0)),IFERROR(INDEX('Rule Updates'!$B:$B,MATCH(C880,'Rule Updates'!$A:$A,0)),"Uncategorised"))</f>
        <v/>
      </c>
      <c r="E880" s="10">
        <f>IFERROR(INDEX('Review Items'!$E:$E,MATCH(C880,'Review Items'!$B:$B,0)),IFERROR(INDEX('Rule Updates'!$C:$C,MATCH(C880,'Rule Updates'!$A:$A,0)),"Review"))</f>
        <v/>
      </c>
      <c r="F880" s="10" t="n"/>
      <c r="G880" s="12" t="n">
        <v>5760</v>
      </c>
      <c r="H880" s="10" t="n">
        <v>5</v>
      </c>
      <c r="I880" s="10">
        <f>IF(OR(D880="Uncategorised",E880=""),"Check","")</f>
        <v/>
      </c>
    </row>
    <row r="881">
      <c r="A881" s="10" t="inlineStr">
        <is>
          <t>Amex Oct-2025</t>
        </is>
      </c>
      <c r="B881" s="11" t="n">
        <v>45954</v>
      </c>
      <c r="C881" s="10" t="inlineStr">
        <is>
          <t>WAI KEEJ E WELLERS LTD CENTRAL</t>
        </is>
      </c>
      <c r="D881" s="10">
        <f>IFERROR(INDEX('Review Items'!$D:$D,MATCH(C881,'Review Items'!$B:$B,0)),IFERROR(INDEX('Rule Updates'!$B:$B,MATCH(C881,'Rule Updates'!$A:$A,0)),"Uncategorised"))</f>
        <v/>
      </c>
      <c r="E881" s="10">
        <f>IFERROR(INDEX('Review Items'!$E:$E,MATCH(C881,'Review Items'!$B:$B,0)),IFERROR(INDEX('Rule Updates'!$C:$C,MATCH(C881,'Rule Updates'!$A:$A,0)),"Review"))</f>
        <v/>
      </c>
      <c r="F881" s="10" t="n"/>
      <c r="G881" s="12" t="n">
        <v>900</v>
      </c>
      <c r="H881" s="10" t="n">
        <v>5</v>
      </c>
      <c r="I881" s="10">
        <f>IF(OR(D881="Uncategorised",E881=""),"Check","")</f>
        <v/>
      </c>
    </row>
    <row r="882">
      <c r="A882" s="10" t="inlineStr">
        <is>
          <t>Amex Oct-2025</t>
        </is>
      </c>
      <c r="B882" s="11" t="n">
        <v>45954</v>
      </c>
      <c r="C882" s="10" t="inlineStr">
        <is>
          <t>WHALE CLU BHK</t>
        </is>
      </c>
      <c r="D882" s="10">
        <f>IFERROR(INDEX('Review Items'!$D:$D,MATCH(C882,'Review Items'!$B:$B,0)),IFERROR(INDEX('Rule Updates'!$B:$B,MATCH(C882,'Rule Updates'!$A:$A,0)),"Uncategorised"))</f>
        <v/>
      </c>
      <c r="E882" s="10">
        <f>IFERROR(INDEX('Review Items'!$E:$E,MATCH(C882,'Review Items'!$B:$B,0)),IFERROR(INDEX('Rule Updates'!$C:$C,MATCH(C882,'Rule Updates'!$A:$A,0)),"Review"))</f>
        <v/>
      </c>
      <c r="F882" s="10" t="n"/>
      <c r="G882" s="12" t="n">
        <v>6398</v>
      </c>
      <c r="H882" s="10" t="n">
        <v>5</v>
      </c>
      <c r="I882" s="10">
        <f>IF(OR(D882="Uncategorised",E882=""),"Check","")</f>
        <v/>
      </c>
    </row>
    <row r="883">
      <c r="A883" s="10" t="inlineStr">
        <is>
          <t>Amex Oct-2025</t>
        </is>
      </c>
      <c r="B883" s="11" t="n">
        <v>45954</v>
      </c>
      <c r="C883" s="10" t="inlineStr">
        <is>
          <t>WHALE CLU BHK</t>
        </is>
      </c>
      <c r="D883" s="10">
        <f>IFERROR(INDEX('Review Items'!$D:$D,MATCH(C883,'Review Items'!$B:$B,0)),IFERROR(INDEX('Rule Updates'!$B:$B,MATCH(C883,'Rule Updates'!$A:$A,0)),"Uncategorised"))</f>
        <v/>
      </c>
      <c r="E883" s="10">
        <f>IFERROR(INDEX('Review Items'!$E:$E,MATCH(C883,'Review Items'!$B:$B,0)),IFERROR(INDEX('Rule Updates'!$C:$C,MATCH(C883,'Rule Updates'!$A:$A,0)),"Review"))</f>
        <v/>
      </c>
      <c r="F883" s="10" t="n"/>
      <c r="G883" s="12" t="n">
        <v>1039</v>
      </c>
      <c r="H883" s="10" t="n">
        <v>5</v>
      </c>
      <c r="I883" s="10">
        <f>IF(OR(D883="Uncategorised",E883=""),"Check","")</f>
        <v/>
      </c>
    </row>
    <row r="884">
      <c r="A884" s="10" t="inlineStr">
        <is>
          <t>Amex Oct-2025</t>
        </is>
      </c>
      <c r="B884" s="11" t="n">
        <v>45955</v>
      </c>
      <c r="C884" s="10" t="inlineStr">
        <is>
          <t>FAR FETCH LONDON</t>
        </is>
      </c>
      <c r="D884" s="10">
        <f>IFERROR(INDEX('Review Items'!$D:$D,MATCH(C884,'Review Items'!$B:$B,0)),IFERROR(INDEX('Rule Updates'!$B:$B,MATCH(C884,'Rule Updates'!$A:$A,0)),"Uncategorised"))</f>
        <v/>
      </c>
      <c r="E884" s="10">
        <f>IFERROR(INDEX('Review Items'!$E:$E,MATCH(C884,'Review Items'!$B:$B,0)),IFERROR(INDEX('Rule Updates'!$C:$C,MATCH(C884,'Rule Updates'!$A:$A,0)),"Review"))</f>
        <v/>
      </c>
      <c r="F884" s="10" t="n"/>
      <c r="G884" s="12" t="n">
        <v>87990.55</v>
      </c>
      <c r="H884" s="10" t="n">
        <v>5</v>
      </c>
      <c r="I884" s="10">
        <f>IF(OR(D884="Uncategorised",E884=""),"Check","")</f>
        <v/>
      </c>
    </row>
    <row r="885">
      <c r="A885" s="10" t="inlineStr">
        <is>
          <t>Amex Oct-2025</t>
        </is>
      </c>
      <c r="B885" s="11" t="n">
        <v>45955</v>
      </c>
      <c r="C885" s="10" t="inlineStr">
        <is>
          <t>THE NET-A-PORTER GROUP HONG KONG</t>
        </is>
      </c>
      <c r="D885" s="10">
        <f>IFERROR(INDEX('Review Items'!$D:$D,MATCH(C885,'Review Items'!$B:$B,0)),IFERROR(INDEX('Rule Updates'!$B:$B,MATCH(C885,'Rule Updates'!$A:$A,0)),"Uncategorised"))</f>
        <v/>
      </c>
      <c r="E885" s="10">
        <f>IFERROR(INDEX('Review Items'!$E:$E,MATCH(C885,'Review Items'!$B:$B,0)),IFERROR(INDEX('Rule Updates'!$C:$C,MATCH(C885,'Rule Updates'!$A:$A,0)),"Review"))</f>
        <v/>
      </c>
      <c r="F885" s="10" t="n"/>
      <c r="G885" s="12" t="n">
        <v>65074</v>
      </c>
      <c r="H885" s="10" t="n">
        <v>5</v>
      </c>
      <c r="I885" s="10">
        <f>IF(OR(D885="Uncategorised",E885=""),"Check","")</f>
        <v/>
      </c>
    </row>
    <row r="886">
      <c r="A886" s="10" t="inlineStr">
        <is>
          <t>Amex Nov-2025</t>
        </is>
      </c>
      <c r="B886" s="11" t="n">
        <v>45957</v>
      </c>
      <c r="C886" s="10" t="inlineStr">
        <is>
          <t>FOUR SEASONS RESORT LOS LOS CA BOS</t>
        </is>
      </c>
      <c r="D886" s="10">
        <f>IFERROR(INDEX('Review Items'!$D:$D,MATCH(C886,'Review Items'!$B:$B,0)),IFERROR(INDEX('Rule Updates'!$B:$B,MATCH(C886,'Rule Updates'!$A:$A,0)),"Uncategorised"))</f>
        <v/>
      </c>
      <c r="E886" s="10">
        <f>IFERROR(INDEX('Review Items'!$E:$E,MATCH(C886,'Review Items'!$B:$B,0)),IFERROR(INDEX('Rule Updates'!$C:$C,MATCH(C886,'Rule Updates'!$A:$A,0)),"Review"))</f>
        <v/>
      </c>
      <c r="F886" s="12" t="n">
        <v>28566.06</v>
      </c>
      <c r="G886" s="12" t="n">
        <v>12331.04</v>
      </c>
      <c r="H886" s="10" t="n">
        <v>1</v>
      </c>
      <c r="I886" s="10">
        <f>IF(OR(D886="Uncategorised",E886=""),"Check","")</f>
        <v/>
      </c>
    </row>
    <row r="887">
      <c r="A887" s="10" t="inlineStr">
        <is>
          <t>Amex Nov-2025</t>
        </is>
      </c>
      <c r="B887" s="11" t="n">
        <v>45958</v>
      </c>
      <c r="C887" s="10" t="inlineStr">
        <is>
          <t>CATHAY PACI FIC AIR WAYS SAN FRANCISCO</t>
        </is>
      </c>
      <c r="D887" s="10">
        <f>IFERROR(INDEX('Review Items'!$D:$D,MATCH(C887,'Review Items'!$B:$B,0)),IFERROR(INDEX('Rule Updates'!$B:$B,MATCH(C887,'Rule Updates'!$A:$A,0)),"Uncategorised"))</f>
        <v/>
      </c>
      <c r="E887" s="10">
        <f>IFERROR(INDEX('Review Items'!$E:$E,MATCH(C887,'Review Items'!$B:$B,0)),IFERROR(INDEX('Rule Updates'!$C:$C,MATCH(C887,'Rule Updates'!$A:$A,0)),"Review"))</f>
        <v/>
      </c>
      <c r="F887" s="12" t="n">
        <v>3500</v>
      </c>
      <c r="G887" s="12" t="n">
        <v>27733.9</v>
      </c>
      <c r="H887" s="10" t="n">
        <v>1</v>
      </c>
      <c r="I887" s="10">
        <f>IF(OR(D887="Uncategorised",E887=""),"Check","")</f>
        <v/>
      </c>
    </row>
    <row r="888">
      <c r="A888" s="10" t="inlineStr">
        <is>
          <t>Amex Nov-2025</t>
        </is>
      </c>
      <c r="B888" s="11" t="n">
        <v>45958</v>
      </c>
      <c r="C888" s="10" t="inlineStr">
        <is>
          <t>GLO BAL-E * BSIDES JEANS LONDON</t>
        </is>
      </c>
      <c r="D888" s="10">
        <f>IFERROR(INDEX('Review Items'!$D:$D,MATCH(C888,'Review Items'!$B:$B,0)),IFERROR(INDEX('Rule Updates'!$B:$B,MATCH(C888,'Rule Updates'!$A:$A,0)),"Uncategorised"))</f>
        <v/>
      </c>
      <c r="E888" s="10">
        <f>IFERROR(INDEX('Review Items'!$E:$E,MATCH(C888,'Review Items'!$B:$B,0)),IFERROR(INDEX('Rule Updates'!$C:$C,MATCH(C888,'Rule Updates'!$A:$A,0)),"Review"))</f>
        <v/>
      </c>
      <c r="F888" s="10" t="n"/>
      <c r="G888" s="12" t="n">
        <v>8277</v>
      </c>
      <c r="H888" s="10" t="n">
        <v>1</v>
      </c>
      <c r="I888" s="10">
        <f>IF(OR(D888="Uncategorised",E888=""),"Check","")</f>
        <v/>
      </c>
    </row>
    <row r="889">
      <c r="A889" s="10" t="inlineStr">
        <is>
          <t>Amex Nov-2025</t>
        </is>
      </c>
      <c r="B889" s="11" t="n">
        <v>45958</v>
      </c>
      <c r="C889" s="10" t="inlineStr">
        <is>
          <t>THE NET-A-PORTER GROUP HONG KONG</t>
        </is>
      </c>
      <c r="D889" s="10">
        <f>IFERROR(INDEX('Review Items'!$D:$D,MATCH(C889,'Review Items'!$B:$B,0)),IFERROR(INDEX('Rule Updates'!$B:$B,MATCH(C889,'Rule Updates'!$A:$A,0)),"Uncategorised"))</f>
        <v/>
      </c>
      <c r="E889" s="10">
        <f>IFERROR(INDEX('Review Items'!$E:$E,MATCH(C889,'Review Items'!$B:$B,0)),IFERROR(INDEX('Rule Updates'!$C:$C,MATCH(C889,'Rule Updates'!$A:$A,0)),"Review"))</f>
        <v/>
      </c>
      <c r="F889" s="10" t="n"/>
      <c r="G889" s="12" t="n">
        <v>60390</v>
      </c>
      <c r="H889" s="10" t="n">
        <v>1</v>
      </c>
      <c r="I889" s="10">
        <f>IF(OR(D889="Uncategorised",E889=""),"Check","")</f>
        <v/>
      </c>
    </row>
    <row r="890">
      <c r="A890" s="10" t="inlineStr">
        <is>
          <t>Amex Nov-2025</t>
        </is>
      </c>
      <c r="B890" s="11" t="n">
        <v>45958</v>
      </c>
      <c r="C890" s="10" t="inlineStr">
        <is>
          <t>THE NET-A-PORTER GROUP HONG KONG</t>
        </is>
      </c>
      <c r="D890" s="10">
        <f>IFERROR(INDEX('Review Items'!$D:$D,MATCH(C890,'Review Items'!$B:$B,0)),IFERROR(INDEX('Rule Updates'!$B:$B,MATCH(C890,'Rule Updates'!$A:$A,0)),"Uncategorised"))</f>
        <v/>
      </c>
      <c r="E890" s="10">
        <f>IFERROR(INDEX('Review Items'!$E:$E,MATCH(C890,'Review Items'!$B:$B,0)),IFERROR(INDEX('Rule Updates'!$C:$C,MATCH(C890,'Rule Updates'!$A:$A,0)),"Review"))</f>
        <v/>
      </c>
      <c r="F890" s="10" t="n"/>
      <c r="G890" s="12" t="n">
        <v>54154</v>
      </c>
      <c r="H890" s="10" t="n">
        <v>1</v>
      </c>
      <c r="I890" s="10">
        <f>IF(OR(D890="Uncategorised",E890=""),"Check","")</f>
        <v/>
      </c>
    </row>
    <row r="891">
      <c r="A891" s="10" t="inlineStr">
        <is>
          <t>Amex Nov-2025</t>
        </is>
      </c>
      <c r="B891" s="11" t="n">
        <v>45958</v>
      </c>
      <c r="C891" s="10" t="inlineStr">
        <is>
          <t>UNI QLO - HK 2045 TAIKOO SHING</t>
        </is>
      </c>
      <c r="D891" s="10">
        <f>IFERROR(INDEX('Review Items'!$D:$D,MATCH(C891,'Review Items'!$B:$B,0)),IFERROR(INDEX('Rule Updates'!$B:$B,MATCH(C891,'Rule Updates'!$A:$A,0)),"Uncategorised"))</f>
        <v/>
      </c>
      <c r="E891" s="10">
        <f>IFERROR(INDEX('Review Items'!$E:$E,MATCH(C891,'Review Items'!$B:$B,0)),IFERROR(INDEX('Rule Updates'!$C:$C,MATCH(C891,'Rule Updates'!$A:$A,0)),"Review"))</f>
        <v/>
      </c>
      <c r="F891" s="10" t="n"/>
      <c r="G891" s="12" t="n">
        <v>2572</v>
      </c>
      <c r="H891" s="10" t="n">
        <v>1</v>
      </c>
      <c r="I891" s="10">
        <f>IF(OR(D891="Uncategorised",E891=""),"Check","")</f>
        <v/>
      </c>
    </row>
    <row r="892">
      <c r="A892" s="10" t="inlineStr">
        <is>
          <t>Amex Nov-2025</t>
        </is>
      </c>
      <c r="B892" s="11" t="n">
        <v>45958</v>
      </c>
      <c r="C892" s="10" t="inlineStr">
        <is>
          <t>WHALE CLU BHK</t>
        </is>
      </c>
      <c r="D892" s="10">
        <f>IFERROR(INDEX('Review Items'!$D:$D,MATCH(C892,'Review Items'!$B:$B,0)),IFERROR(INDEX('Rule Updates'!$B:$B,MATCH(C892,'Rule Updates'!$A:$A,0)),"Uncategorised"))</f>
        <v/>
      </c>
      <c r="E892" s="10">
        <f>IFERROR(INDEX('Review Items'!$E:$E,MATCH(C892,'Review Items'!$B:$B,0)),IFERROR(INDEX('Rule Updates'!$C:$C,MATCH(C892,'Rule Updates'!$A:$A,0)),"Review"))</f>
        <v/>
      </c>
      <c r="F892" s="10" t="n"/>
      <c r="G892" s="12" t="n">
        <v>964</v>
      </c>
      <c r="H892" s="10" t="n">
        <v>1</v>
      </c>
      <c r="I892" s="10">
        <f>IF(OR(D892="Uncategorised",E892=""),"Check","")</f>
        <v/>
      </c>
    </row>
    <row r="893">
      <c r="A893" s="10" t="inlineStr">
        <is>
          <t>Amex Nov-2025</t>
        </is>
      </c>
      <c r="B893" s="11" t="n">
        <v>45960</v>
      </c>
      <c r="C893" s="10" t="inlineStr">
        <is>
          <t>FAR FETCH LONDON</t>
        </is>
      </c>
      <c r="D893" s="10">
        <f>IFERROR(INDEX('Review Items'!$D:$D,MATCH(C893,'Review Items'!$B:$B,0)),IFERROR(INDEX('Rule Updates'!$B:$B,MATCH(C893,'Rule Updates'!$A:$A,0)),"Uncategorised"))</f>
        <v/>
      </c>
      <c r="E893" s="10">
        <f>IFERROR(INDEX('Review Items'!$E:$E,MATCH(C893,'Review Items'!$B:$B,0)),IFERROR(INDEX('Rule Updates'!$C:$C,MATCH(C893,'Rule Updates'!$A:$A,0)),"Review"))</f>
        <v/>
      </c>
      <c r="F893" s="10" t="n"/>
      <c r="G893" s="12" t="n">
        <v>50533.25</v>
      </c>
      <c r="H893" s="10" t="n">
        <v>2</v>
      </c>
      <c r="I893" s="10">
        <f>IF(OR(D893="Uncategorised",E893=""),"Check","")</f>
        <v/>
      </c>
    </row>
    <row r="894">
      <c r="A894" s="10" t="inlineStr">
        <is>
          <t>Amex Nov-2025</t>
        </is>
      </c>
      <c r="B894" s="11" t="n">
        <v>45960</v>
      </c>
      <c r="C894" s="10" t="inlineStr">
        <is>
          <t>MYTHERESA APAC SERVICES ISLANDS</t>
        </is>
      </c>
      <c r="D894" s="10">
        <f>IFERROR(INDEX('Review Items'!$D:$D,MATCH(C894,'Review Items'!$B:$B,0)),IFERROR(INDEX('Rule Updates'!$B:$B,MATCH(C894,'Rule Updates'!$A:$A,0)),"Uncategorised"))</f>
        <v/>
      </c>
      <c r="E894" s="10">
        <f>IFERROR(INDEX('Review Items'!$E:$E,MATCH(C894,'Review Items'!$B:$B,0)),IFERROR(INDEX('Rule Updates'!$C:$C,MATCH(C894,'Rule Updates'!$A:$A,0)),"Review"))</f>
        <v/>
      </c>
      <c r="F894" s="10" t="n"/>
      <c r="G894" s="12" t="n">
        <v>8740</v>
      </c>
      <c r="H894" s="10" t="n">
        <v>2</v>
      </c>
      <c r="I894" s="10">
        <f>IF(OR(D894="Uncategorised",E894=""),"Check","")</f>
        <v/>
      </c>
    </row>
    <row r="895">
      <c r="A895" s="10" t="inlineStr">
        <is>
          <t>Amex Nov-2025</t>
        </is>
      </c>
      <c r="B895" s="11" t="n">
        <v>45960</v>
      </c>
      <c r="C895" s="10" t="inlineStr">
        <is>
          <t>SALOMON CAUSE WAY BAY</t>
        </is>
      </c>
      <c r="D895" s="10">
        <f>IFERROR(INDEX('Review Items'!$D:$D,MATCH(C895,'Review Items'!$B:$B,0)),IFERROR(INDEX('Rule Updates'!$B:$B,MATCH(C895,'Rule Updates'!$A:$A,0)),"Uncategorised"))</f>
        <v/>
      </c>
      <c r="E895" s="10">
        <f>IFERROR(INDEX('Review Items'!$E:$E,MATCH(C895,'Review Items'!$B:$B,0)),IFERROR(INDEX('Rule Updates'!$C:$C,MATCH(C895,'Rule Updates'!$A:$A,0)),"Review"))</f>
        <v/>
      </c>
      <c r="F895" s="10" t="n"/>
      <c r="G895" s="12" t="n">
        <v>10058</v>
      </c>
      <c r="H895" s="10" t="n">
        <v>2</v>
      </c>
      <c r="I895" s="10">
        <f>IF(OR(D895="Uncategorised",E895=""),"Check","")</f>
        <v/>
      </c>
    </row>
    <row r="896">
      <c r="A896" s="10" t="inlineStr">
        <is>
          <t>Amex Nov-2025</t>
        </is>
      </c>
      <c r="B896" s="11" t="n">
        <v>45960</v>
      </c>
      <c r="C896" s="10" t="inlineStr">
        <is>
          <t>SUIT SUPPLY HK NHH LIMI HONG KONG</t>
        </is>
      </c>
      <c r="D896" s="10">
        <f>IFERROR(INDEX('Review Items'!$D:$D,MATCH(C896,'Review Items'!$B:$B,0)),IFERROR(INDEX('Rule Updates'!$B:$B,MATCH(C896,'Rule Updates'!$A:$A,0)),"Uncategorised"))</f>
        <v/>
      </c>
      <c r="E896" s="10">
        <f>IFERROR(INDEX('Review Items'!$E:$E,MATCH(C896,'Review Items'!$B:$B,0)),IFERROR(INDEX('Rule Updates'!$C:$C,MATCH(C896,'Rule Updates'!$A:$A,0)),"Review"))</f>
        <v/>
      </c>
      <c r="F896" s="10" t="n"/>
      <c r="G896" s="12" t="n">
        <v>5998</v>
      </c>
      <c r="H896" s="10" t="n">
        <v>8</v>
      </c>
      <c r="I896" s="10">
        <f>IF(OR(D896="Uncategorised",E896=""),"Check","")</f>
        <v/>
      </c>
    </row>
    <row r="897">
      <c r="A897" s="10" t="inlineStr">
        <is>
          <t>Amex Nov-2025</t>
        </is>
      </c>
      <c r="B897" s="11" t="n">
        <v>45960</v>
      </c>
      <c r="C897" s="10" t="inlineStr">
        <is>
          <t>SUIT SUPPLY HK NHH LIMI HONG KONG</t>
        </is>
      </c>
      <c r="D897" s="10">
        <f>IFERROR(INDEX('Review Items'!$D:$D,MATCH(C897,'Review Items'!$B:$B,0)),IFERROR(INDEX('Rule Updates'!$B:$B,MATCH(C897,'Rule Updates'!$A:$A,0)),"Uncategorised"))</f>
        <v/>
      </c>
      <c r="E897" s="10">
        <f>IFERROR(INDEX('Review Items'!$E:$E,MATCH(C897,'Review Items'!$B:$B,0)),IFERROR(INDEX('Rule Updates'!$C:$C,MATCH(C897,'Rule Updates'!$A:$A,0)),"Review"))</f>
        <v/>
      </c>
      <c r="F897" s="10" t="n"/>
      <c r="G897" s="12" t="n">
        <v>5998</v>
      </c>
      <c r="H897" s="10" t="n">
        <v>8</v>
      </c>
      <c r="I897" s="10">
        <f>IF(OR(D897="Uncategorised",E897=""),"Check","")</f>
        <v/>
      </c>
    </row>
    <row r="898">
      <c r="A898" s="10" t="inlineStr">
        <is>
          <t>Amex Nov-2025</t>
        </is>
      </c>
      <c r="B898" s="11" t="n">
        <v>45961</v>
      </c>
      <c r="C898" s="10" t="inlineStr">
        <is>
          <t>GLO BALE LONDON</t>
        </is>
      </c>
      <c r="D898" s="10">
        <f>IFERROR(INDEX('Review Items'!$D:$D,MATCH(C898,'Review Items'!$B:$B,0)),IFERROR(INDEX('Rule Updates'!$B:$B,MATCH(C898,'Rule Updates'!$A:$A,0)),"Uncategorised"))</f>
        <v/>
      </c>
      <c r="E898" s="10">
        <f>IFERROR(INDEX('Review Items'!$E:$E,MATCH(C898,'Review Items'!$B:$B,0)),IFERROR(INDEX('Rule Updates'!$C:$C,MATCH(C898,'Rule Updates'!$A:$A,0)),"Review"))</f>
        <v/>
      </c>
      <c r="F898" s="10" t="n"/>
      <c r="G898" s="12" t="n">
        <v>4740</v>
      </c>
      <c r="H898" s="10" t="n">
        <v>2</v>
      </c>
      <c r="I898" s="10">
        <f>IF(OR(D898="Uncategorised",E898=""),"Check","")</f>
        <v/>
      </c>
    </row>
    <row r="899">
      <c r="A899" s="10" t="inlineStr">
        <is>
          <t>Amex Nov-2025</t>
        </is>
      </c>
      <c r="B899" s="11" t="n">
        <v>45961</v>
      </c>
      <c r="C899" s="10" t="inlineStr">
        <is>
          <t>LANE CRAW FORD ( CANTON RTSIM SHA TSUI</t>
        </is>
      </c>
      <c r="D899" s="10">
        <f>IFERROR(INDEX('Review Items'!$D:$D,MATCH(C899,'Review Items'!$B:$B,0)),IFERROR(INDEX('Rule Updates'!$B:$B,MATCH(C899,'Rule Updates'!$A:$A,0)),"Uncategorised"))</f>
        <v/>
      </c>
      <c r="E899" s="10">
        <f>IFERROR(INDEX('Review Items'!$E:$E,MATCH(C899,'Review Items'!$B:$B,0)),IFERROR(INDEX('Rule Updates'!$C:$C,MATCH(C899,'Rule Updates'!$A:$A,0)),"Review"))</f>
        <v/>
      </c>
      <c r="F899" s="10" t="n"/>
      <c r="G899" s="12" t="n">
        <v>3480</v>
      </c>
      <c r="H899" s="10" t="n">
        <v>2</v>
      </c>
      <c r="I899" s="10">
        <f>IF(OR(D899="Uncategorised",E899=""),"Check","")</f>
        <v/>
      </c>
    </row>
    <row r="900">
      <c r="A900" s="10" t="inlineStr">
        <is>
          <t>Amex Nov-2025</t>
        </is>
      </c>
      <c r="B900" s="11" t="n">
        <v>45962</v>
      </c>
      <c r="C900" s="10" t="inlineStr">
        <is>
          <t>ASIA MILES LIMITED HONG KONG</t>
        </is>
      </c>
      <c r="D900" s="10">
        <f>IFERROR(INDEX('Review Items'!$D:$D,MATCH(C900,'Review Items'!$B:$B,0)),IFERROR(INDEX('Rule Updates'!$B:$B,MATCH(C900,'Rule Updates'!$A:$A,0)),"Uncategorised"))</f>
        <v/>
      </c>
      <c r="E900" s="10">
        <f>IFERROR(INDEX('Review Items'!$E:$E,MATCH(C900,'Review Items'!$B:$B,0)),IFERROR(INDEX('Rule Updates'!$C:$C,MATCH(C900,'Rule Updates'!$A:$A,0)),"Review"))</f>
        <v/>
      </c>
      <c r="F900" s="10" t="n"/>
      <c r="G900" s="12" t="n">
        <v>767</v>
      </c>
      <c r="H900" s="10" t="n">
        <v>2</v>
      </c>
      <c r="I900" s="10">
        <f>IF(OR(D900="Uncategorised",E900=""),"Check","")</f>
        <v/>
      </c>
    </row>
    <row r="901">
      <c r="A901" s="10" t="inlineStr">
        <is>
          <t>Amex Nov-2025</t>
        </is>
      </c>
      <c r="B901" s="11" t="n">
        <v>45962</v>
      </c>
      <c r="C901" s="10" t="inlineStr">
        <is>
          <t>CITY ' SUPER CENTRAL</t>
        </is>
      </c>
      <c r="D901" s="10">
        <f>IFERROR(INDEX('Review Items'!$D:$D,MATCH(C901,'Review Items'!$B:$B,0)),IFERROR(INDEX('Rule Updates'!$B:$B,MATCH(C901,'Rule Updates'!$A:$A,0)),"Uncategorised"))</f>
        <v/>
      </c>
      <c r="E901" s="10">
        <f>IFERROR(INDEX('Review Items'!$E:$E,MATCH(C901,'Review Items'!$B:$B,0)),IFERROR(INDEX('Rule Updates'!$C:$C,MATCH(C901,'Rule Updates'!$A:$A,0)),"Review"))</f>
        <v/>
      </c>
      <c r="F901" s="10" t="n"/>
      <c r="G901" s="12" t="n">
        <v>1190.3</v>
      </c>
      <c r="H901" s="10" t="n">
        <v>2</v>
      </c>
      <c r="I901" s="10">
        <f>IF(OR(D901="Uncategorised",E901=""),"Check","")</f>
        <v/>
      </c>
    </row>
    <row r="902">
      <c r="A902" s="10" t="inlineStr">
        <is>
          <t>Amex Nov-2025</t>
        </is>
      </c>
      <c r="B902" s="11" t="n">
        <v>45962</v>
      </c>
      <c r="C902" s="10" t="inlineStr">
        <is>
          <t>LANE CRAW FORD ( I F C ) CENTRAL</t>
        </is>
      </c>
      <c r="D902" s="10">
        <f>IFERROR(INDEX('Review Items'!$D:$D,MATCH(C902,'Review Items'!$B:$B,0)),IFERROR(INDEX('Rule Updates'!$B:$B,MATCH(C902,'Rule Updates'!$A:$A,0)),"Uncategorised"))</f>
        <v/>
      </c>
      <c r="E902" s="10">
        <f>IFERROR(INDEX('Review Items'!$E:$E,MATCH(C902,'Review Items'!$B:$B,0)),IFERROR(INDEX('Rule Updates'!$C:$C,MATCH(C902,'Rule Updates'!$A:$A,0)),"Review"))</f>
        <v/>
      </c>
      <c r="F902" s="10" t="n"/>
      <c r="G902" s="12" t="n">
        <v>1305</v>
      </c>
      <c r="H902" s="10" t="n">
        <v>2</v>
      </c>
      <c r="I902" s="10">
        <f>IF(OR(D902="Uncategorised",E902=""),"Check","")</f>
        <v/>
      </c>
    </row>
    <row r="903">
      <c r="A903" s="10" t="inlineStr">
        <is>
          <t>Amex Nov-2025</t>
        </is>
      </c>
      <c r="B903" s="11" t="n">
        <v>45962</v>
      </c>
      <c r="C903" s="10" t="inlineStr">
        <is>
          <t>SP SEOUL RECIPE HK TSEUN WAN</t>
        </is>
      </c>
      <c r="D903" s="10">
        <f>IFERROR(INDEX('Review Items'!$D:$D,MATCH(C903,'Review Items'!$B:$B,0)),IFERROR(INDEX('Rule Updates'!$B:$B,MATCH(C903,'Rule Updates'!$A:$A,0)),"Uncategorised"))</f>
        <v/>
      </c>
      <c r="E903" s="10">
        <f>IFERROR(INDEX('Review Items'!$E:$E,MATCH(C903,'Review Items'!$B:$B,0)),IFERROR(INDEX('Rule Updates'!$C:$C,MATCH(C903,'Rule Updates'!$A:$A,0)),"Review"))</f>
        <v/>
      </c>
      <c r="F903" s="10" t="n"/>
      <c r="G903" s="12" t="n">
        <v>1800</v>
      </c>
      <c r="H903" s="10" t="n">
        <v>2</v>
      </c>
      <c r="I903" s="10">
        <f>IF(OR(D903="Uncategorised",E903=""),"Check","")</f>
        <v/>
      </c>
    </row>
    <row r="904">
      <c r="A904" s="10" t="inlineStr">
        <is>
          <t>Amex Nov-2025</t>
        </is>
      </c>
      <c r="B904" s="11" t="n">
        <v>45962</v>
      </c>
      <c r="C904" s="10" t="inlineStr">
        <is>
          <t>ZARA-I F CCENTRAL</t>
        </is>
      </c>
      <c r="D904" s="10">
        <f>IFERROR(INDEX('Review Items'!$D:$D,MATCH(C904,'Review Items'!$B:$B,0)),IFERROR(INDEX('Rule Updates'!$B:$B,MATCH(C904,'Rule Updates'!$A:$A,0)),"Uncategorised"))</f>
        <v/>
      </c>
      <c r="E904" s="10">
        <f>IFERROR(INDEX('Review Items'!$E:$E,MATCH(C904,'Review Items'!$B:$B,0)),IFERROR(INDEX('Rule Updates'!$C:$C,MATCH(C904,'Rule Updates'!$A:$A,0)),"Review"))</f>
        <v/>
      </c>
      <c r="F904" s="10" t="n"/>
      <c r="G904" s="12" t="n">
        <v>1047</v>
      </c>
      <c r="H904" s="10" t="n">
        <v>2</v>
      </c>
      <c r="I904" s="10">
        <f>IF(OR(D904="Uncategorised",E904=""),"Check","")</f>
        <v/>
      </c>
    </row>
    <row r="905">
      <c r="A905" s="10" t="inlineStr">
        <is>
          <t>Amex Nov-2025</t>
        </is>
      </c>
      <c r="B905" s="11" t="n">
        <v>45963</v>
      </c>
      <c r="C905" s="10" t="inlineStr">
        <is>
          <t>THE DAIRY FARM - MANNIN WANCHAI</t>
        </is>
      </c>
      <c r="D905" s="10">
        <f>IFERROR(INDEX('Review Items'!$D:$D,MATCH(C905,'Review Items'!$B:$B,0)),IFERROR(INDEX('Rule Updates'!$B:$B,MATCH(C905,'Rule Updates'!$A:$A,0)),"Uncategorised"))</f>
        <v/>
      </c>
      <c r="E905" s="10">
        <f>IFERROR(INDEX('Review Items'!$E:$E,MATCH(C905,'Review Items'!$B:$B,0)),IFERROR(INDEX('Rule Updates'!$C:$C,MATCH(C905,'Rule Updates'!$A:$A,0)),"Review"))</f>
        <v/>
      </c>
      <c r="F905" s="10" t="n"/>
      <c r="G905" s="12" t="n">
        <v>181.9</v>
      </c>
      <c r="H905" s="10" t="n">
        <v>2</v>
      </c>
      <c r="I905" s="10">
        <f>IF(OR(D905="Uncategorised",E905=""),"Check","")</f>
        <v/>
      </c>
    </row>
    <row r="906">
      <c r="A906" s="10" t="inlineStr">
        <is>
          <t>Amex Nov-2025</t>
        </is>
      </c>
      <c r="B906" s="11" t="n">
        <v>45963</v>
      </c>
      <c r="C906" s="10" t="inlineStr">
        <is>
          <t>THE DAIRY FARM - MANNIN WANCHAI</t>
        </is>
      </c>
      <c r="D906" s="10">
        <f>IFERROR(INDEX('Review Items'!$D:$D,MATCH(C906,'Review Items'!$B:$B,0)),IFERROR(INDEX('Rule Updates'!$B:$B,MATCH(C906,'Rule Updates'!$A:$A,0)),"Uncategorised"))</f>
        <v/>
      </c>
      <c r="E906" s="10">
        <f>IFERROR(INDEX('Review Items'!$E:$E,MATCH(C906,'Review Items'!$B:$B,0)),IFERROR(INDEX('Rule Updates'!$C:$C,MATCH(C906,'Rule Updates'!$A:$A,0)),"Review"))</f>
        <v/>
      </c>
      <c r="F906" s="10" t="n"/>
      <c r="G906" s="12" t="n">
        <v>126</v>
      </c>
      <c r="H906" s="10" t="n">
        <v>2</v>
      </c>
      <c r="I906" s="10">
        <f>IF(OR(D906="Uncategorised",E906=""),"Check","")</f>
        <v/>
      </c>
    </row>
    <row r="907">
      <c r="A907" s="10" t="inlineStr">
        <is>
          <t>Amex Nov-2025</t>
        </is>
      </c>
      <c r="B907" s="11" t="n">
        <v>45964</v>
      </c>
      <c r="C907" s="10" t="inlineStr">
        <is>
          <t>BAKEHOUSE CENTRAL</t>
        </is>
      </c>
      <c r="D907" s="10">
        <f>IFERROR(INDEX('Review Items'!$D:$D,MATCH(C907,'Review Items'!$B:$B,0)),IFERROR(INDEX('Rule Updates'!$B:$B,MATCH(C907,'Rule Updates'!$A:$A,0)),"Uncategorised"))</f>
        <v/>
      </c>
      <c r="E907" s="10">
        <f>IFERROR(INDEX('Review Items'!$E:$E,MATCH(C907,'Review Items'!$B:$B,0)),IFERROR(INDEX('Rule Updates'!$C:$C,MATCH(C907,'Rule Updates'!$A:$A,0)),"Review"))</f>
        <v/>
      </c>
      <c r="F907" s="10" t="n"/>
      <c r="G907" s="12" t="n">
        <v>336</v>
      </c>
      <c r="H907" s="10" t="n">
        <v>2</v>
      </c>
      <c r="I907" s="10">
        <f>IF(OR(D907="Uncategorised",E907=""),"Check","")</f>
        <v/>
      </c>
    </row>
    <row r="908">
      <c r="A908" s="10" t="inlineStr">
        <is>
          <t>Amex Nov-2025</t>
        </is>
      </c>
      <c r="B908" s="11" t="n">
        <v>45964</v>
      </c>
      <c r="C908" s="10" t="inlineStr">
        <is>
          <t>KRP * Exim b ay SEOUL</t>
        </is>
      </c>
      <c r="D908" s="10">
        <f>IFERROR(INDEX('Review Items'!$D:$D,MATCH(C908,'Review Items'!$B:$B,0)),IFERROR(INDEX('Rule Updates'!$B:$B,MATCH(C908,'Rule Updates'!$A:$A,0)),"Uncategorised"))</f>
        <v/>
      </c>
      <c r="E908" s="10">
        <f>IFERROR(INDEX('Review Items'!$E:$E,MATCH(C908,'Review Items'!$B:$B,0)),IFERROR(INDEX('Rule Updates'!$C:$C,MATCH(C908,'Rule Updates'!$A:$A,0)),"Review"))</f>
        <v/>
      </c>
      <c r="F908" s="12" t="n">
        <v>50000</v>
      </c>
      <c r="G908" s="12" t="n">
        <v>278.22</v>
      </c>
      <c r="H908" s="10" t="n">
        <v>2</v>
      </c>
      <c r="I908" s="10">
        <f>IF(OR(D908="Uncategorised",E908=""),"Check","")</f>
        <v/>
      </c>
    </row>
    <row r="909">
      <c r="A909" s="10" t="inlineStr">
        <is>
          <t>Amex Nov-2025</t>
        </is>
      </c>
      <c r="B909" s="11" t="n">
        <v>45964</v>
      </c>
      <c r="C909" s="10" t="inlineStr">
        <is>
          <t>LULULEMON HK LIMITED WANCHAI</t>
        </is>
      </c>
      <c r="D909" s="10">
        <f>IFERROR(INDEX('Review Items'!$D:$D,MATCH(C909,'Review Items'!$B:$B,0)),IFERROR(INDEX('Rule Updates'!$B:$B,MATCH(C909,'Rule Updates'!$A:$A,0)),"Uncategorised"))</f>
        <v/>
      </c>
      <c r="E909" s="10">
        <f>IFERROR(INDEX('Review Items'!$E:$E,MATCH(C909,'Review Items'!$B:$B,0)),IFERROR(INDEX('Rule Updates'!$C:$C,MATCH(C909,'Rule Updates'!$A:$A,0)),"Review"))</f>
        <v/>
      </c>
      <c r="F909" s="10" t="n"/>
      <c r="G909" s="12" t="n">
        <v>1180</v>
      </c>
      <c r="H909" s="10" t="n">
        <v>2</v>
      </c>
      <c r="I909" s="10">
        <f>IF(OR(D909="Uncategorised",E909=""),"Check","")</f>
        <v/>
      </c>
    </row>
    <row r="910">
      <c r="A910" s="10" t="inlineStr">
        <is>
          <t>Amex Nov-2025</t>
        </is>
      </c>
      <c r="B910" s="11" t="n">
        <v>45964</v>
      </c>
      <c r="C910" s="10" t="inlineStr">
        <is>
          <t>WHALE CLU BHK</t>
        </is>
      </c>
      <c r="D910" s="10">
        <f>IFERROR(INDEX('Review Items'!$D:$D,MATCH(C910,'Review Items'!$B:$B,0)),IFERROR(INDEX('Rule Updates'!$B:$B,MATCH(C910,'Rule Updates'!$A:$A,0)),"Uncategorised"))</f>
        <v/>
      </c>
      <c r="E910" s="10">
        <f>IFERROR(INDEX('Review Items'!$E:$E,MATCH(C910,'Review Items'!$B:$B,0)),IFERROR(INDEX('Rule Updates'!$C:$C,MATCH(C910,'Rule Updates'!$A:$A,0)),"Review"))</f>
        <v/>
      </c>
      <c r="F910" s="10" t="n"/>
      <c r="G910" s="12" t="n">
        <v>8147</v>
      </c>
      <c r="H910" s="10" t="n">
        <v>2</v>
      </c>
      <c r="I910" s="10">
        <f>IF(OR(D910="Uncategorised",E910=""),"Check","")</f>
        <v/>
      </c>
    </row>
    <row r="911">
      <c r="A911" s="10" t="inlineStr">
        <is>
          <t>Amex Nov-2025</t>
        </is>
      </c>
      <c r="B911" s="11" t="n">
        <v>45965</v>
      </c>
      <c r="C911" s="10" t="inlineStr">
        <is>
          <t>CITY ' SUPER CENTRAL</t>
        </is>
      </c>
      <c r="D911" s="10">
        <f>IFERROR(INDEX('Review Items'!$D:$D,MATCH(C911,'Review Items'!$B:$B,0)),IFERROR(INDEX('Rule Updates'!$B:$B,MATCH(C911,'Rule Updates'!$A:$A,0)),"Uncategorised"))</f>
        <v/>
      </c>
      <c r="E911" s="10">
        <f>IFERROR(INDEX('Review Items'!$E:$E,MATCH(C911,'Review Items'!$B:$B,0)),IFERROR(INDEX('Rule Updates'!$C:$C,MATCH(C911,'Rule Updates'!$A:$A,0)),"Review"))</f>
        <v/>
      </c>
      <c r="F911" s="10" t="n"/>
      <c r="G911" s="12" t="n">
        <v>127.1</v>
      </c>
      <c r="H911" s="10" t="n">
        <v>3</v>
      </c>
      <c r="I911" s="10">
        <f>IF(OR(D911="Uncategorised",E911=""),"Check","")</f>
        <v/>
      </c>
    </row>
    <row r="912">
      <c r="A912" s="10" t="inlineStr">
        <is>
          <t>Amex Nov-2025</t>
        </is>
      </c>
      <c r="B912" s="11" t="n">
        <v>45965</v>
      </c>
      <c r="C912" s="10" t="inlineStr">
        <is>
          <t>THE MANDARIN SALON CENTRAL</t>
        </is>
      </c>
      <c r="D912" s="10">
        <f>IFERROR(INDEX('Review Items'!$D:$D,MATCH(C912,'Review Items'!$B:$B,0)),IFERROR(INDEX('Rule Updates'!$B:$B,MATCH(C912,'Rule Updates'!$A:$A,0)),"Uncategorised"))</f>
        <v/>
      </c>
      <c r="E912" s="10">
        <f>IFERROR(INDEX('Review Items'!$E:$E,MATCH(C912,'Review Items'!$B:$B,0)),IFERROR(INDEX('Rule Updates'!$C:$C,MATCH(C912,'Rule Updates'!$A:$A,0)),"Review"))</f>
        <v/>
      </c>
      <c r="F912" s="10" t="n"/>
      <c r="G912" s="12" t="n">
        <v>960</v>
      </c>
      <c r="H912" s="10" t="n">
        <v>3</v>
      </c>
      <c r="I912" s="10">
        <f>IF(OR(D912="Uncategorised",E912=""),"Check","")</f>
        <v/>
      </c>
    </row>
    <row r="913">
      <c r="A913" s="10" t="inlineStr">
        <is>
          <t>Amex Nov-2025</t>
        </is>
      </c>
      <c r="B913" s="11" t="n">
        <v>45965</v>
      </c>
      <c r="C913" s="10" t="inlineStr">
        <is>
          <t>UNI QLO - HK 2045 TAIKOO SHING</t>
        </is>
      </c>
      <c r="D913" s="10">
        <f>IFERROR(INDEX('Review Items'!$D:$D,MATCH(C913,'Review Items'!$B:$B,0)),IFERROR(INDEX('Rule Updates'!$B:$B,MATCH(C913,'Rule Updates'!$A:$A,0)),"Uncategorised"))</f>
        <v/>
      </c>
      <c r="E913" s="10">
        <f>IFERROR(INDEX('Review Items'!$E:$E,MATCH(C913,'Review Items'!$B:$B,0)),IFERROR(INDEX('Rule Updates'!$C:$C,MATCH(C913,'Rule Updates'!$A:$A,0)),"Review"))</f>
        <v/>
      </c>
      <c r="F913" s="10" t="n"/>
      <c r="G913" s="12" t="n">
        <v>-746</v>
      </c>
      <c r="H913" s="10" t="n">
        <v>3</v>
      </c>
      <c r="I913" s="10">
        <f>IF(OR(D913="Uncategorised",E913=""),"Check","")</f>
        <v/>
      </c>
    </row>
    <row r="914">
      <c r="A914" s="10" t="inlineStr">
        <is>
          <t>Amex Nov-2025</t>
        </is>
      </c>
      <c r="B914" s="11" t="n">
        <v>45966</v>
      </c>
      <c r="C914" s="10" t="inlineStr">
        <is>
          <t>PAYMENT RECEIVED THROUGH AUTOPAY</t>
        </is>
      </c>
      <c r="D914" s="10">
        <f>IFERROR(INDEX('Review Items'!$D:$D,MATCH(C914,'Review Items'!$B:$B,0)),IFERROR(INDEX('Rule Updates'!$B:$B,MATCH(C914,'Rule Updates'!$A:$A,0)),"Uncategorised"))</f>
        <v/>
      </c>
      <c r="E914" s="10">
        <f>IFERROR(INDEX('Review Items'!$E:$E,MATCH(C914,'Review Items'!$B:$B,0)),IFERROR(INDEX('Rule Updates'!$C:$C,MATCH(C914,'Rule Updates'!$A:$A,0)),"Review"))</f>
        <v/>
      </c>
      <c r="F914" s="10" t="n"/>
      <c r="G914" s="12" t="n">
        <v>-348558</v>
      </c>
      <c r="H914" s="10" t="n">
        <v>1</v>
      </c>
      <c r="I914" s="10">
        <f>IF(OR(D914="Uncategorised",E914=""),"Check","")</f>
        <v/>
      </c>
    </row>
    <row r="915">
      <c r="A915" s="10" t="inlineStr">
        <is>
          <t>Amex Nov-2025</t>
        </is>
      </c>
      <c r="B915" s="11" t="n">
        <v>45966</v>
      </c>
      <c r="C915" s="10" t="inlineStr">
        <is>
          <t>THE NET-A-PORTER GROUP HONG KONG</t>
        </is>
      </c>
      <c r="D915" s="10">
        <f>IFERROR(INDEX('Review Items'!$D:$D,MATCH(C915,'Review Items'!$B:$B,0)),IFERROR(INDEX('Rule Updates'!$B:$B,MATCH(C915,'Rule Updates'!$A:$A,0)),"Uncategorised"))</f>
        <v/>
      </c>
      <c r="E915" s="10">
        <f>IFERROR(INDEX('Review Items'!$E:$E,MATCH(C915,'Review Items'!$B:$B,0)),IFERROR(INDEX('Rule Updates'!$C:$C,MATCH(C915,'Rule Updates'!$A:$A,0)),"Review"))</f>
        <v/>
      </c>
      <c r="F915" s="10" t="n"/>
      <c r="G915" s="12" t="n">
        <v>-32989</v>
      </c>
      <c r="H915" s="10" t="n">
        <v>3</v>
      </c>
      <c r="I915" s="10">
        <f>IF(OR(D915="Uncategorised",E915=""),"Check","")</f>
        <v/>
      </c>
    </row>
    <row r="916">
      <c r="A916" s="10" t="inlineStr">
        <is>
          <t>Amex Nov-2025</t>
        </is>
      </c>
      <c r="B916" s="11" t="n">
        <v>45966</v>
      </c>
      <c r="C916" s="10" t="inlineStr">
        <is>
          <t>WHALE CLU BHK</t>
        </is>
      </c>
      <c r="D916" s="10">
        <f>IFERROR(INDEX('Review Items'!$D:$D,MATCH(C916,'Review Items'!$B:$B,0)),IFERROR(INDEX('Rule Updates'!$B:$B,MATCH(C916,'Rule Updates'!$A:$A,0)),"Uncategorised"))</f>
        <v/>
      </c>
      <c r="E916" s="10">
        <f>IFERROR(INDEX('Review Items'!$E:$E,MATCH(C916,'Review Items'!$B:$B,0)),IFERROR(INDEX('Rule Updates'!$C:$C,MATCH(C916,'Rule Updates'!$A:$A,0)),"Review"))</f>
        <v/>
      </c>
      <c r="F916" s="10" t="n"/>
      <c r="G916" s="12" t="n">
        <v>22665</v>
      </c>
      <c r="H916" s="10" t="n">
        <v>3</v>
      </c>
      <c r="I916" s="10">
        <f>IF(OR(D916="Uncategorised",E916=""),"Check","")</f>
        <v/>
      </c>
    </row>
    <row r="917">
      <c r="A917" s="10" t="inlineStr">
        <is>
          <t>Amex Nov-2025</t>
        </is>
      </c>
      <c r="B917" s="11" t="n">
        <v>45967</v>
      </c>
      <c r="C917" s="10" t="inlineStr">
        <is>
          <t>ANDA ZSEOUL GANGNAM SEOUL</t>
        </is>
      </c>
      <c r="D917" s="10">
        <f>IFERROR(INDEX('Review Items'!$D:$D,MATCH(C917,'Review Items'!$B:$B,0)),IFERROR(INDEX('Rule Updates'!$B:$B,MATCH(C917,'Rule Updates'!$A:$A,0)),"Uncategorised"))</f>
        <v/>
      </c>
      <c r="E917" s="10">
        <f>IFERROR(INDEX('Review Items'!$E:$E,MATCH(C917,'Review Items'!$B:$B,0)),IFERROR(INDEX('Rule Updates'!$C:$C,MATCH(C917,'Rule Updates'!$A:$A,0)),"Review"))</f>
        <v/>
      </c>
      <c r="F917" s="12" t="n">
        <v>3300000</v>
      </c>
      <c r="G917" s="12" t="n">
        <v>18078.34</v>
      </c>
      <c r="H917" s="10" t="n">
        <v>3</v>
      </c>
      <c r="I917" s="10">
        <f>IF(OR(D917="Uncategorised",E917=""),"Check","")</f>
        <v/>
      </c>
    </row>
    <row r="918">
      <c r="A918" s="10" t="inlineStr">
        <is>
          <t>Amex Nov-2025</t>
        </is>
      </c>
      <c r="B918" s="11" t="n">
        <v>45967</v>
      </c>
      <c r="C918" s="10" t="inlineStr">
        <is>
          <t>ANDA ZSEOUL GANGNAM SEOUL</t>
        </is>
      </c>
      <c r="D918" s="10">
        <f>IFERROR(INDEX('Review Items'!$D:$D,MATCH(C918,'Review Items'!$B:$B,0)),IFERROR(INDEX('Rule Updates'!$B:$B,MATCH(C918,'Rule Updates'!$A:$A,0)),"Uncategorised"))</f>
        <v/>
      </c>
      <c r="E918" s="10">
        <f>IFERROR(INDEX('Review Items'!$E:$E,MATCH(C918,'Review Items'!$B:$B,0)),IFERROR(INDEX('Rule Updates'!$C:$C,MATCH(C918,'Rule Updates'!$A:$A,0)),"Review"))</f>
        <v/>
      </c>
      <c r="F918" s="12" t="n">
        <v>5665000</v>
      </c>
      <c r="G918" s="12" t="n">
        <v>30847.98</v>
      </c>
      <c r="H918" s="10" t="n">
        <v>3</v>
      </c>
      <c r="I918" s="10">
        <f>IF(OR(D918="Uncategorised",E918=""),"Check","")</f>
        <v/>
      </c>
    </row>
    <row r="919">
      <c r="A919" s="10" t="inlineStr">
        <is>
          <t>Amex Nov-2025</t>
        </is>
      </c>
      <c r="B919" s="11" t="n">
        <v>45967</v>
      </c>
      <c r="C919" s="10" t="inlineStr">
        <is>
          <t>JOOSIKHOISA AIAIKEOM BAI SEOUL</t>
        </is>
      </c>
      <c r="D919" s="10">
        <f>IFERROR(INDEX('Review Items'!$D:$D,MATCH(C919,'Review Items'!$B:$B,0)),IFERROR(INDEX('Rule Updates'!$B:$B,MATCH(C919,'Rule Updates'!$A:$A,0)),"Uncategorised"))</f>
        <v/>
      </c>
      <c r="E919" s="10">
        <f>IFERROR(INDEX('Review Items'!$E:$E,MATCH(C919,'Review Items'!$B:$B,0)),IFERROR(INDEX('Rule Updates'!$C:$C,MATCH(C919,'Rule Updates'!$A:$A,0)),"Review"))</f>
        <v/>
      </c>
      <c r="F919" s="12" t="n">
        <v>262000</v>
      </c>
      <c r="G919" s="12" t="n">
        <v>1435.33</v>
      </c>
      <c r="H919" s="10" t="n">
        <v>8</v>
      </c>
      <c r="I919" s="10">
        <f>IF(OR(D919="Uncategorised",E919=""),"Check","")</f>
        <v/>
      </c>
    </row>
    <row r="920">
      <c r="A920" s="10" t="inlineStr">
        <is>
          <t>Amex Nov-2025</t>
        </is>
      </c>
      <c r="B920" s="11" t="n">
        <v>45967</v>
      </c>
      <c r="C920" s="10" t="inlineStr">
        <is>
          <t>JOOSIKHOISA AIAIKEOM BAI SEOUL</t>
        </is>
      </c>
      <c r="D920" s="10">
        <f>IFERROR(INDEX('Review Items'!$D:$D,MATCH(C920,'Review Items'!$B:$B,0)),IFERROR(INDEX('Rule Updates'!$B:$B,MATCH(C920,'Rule Updates'!$A:$A,0)),"Uncategorised"))</f>
        <v/>
      </c>
      <c r="E920" s="10">
        <f>IFERROR(INDEX('Review Items'!$E:$E,MATCH(C920,'Review Items'!$B:$B,0)),IFERROR(INDEX('Rule Updates'!$C:$C,MATCH(C920,'Rule Updates'!$A:$A,0)),"Review"))</f>
        <v/>
      </c>
      <c r="F920" s="12" t="n">
        <v>272000</v>
      </c>
      <c r="G920" s="12" t="n">
        <v>1490.05</v>
      </c>
      <c r="H920" s="10" t="n">
        <v>8</v>
      </c>
      <c r="I920" s="10">
        <f>IF(OR(D920="Uncategorised",E920=""),"Check","")</f>
        <v/>
      </c>
    </row>
    <row r="921">
      <c r="A921" s="10" t="inlineStr">
        <is>
          <t>Amex Nov-2025</t>
        </is>
      </c>
      <c r="B921" s="11" t="n">
        <v>45967</v>
      </c>
      <c r="C921" s="10" t="inlineStr">
        <is>
          <t>KAPEKICHEUNE SEOUL SEOUL</t>
        </is>
      </c>
      <c r="D921" s="10">
        <f>IFERROR(INDEX('Review Items'!$D:$D,MATCH(C921,'Review Items'!$B:$B,0)),IFERROR(INDEX('Rule Updates'!$B:$B,MATCH(C921,'Rule Updates'!$A:$A,0)),"Uncategorised"))</f>
        <v/>
      </c>
      <c r="E921" s="10">
        <f>IFERROR(INDEX('Review Items'!$E:$E,MATCH(C921,'Review Items'!$B:$B,0)),IFERROR(INDEX('Rule Updates'!$C:$C,MATCH(C921,'Rule Updates'!$A:$A,0)),"Review"))</f>
        <v/>
      </c>
      <c r="F921" s="12" t="n">
        <v>42300</v>
      </c>
      <c r="G921" s="12" t="n">
        <v>231.74</v>
      </c>
      <c r="H921" s="10" t="n">
        <v>8</v>
      </c>
      <c r="I921" s="10">
        <f>IF(OR(D921="Uncategorised",E921=""),"Check","")</f>
        <v/>
      </c>
    </row>
    <row r="922">
      <c r="A922" s="10" t="inlineStr">
        <is>
          <t>Amex Nov-2025</t>
        </is>
      </c>
      <c r="B922" s="11" t="n">
        <v>45967</v>
      </c>
      <c r="C922" s="10" t="inlineStr">
        <is>
          <t>KRP * Exim b ay SEOUL</t>
        </is>
      </c>
      <c r="D922" s="10">
        <f>IFERROR(INDEX('Review Items'!$D:$D,MATCH(C922,'Review Items'!$B:$B,0)),IFERROR(INDEX('Rule Updates'!$B:$B,MATCH(C922,'Rule Updates'!$A:$A,0)),"Uncategorised"))</f>
        <v/>
      </c>
      <c r="E922" s="10">
        <f>IFERROR(INDEX('Review Items'!$E:$E,MATCH(C922,'Review Items'!$B:$B,0)),IFERROR(INDEX('Rule Updates'!$C:$C,MATCH(C922,'Rule Updates'!$A:$A,0)),"Review"))</f>
        <v/>
      </c>
      <c r="F922" s="12" t="n">
        <v>150000</v>
      </c>
      <c r="G922" s="12" t="n">
        <v>820.7</v>
      </c>
      <c r="H922" s="10" t="n">
        <v>3</v>
      </c>
      <c r="I922" s="10">
        <f>IF(OR(D922="Uncategorised",E922=""),"Check","")</f>
        <v/>
      </c>
    </row>
    <row r="923">
      <c r="A923" s="10" t="inlineStr">
        <is>
          <t>Amex Nov-2025</t>
        </is>
      </c>
      <c r="B923" s="11" t="n">
        <v>45967</v>
      </c>
      <c r="C923" s="10" t="inlineStr">
        <is>
          <t>MYTHERESA APAC SERVICES ISLANDS</t>
        </is>
      </c>
      <c r="D923" s="10">
        <f>IFERROR(INDEX('Review Items'!$D:$D,MATCH(C923,'Review Items'!$B:$B,0)),IFERROR(INDEX('Rule Updates'!$B:$B,MATCH(C923,'Rule Updates'!$A:$A,0)),"Uncategorised"))</f>
        <v/>
      </c>
      <c r="E923" s="10">
        <f>IFERROR(INDEX('Review Items'!$E:$E,MATCH(C923,'Review Items'!$B:$B,0)),IFERROR(INDEX('Rule Updates'!$C:$C,MATCH(C923,'Rule Updates'!$A:$A,0)),"Review"))</f>
        <v/>
      </c>
      <c r="F923" s="10" t="n"/>
      <c r="G923" s="12" t="n">
        <v>4075</v>
      </c>
      <c r="H923" s="10" t="n">
        <v>3</v>
      </c>
      <c r="I923" s="10">
        <f>IF(OR(D923="Uncategorised",E923=""),"Check","")</f>
        <v/>
      </c>
    </row>
    <row r="924">
      <c r="A924" s="10" t="inlineStr">
        <is>
          <t>Amex Nov-2025</t>
        </is>
      </c>
      <c r="B924" s="11" t="n">
        <v>45968</v>
      </c>
      <c r="C924" s="10" t="inlineStr">
        <is>
          <t>( JOO ) HYEONDAI BAIKHOA JEO SEOUL</t>
        </is>
      </c>
      <c r="D924" s="10">
        <f>IFERROR(INDEX('Review Items'!$D:$D,MATCH(C924,'Review Items'!$B:$B,0)),IFERROR(INDEX('Rule Updates'!$B:$B,MATCH(C924,'Rule Updates'!$A:$A,0)),"Uncategorised"))</f>
        <v/>
      </c>
      <c r="E924" s="10">
        <f>IFERROR(INDEX('Review Items'!$E:$E,MATCH(C924,'Review Items'!$B:$B,0)),IFERROR(INDEX('Rule Updates'!$C:$C,MATCH(C924,'Rule Updates'!$A:$A,0)),"Review"))</f>
        <v/>
      </c>
      <c r="F924" s="12" t="n">
        <v>10000</v>
      </c>
      <c r="G924" s="12" t="n">
        <v>54.42</v>
      </c>
      <c r="H924" s="10" t="n">
        <v>3</v>
      </c>
      <c r="I924" s="10">
        <f>IF(OR(D924="Uncategorised",E924=""),"Check","")</f>
        <v/>
      </c>
    </row>
    <row r="925">
      <c r="A925" s="10" t="inlineStr">
        <is>
          <t>Amex Nov-2025</t>
        </is>
      </c>
      <c r="B925" s="11" t="n">
        <v>45968</v>
      </c>
      <c r="C925" s="10" t="inlineStr">
        <is>
          <t>( JOO ) HYEONDAI BAIKHOA JEO SEOUL</t>
        </is>
      </c>
      <c r="D925" s="10">
        <f>IFERROR(INDEX('Review Items'!$D:$D,MATCH(C925,'Review Items'!$B:$B,0)),IFERROR(INDEX('Rule Updates'!$B:$B,MATCH(C925,'Rule Updates'!$A:$A,0)),"Uncategorised"))</f>
        <v/>
      </c>
      <c r="E925" s="10">
        <f>IFERROR(INDEX('Review Items'!$E:$E,MATCH(C925,'Review Items'!$B:$B,0)),IFERROR(INDEX('Rule Updates'!$C:$C,MATCH(C925,'Rule Updates'!$A:$A,0)),"Review"))</f>
        <v/>
      </c>
      <c r="F925" s="12" t="n">
        <v>34500</v>
      </c>
      <c r="G925" s="12" t="n">
        <v>187.86</v>
      </c>
      <c r="H925" s="10" t="n">
        <v>3</v>
      </c>
      <c r="I925" s="10">
        <f>IF(OR(D925="Uncategorised",E925=""),"Check","")</f>
        <v/>
      </c>
    </row>
    <row r="926">
      <c r="A926" s="10" t="inlineStr">
        <is>
          <t>Amex Nov-2025</t>
        </is>
      </c>
      <c r="B926" s="11" t="n">
        <v>45968</v>
      </c>
      <c r="C926" s="10" t="inlineStr">
        <is>
          <t>( JOO ) HYEONDAI BAIKHOA JEO SEOUL</t>
        </is>
      </c>
      <c r="D926" s="10">
        <f>IFERROR(INDEX('Review Items'!$D:$D,MATCH(C926,'Review Items'!$B:$B,0)),IFERROR(INDEX('Rule Updates'!$B:$B,MATCH(C926,'Rule Updates'!$A:$A,0)),"Uncategorised"))</f>
        <v/>
      </c>
      <c r="E926" s="10">
        <f>IFERROR(INDEX('Review Items'!$E:$E,MATCH(C926,'Review Items'!$B:$B,0)),IFERROR(INDEX('Rule Updates'!$C:$C,MATCH(C926,'Rule Updates'!$A:$A,0)),"Review"))</f>
        <v/>
      </c>
      <c r="F926" s="12" t="n">
        <v>10000</v>
      </c>
      <c r="G926" s="12" t="n">
        <v>54.42</v>
      </c>
      <c r="H926" s="10" t="n">
        <v>3</v>
      </c>
      <c r="I926" s="10">
        <f>IF(OR(D926="Uncategorised",E926=""),"Check","")</f>
        <v/>
      </c>
    </row>
    <row r="927">
      <c r="A927" s="10" t="inlineStr">
        <is>
          <t>Amex Nov-2025</t>
        </is>
      </c>
      <c r="B927" s="11" t="n">
        <v>45968</v>
      </c>
      <c r="C927" s="10" t="inlineStr">
        <is>
          <t>( JOO ) HYEONDAI BAIKHOA JEO SEOUL</t>
        </is>
      </c>
      <c r="D927" s="10">
        <f>IFERROR(INDEX('Review Items'!$D:$D,MATCH(C927,'Review Items'!$B:$B,0)),IFERROR(INDEX('Rule Updates'!$B:$B,MATCH(C927,'Rule Updates'!$A:$A,0)),"Uncategorised"))</f>
        <v/>
      </c>
      <c r="E927" s="10">
        <f>IFERROR(INDEX('Review Items'!$E:$E,MATCH(C927,'Review Items'!$B:$B,0)),IFERROR(INDEX('Rule Updates'!$C:$C,MATCH(C927,'Rule Updates'!$A:$A,0)),"Review"))</f>
        <v/>
      </c>
      <c r="F927" s="12" t="n">
        <v>371822</v>
      </c>
      <c r="G927" s="12" t="n">
        <v>2024.66</v>
      </c>
      <c r="H927" s="10" t="n">
        <v>8</v>
      </c>
      <c r="I927" s="10">
        <f>IF(OR(D927="Uncategorised",E927=""),"Check","")</f>
        <v/>
      </c>
    </row>
    <row r="928">
      <c r="A928" s="10" t="inlineStr">
        <is>
          <t>Amex Nov-2025</t>
        </is>
      </c>
      <c r="B928" s="11" t="n">
        <v>45968</v>
      </c>
      <c r="C928" s="10" t="inlineStr">
        <is>
          <t>EMPEUTI SEONGSOO SEOUL</t>
        </is>
      </c>
      <c r="D928" s="10">
        <f>IFERROR(INDEX('Review Items'!$D:$D,MATCH(C928,'Review Items'!$B:$B,0)),IFERROR(INDEX('Rule Updates'!$B:$B,MATCH(C928,'Rule Updates'!$A:$A,0)),"Uncategorised"))</f>
        <v/>
      </c>
      <c r="E928" s="10">
        <f>IFERROR(INDEX('Review Items'!$E:$E,MATCH(C928,'Review Items'!$B:$B,0)),IFERROR(INDEX('Rule Updates'!$C:$C,MATCH(C928,'Rule Updates'!$A:$A,0)),"Review"))</f>
        <v/>
      </c>
      <c r="F928" s="12" t="n">
        <v>91000</v>
      </c>
      <c r="G928" s="12" t="n">
        <v>495.51</v>
      </c>
      <c r="H928" s="10" t="n">
        <v>8</v>
      </c>
      <c r="I928" s="10">
        <f>IF(OR(D928="Uncategorised",E928=""),"Check","")</f>
        <v/>
      </c>
    </row>
    <row r="929">
      <c r="A929" s="10" t="inlineStr">
        <is>
          <t>Amex Nov-2025</t>
        </is>
      </c>
      <c r="B929" s="11" t="n">
        <v>45968</v>
      </c>
      <c r="C929" s="10" t="inlineStr">
        <is>
          <t>EPHEMERA SEOUL</t>
        </is>
      </c>
      <c r="D929" s="10">
        <f>IFERROR(INDEX('Review Items'!$D:$D,MATCH(C929,'Review Items'!$B:$B,0)),IFERROR(INDEX('Rule Updates'!$B:$B,MATCH(C929,'Rule Updates'!$A:$A,0)),"Uncategorised"))</f>
        <v/>
      </c>
      <c r="E929" s="10">
        <f>IFERROR(INDEX('Review Items'!$E:$E,MATCH(C929,'Review Items'!$B:$B,0)),IFERROR(INDEX('Rule Updates'!$C:$C,MATCH(C929,'Rule Updates'!$A:$A,0)),"Review"))</f>
        <v/>
      </c>
      <c r="F929" s="12" t="n">
        <v>8000</v>
      </c>
      <c r="G929" s="12" t="n">
        <v>43.55</v>
      </c>
      <c r="H929" s="10" t="n">
        <v>3</v>
      </c>
      <c r="I929" s="10">
        <f>IF(OR(D929="Uncategorised",E929=""),"Check","")</f>
        <v/>
      </c>
    </row>
    <row r="930">
      <c r="A930" s="10" t="inlineStr">
        <is>
          <t>Amex Nov-2025</t>
        </is>
      </c>
      <c r="B930" s="11" t="n">
        <v>45968</v>
      </c>
      <c r="C930" s="10" t="inlineStr">
        <is>
          <t>JUSIKHOESA NEMO JIPHANNA SEOUL</t>
        </is>
      </c>
      <c r="D930" s="10">
        <f>IFERROR(INDEX('Review Items'!$D:$D,MATCH(C930,'Review Items'!$B:$B,0)),IFERROR(INDEX('Rule Updates'!$B:$B,MATCH(C930,'Rule Updates'!$A:$A,0)),"Uncategorised"))</f>
        <v/>
      </c>
      <c r="E930" s="10">
        <f>IFERROR(INDEX('Review Items'!$E:$E,MATCH(C930,'Review Items'!$B:$B,0)),IFERROR(INDEX('Rule Updates'!$C:$C,MATCH(C930,'Rule Updates'!$A:$A,0)),"Review"))</f>
        <v/>
      </c>
      <c r="F930" s="12" t="n">
        <v>801000</v>
      </c>
      <c r="G930" s="12" t="n">
        <v>4361.75</v>
      </c>
      <c r="H930" s="10" t="n">
        <v>8</v>
      </c>
      <c r="I930" s="10">
        <f>IF(OR(D930="Uncategorised",E930=""),"Check","")</f>
        <v/>
      </c>
    </row>
    <row r="931">
      <c r="A931" s="10" t="inlineStr">
        <is>
          <t>Amex Nov-2025</t>
        </is>
      </c>
      <c r="B931" s="11" t="n">
        <v>45968</v>
      </c>
      <c r="C931" s="10" t="inlineStr">
        <is>
          <t>M u sinsa Co. , Ltd. M u sin SEOUL</t>
        </is>
      </c>
      <c r="D931" s="10">
        <f>IFERROR(INDEX('Review Items'!$D:$D,MATCH(C931,'Review Items'!$B:$B,0)),IFERROR(INDEX('Rule Updates'!$B:$B,MATCH(C931,'Rule Updates'!$A:$A,0)),"Uncategorised"))</f>
        <v/>
      </c>
      <c r="E931" s="10">
        <f>IFERROR(INDEX('Review Items'!$E:$E,MATCH(C931,'Review Items'!$B:$B,0)),IFERROR(INDEX('Rule Updates'!$C:$C,MATCH(C931,'Rule Updates'!$A:$A,0)),"Review"))</f>
        <v/>
      </c>
      <c r="F931" s="12" t="n">
        <v>203700</v>
      </c>
      <c r="G931" s="12" t="n">
        <v>1109.23</v>
      </c>
      <c r="H931" s="10" t="n">
        <v>3</v>
      </c>
      <c r="I931" s="10">
        <f>IF(OR(D931="Uncategorised",E931=""),"Check","")</f>
        <v/>
      </c>
    </row>
    <row r="932">
      <c r="A932" s="10" t="inlineStr">
        <is>
          <t>Amex Nov-2025</t>
        </is>
      </c>
      <c r="B932" s="11" t="n">
        <v>45968</v>
      </c>
      <c r="C932" s="10" t="inlineStr">
        <is>
          <t>O l i v e Yo u ng SEOUL</t>
        </is>
      </c>
      <c r="D932" s="10">
        <f>IFERROR(INDEX('Review Items'!$D:$D,MATCH(C932,'Review Items'!$B:$B,0)),IFERROR(INDEX('Rule Updates'!$B:$B,MATCH(C932,'Rule Updates'!$A:$A,0)),"Uncategorised"))</f>
        <v/>
      </c>
      <c r="E932" s="10">
        <f>IFERROR(INDEX('Review Items'!$E:$E,MATCH(C932,'Review Items'!$B:$B,0)),IFERROR(INDEX('Rule Updates'!$C:$C,MATCH(C932,'Rule Updates'!$A:$A,0)),"Review"))</f>
        <v/>
      </c>
      <c r="F932" s="12" t="n">
        <v>218800</v>
      </c>
      <c r="G932" s="12" t="n">
        <v>1191.43</v>
      </c>
      <c r="H932" s="10" t="n">
        <v>3</v>
      </c>
      <c r="I932" s="10">
        <f>IF(OR(D932="Uncategorised",E932=""),"Check","")</f>
        <v/>
      </c>
    </row>
    <row r="933">
      <c r="A933" s="10" t="inlineStr">
        <is>
          <t>Amex Nov-2025</t>
        </is>
      </c>
      <c r="B933" s="11" t="n">
        <v>45968</v>
      </c>
      <c r="C933" s="10" t="inlineStr">
        <is>
          <t>POL BASED HANNAM KEOPISE SEOUL</t>
        </is>
      </c>
      <c r="D933" s="10">
        <f>IFERROR(INDEX('Review Items'!$D:$D,MATCH(C933,'Review Items'!$B:$B,0)),IFERROR(INDEX('Rule Updates'!$B:$B,MATCH(C933,'Rule Updates'!$A:$A,0)),"Uncategorised"))</f>
        <v/>
      </c>
      <c r="E933" s="10">
        <f>IFERROR(INDEX('Review Items'!$E:$E,MATCH(C933,'Review Items'!$B:$B,0)),IFERROR(INDEX('Rule Updates'!$C:$C,MATCH(C933,'Rule Updates'!$A:$A,0)),"Review"))</f>
        <v/>
      </c>
      <c r="F933" s="12" t="n">
        <v>9700</v>
      </c>
      <c r="G933" s="12" t="n">
        <v>52.83</v>
      </c>
      <c r="H933" s="10" t="n">
        <v>3</v>
      </c>
      <c r="I933" s="10">
        <f>IF(OR(D933="Uncategorised",E933=""),"Check","")</f>
        <v/>
      </c>
    </row>
    <row r="934">
      <c r="A934" s="10" t="inlineStr">
        <is>
          <t>Amex Nov-2025</t>
        </is>
      </c>
      <c r="B934" s="11" t="n">
        <v>45968</v>
      </c>
      <c r="C934" s="10" t="inlineStr">
        <is>
          <t>SEUTAENDADEU BEULEDEU SSEOUL</t>
        </is>
      </c>
      <c r="D934" s="10">
        <f>IFERROR(INDEX('Review Items'!$D:$D,MATCH(C934,'Review Items'!$B:$B,0)),IFERROR(INDEX('Rule Updates'!$B:$B,MATCH(C934,'Rule Updates'!$A:$A,0)),"Uncategorised"))</f>
        <v/>
      </c>
      <c r="E934" s="10">
        <f>IFERROR(INDEX('Review Items'!$E:$E,MATCH(C934,'Review Items'!$B:$B,0)),IFERROR(INDEX('Rule Updates'!$C:$C,MATCH(C934,'Rule Updates'!$A:$A,0)),"Review"))</f>
        <v/>
      </c>
      <c r="F934" s="12" t="n">
        <v>14100</v>
      </c>
      <c r="G934" s="12" t="n">
        <v>76.79000000000001</v>
      </c>
      <c r="H934" s="10" t="n">
        <v>8</v>
      </c>
      <c r="I934" s="10">
        <f>IF(OR(D934="Uncategorised",E934=""),"Check","")</f>
        <v/>
      </c>
    </row>
    <row r="935">
      <c r="A935" s="10" t="inlineStr">
        <is>
          <t>Amex Nov-2025</t>
        </is>
      </c>
      <c r="B935" s="11" t="n">
        <v>45968</v>
      </c>
      <c r="C935" s="10" t="inlineStr">
        <is>
          <t>U BER TRIP HTTPS : //HELP.U B</t>
        </is>
      </c>
      <c r="D935" s="10">
        <f>IFERROR(INDEX('Review Items'!$D:$D,MATCH(C935,'Review Items'!$B:$B,0)),IFERROR(INDEX('Rule Updates'!$B:$B,MATCH(C935,'Rule Updates'!$A:$A,0)),"Uncategorised"))</f>
        <v/>
      </c>
      <c r="E935" s="10">
        <f>IFERROR(INDEX('Review Items'!$E:$E,MATCH(C935,'Review Items'!$B:$B,0)),IFERROR(INDEX('Rule Updates'!$C:$C,MATCH(C935,'Rule Updates'!$A:$A,0)),"Review"))</f>
        <v/>
      </c>
      <c r="F935" s="12" t="n">
        <v>15500</v>
      </c>
      <c r="G935" s="12" t="n">
        <v>84.93000000000001</v>
      </c>
      <c r="H935" s="10" t="n">
        <v>3</v>
      </c>
      <c r="I935" s="10">
        <f>IF(OR(D935="Uncategorised",E935=""),"Check","")</f>
        <v/>
      </c>
    </row>
    <row r="936">
      <c r="A936" s="10" t="inlineStr">
        <is>
          <t>Amex Nov-2025</t>
        </is>
      </c>
      <c r="B936" s="11" t="n">
        <v>45969</v>
      </c>
      <c r="C936" s="10" t="inlineStr">
        <is>
          <t>MYTHERESA APAC SERVICES ISLANDS</t>
        </is>
      </c>
      <c r="D936" s="10">
        <f>IFERROR(INDEX('Review Items'!$D:$D,MATCH(C936,'Review Items'!$B:$B,0)),IFERROR(INDEX('Rule Updates'!$B:$B,MATCH(C936,'Rule Updates'!$A:$A,0)),"Uncategorised"))</f>
        <v/>
      </c>
      <c r="E936" s="10">
        <f>IFERROR(INDEX('Review Items'!$E:$E,MATCH(C936,'Review Items'!$B:$B,0)),IFERROR(INDEX('Rule Updates'!$C:$C,MATCH(C936,'Rule Updates'!$A:$A,0)),"Review"))</f>
        <v/>
      </c>
      <c r="F936" s="10" t="n"/>
      <c r="G936" s="12" t="n">
        <v>36520</v>
      </c>
      <c r="H936" s="10" t="n">
        <v>3</v>
      </c>
      <c r="I936" s="10">
        <f>IF(OR(D936="Uncategorised",E936=""),"Check","")</f>
        <v/>
      </c>
    </row>
    <row r="937">
      <c r="A937" s="10" t="inlineStr">
        <is>
          <t>Amex Nov-2025</t>
        </is>
      </c>
      <c r="B937" s="11" t="n">
        <v>45969</v>
      </c>
      <c r="C937" s="10" t="inlineStr">
        <is>
          <t>THE NET-A-PORTER GROUP HONG KONG</t>
        </is>
      </c>
      <c r="D937" s="10">
        <f>IFERROR(INDEX('Review Items'!$D:$D,MATCH(C937,'Review Items'!$B:$B,0)),IFERROR(INDEX('Rule Updates'!$B:$B,MATCH(C937,'Rule Updates'!$A:$A,0)),"Uncategorised"))</f>
        <v/>
      </c>
      <c r="E937" s="10">
        <f>IFERROR(INDEX('Review Items'!$E:$E,MATCH(C937,'Review Items'!$B:$B,0)),IFERROR(INDEX('Rule Updates'!$C:$C,MATCH(C937,'Rule Updates'!$A:$A,0)),"Review"))</f>
        <v/>
      </c>
      <c r="F937" s="10" t="n"/>
      <c r="G937" s="12" t="n">
        <v>5515</v>
      </c>
      <c r="H937" s="10" t="n">
        <v>3</v>
      </c>
      <c r="I937" s="10">
        <f>IF(OR(D937="Uncategorised",E937=""),"Check","")</f>
        <v/>
      </c>
    </row>
    <row r="938">
      <c r="A938" s="10" t="inlineStr">
        <is>
          <t>Amex Nov-2025</t>
        </is>
      </c>
      <c r="B938" s="11" t="n">
        <v>45970</v>
      </c>
      <c r="C938" s="10" t="inlineStr">
        <is>
          <t>( JOO ) INISEUPEULI JEOIJ O J E J U-DO</t>
        </is>
      </c>
      <c r="D938" s="10">
        <f>IFERROR(INDEX('Review Items'!$D:$D,MATCH(C938,'Review Items'!$B:$B,0)),IFERROR(INDEX('Rule Updates'!$B:$B,MATCH(C938,'Rule Updates'!$A:$A,0)),"Uncategorised"))</f>
        <v/>
      </c>
      <c r="E938" s="10">
        <f>IFERROR(INDEX('Review Items'!$E:$E,MATCH(C938,'Review Items'!$B:$B,0)),IFERROR(INDEX('Rule Updates'!$C:$C,MATCH(C938,'Rule Updates'!$A:$A,0)),"Review"))</f>
        <v/>
      </c>
      <c r="F938" s="12" t="n">
        <v>108000</v>
      </c>
      <c r="G938" s="12" t="n">
        <v>588.1</v>
      </c>
      <c r="H938" s="10" t="n">
        <v>4</v>
      </c>
      <c r="I938" s="10">
        <f>IF(OR(D938="Uncategorised",E938=""),"Check","")</f>
        <v/>
      </c>
    </row>
    <row r="939">
      <c r="A939" s="10" t="inlineStr">
        <is>
          <t>Amex Nov-2025</t>
        </is>
      </c>
      <c r="B939" s="11" t="n">
        <v>45970</v>
      </c>
      <c r="C939" s="10" t="inlineStr">
        <is>
          <t>( JOO ) OSEOLLOK JEOI JOOJ E J U-DO</t>
        </is>
      </c>
      <c r="D939" s="10">
        <f>IFERROR(INDEX('Review Items'!$D:$D,MATCH(C939,'Review Items'!$B:$B,0)),IFERROR(INDEX('Rule Updates'!$B:$B,MATCH(C939,'Rule Updates'!$A:$A,0)),"Uncategorised"))</f>
        <v/>
      </c>
      <c r="E939" s="10">
        <f>IFERROR(INDEX('Review Items'!$E:$E,MATCH(C939,'Review Items'!$B:$B,0)),IFERROR(INDEX('Rule Updates'!$C:$C,MATCH(C939,'Rule Updates'!$A:$A,0)),"Review"))</f>
        <v/>
      </c>
      <c r="F939" s="12" t="n">
        <v>8400</v>
      </c>
      <c r="G939" s="12" t="n">
        <v>45.77</v>
      </c>
      <c r="H939" s="10" t="n">
        <v>4</v>
      </c>
      <c r="I939" s="10">
        <f>IF(OR(D939="Uncategorised",E939=""),"Check","")</f>
        <v/>
      </c>
    </row>
    <row r="940">
      <c r="A940" s="10" t="inlineStr">
        <is>
          <t>Amex Nov-2025</t>
        </is>
      </c>
      <c r="B940" s="11" t="n">
        <v>45970</v>
      </c>
      <c r="C940" s="10" t="inlineStr">
        <is>
          <t>THE NET-A-PORTER GROUP HONG KONG</t>
        </is>
      </c>
      <c r="D940" s="10">
        <f>IFERROR(INDEX('Review Items'!$D:$D,MATCH(C940,'Review Items'!$B:$B,0)),IFERROR(INDEX('Rule Updates'!$B:$B,MATCH(C940,'Rule Updates'!$A:$A,0)),"Uncategorised"))</f>
        <v/>
      </c>
      <c r="E940" s="10">
        <f>IFERROR(INDEX('Review Items'!$E:$E,MATCH(C940,'Review Items'!$B:$B,0)),IFERROR(INDEX('Rule Updates'!$C:$C,MATCH(C940,'Rule Updates'!$A:$A,0)),"Review"))</f>
        <v/>
      </c>
      <c r="F940" s="10" t="n"/>
      <c r="G940" s="12" t="n">
        <v>-46284</v>
      </c>
      <c r="H940" s="10" t="n">
        <v>4</v>
      </c>
      <c r="I940" s="10">
        <f>IF(OR(D940="Uncategorised",E940=""),"Check","")</f>
        <v/>
      </c>
    </row>
    <row r="941">
      <c r="A941" s="10" t="inlineStr">
        <is>
          <t>Amex Nov-2025</t>
        </is>
      </c>
      <c r="B941" s="11" t="n">
        <v>45970</v>
      </c>
      <c r="C941" s="10" t="inlineStr">
        <is>
          <t>THE NET-A-PORTER GROUP HONG KONG</t>
        </is>
      </c>
      <c r="D941" s="10">
        <f>IFERROR(INDEX('Review Items'!$D:$D,MATCH(C941,'Review Items'!$B:$B,0)),IFERROR(INDEX('Rule Updates'!$B:$B,MATCH(C941,'Rule Updates'!$A:$A,0)),"Uncategorised"))</f>
        <v/>
      </c>
      <c r="E941" s="10">
        <f>IFERROR(INDEX('Review Items'!$E:$E,MATCH(C941,'Review Items'!$B:$B,0)),IFERROR(INDEX('Rule Updates'!$C:$C,MATCH(C941,'Rule Updates'!$A:$A,0)),"Review"))</f>
        <v/>
      </c>
      <c r="F941" s="10" t="n"/>
      <c r="G941" s="12" t="n">
        <v>-58140</v>
      </c>
      <c r="H941" s="10" t="n">
        <v>4</v>
      </c>
      <c r="I941" s="10">
        <f>IF(OR(D941="Uncategorised",E941=""),"Check","")</f>
        <v/>
      </c>
    </row>
    <row r="942">
      <c r="A942" s="10" t="inlineStr">
        <is>
          <t>Amex Nov-2025</t>
        </is>
      </c>
      <c r="B942" s="11" t="n">
        <v>45971</v>
      </c>
      <c r="C942" s="10" t="inlineStr">
        <is>
          <t>AMA ZON PRIME * 1 O 0 G 12 UG 5 AMZ N.CO.UK/PM</t>
        </is>
      </c>
      <c r="D942" s="10">
        <f>IFERROR(INDEX('Review Items'!$D:$D,MATCH(C942,'Review Items'!$B:$B,0)),IFERROR(INDEX('Rule Updates'!$B:$B,MATCH(C942,'Rule Updates'!$A:$A,0)),"Uncategorised"))</f>
        <v/>
      </c>
      <c r="E942" s="10">
        <f>IFERROR(INDEX('Review Items'!$E:$E,MATCH(C942,'Review Items'!$B:$B,0)),IFERROR(INDEX('Rule Updates'!$C:$C,MATCH(C942,'Rule Updates'!$A:$A,0)),"Review"))</f>
        <v/>
      </c>
      <c r="F942" s="12" t="n">
        <v>8.99</v>
      </c>
      <c r="G942" s="12" t="n">
        <v>94.01000000000001</v>
      </c>
      <c r="H942" s="10" t="n">
        <v>4</v>
      </c>
      <c r="I942" s="10">
        <f>IF(OR(D942="Uncategorised",E942=""),"Check","")</f>
        <v/>
      </c>
    </row>
    <row r="943">
      <c r="A943" s="10" t="inlineStr">
        <is>
          <t>Amex Nov-2025</t>
        </is>
      </c>
      <c r="B943" s="11" t="n">
        <v>45971</v>
      </c>
      <c r="C943" s="10" t="inlineStr">
        <is>
          <t>BONTAE BAKMOOLGOANJ E J U-DO</t>
        </is>
      </c>
      <c r="D943" s="10">
        <f>IFERROR(INDEX('Review Items'!$D:$D,MATCH(C943,'Review Items'!$B:$B,0)),IFERROR(INDEX('Rule Updates'!$B:$B,MATCH(C943,'Rule Updates'!$A:$A,0)),"Uncategorised"))</f>
        <v/>
      </c>
      <c r="E943" s="10">
        <f>IFERROR(INDEX('Review Items'!$E:$E,MATCH(C943,'Review Items'!$B:$B,0)),IFERROR(INDEX('Rule Updates'!$C:$C,MATCH(C943,'Rule Updates'!$A:$A,0)),"Review"))</f>
        <v/>
      </c>
      <c r="F943" s="12" t="n">
        <v>150000</v>
      </c>
      <c r="G943" s="12" t="n">
        <v>819.46</v>
      </c>
      <c r="H943" s="10" t="n">
        <v>4</v>
      </c>
      <c r="I943" s="10">
        <f>IF(OR(D943="Uncategorised",E943=""),"Check","")</f>
        <v/>
      </c>
    </row>
    <row r="944">
      <c r="A944" s="10" t="inlineStr">
        <is>
          <t>Amex Nov-2025</t>
        </is>
      </c>
      <c r="B944" s="11" t="n">
        <v>45971</v>
      </c>
      <c r="C944" s="10" t="inlineStr">
        <is>
          <t>FAR FETCH LONDON</t>
        </is>
      </c>
      <c r="D944" s="10">
        <f>IFERROR(INDEX('Review Items'!$D:$D,MATCH(C944,'Review Items'!$B:$B,0)),IFERROR(INDEX('Rule Updates'!$B:$B,MATCH(C944,'Rule Updates'!$A:$A,0)),"Uncategorised"))</f>
        <v/>
      </c>
      <c r="E944" s="10">
        <f>IFERROR(INDEX('Review Items'!$E:$E,MATCH(C944,'Review Items'!$B:$B,0)),IFERROR(INDEX('Rule Updates'!$C:$C,MATCH(C944,'Rule Updates'!$A:$A,0)),"Review"))</f>
        <v/>
      </c>
      <c r="F944" s="10" t="n"/>
      <c r="G944" s="12" t="n">
        <v>-2595</v>
      </c>
      <c r="H944" s="10" t="n">
        <v>4</v>
      </c>
      <c r="I944" s="10">
        <f>IF(OR(D944="Uncategorised",E944=""),"Check","")</f>
        <v/>
      </c>
    </row>
    <row r="945">
      <c r="A945" s="10" t="inlineStr">
        <is>
          <t>Amex Nov-2025</t>
        </is>
      </c>
      <c r="B945" s="11" t="n">
        <v>45971</v>
      </c>
      <c r="C945" s="10" t="inlineStr">
        <is>
          <t>FAR FETCH LONDON</t>
        </is>
      </c>
      <c r="D945" s="10">
        <f>IFERROR(INDEX('Review Items'!$D:$D,MATCH(C945,'Review Items'!$B:$B,0)),IFERROR(INDEX('Rule Updates'!$B:$B,MATCH(C945,'Rule Updates'!$A:$A,0)),"Uncategorised"))</f>
        <v/>
      </c>
      <c r="E945" s="10">
        <f>IFERROR(INDEX('Review Items'!$E:$E,MATCH(C945,'Review Items'!$B:$B,0)),IFERROR(INDEX('Rule Updates'!$C:$C,MATCH(C945,'Rule Updates'!$A:$A,0)),"Review"))</f>
        <v/>
      </c>
      <c r="F945" s="10" t="n"/>
      <c r="G945" s="12" t="n">
        <v>-5922</v>
      </c>
      <c r="H945" s="10" t="n">
        <v>4</v>
      </c>
      <c r="I945" s="10">
        <f>IF(OR(D945="Uncategorised",E945=""),"Check","")</f>
        <v/>
      </c>
    </row>
    <row r="946">
      <c r="A946" s="10" t="inlineStr">
        <is>
          <t>Amex Nov-2025</t>
        </is>
      </c>
      <c r="B946" s="11" t="n">
        <v>45971</v>
      </c>
      <c r="C946" s="10" t="inlineStr">
        <is>
          <t>FAR FETCH LONDON</t>
        </is>
      </c>
      <c r="D946" s="10">
        <f>IFERROR(INDEX('Review Items'!$D:$D,MATCH(C946,'Review Items'!$B:$B,0)),IFERROR(INDEX('Rule Updates'!$B:$B,MATCH(C946,'Rule Updates'!$A:$A,0)),"Uncategorised"))</f>
        <v/>
      </c>
      <c r="E946" s="10">
        <f>IFERROR(INDEX('Review Items'!$E:$E,MATCH(C946,'Review Items'!$B:$B,0)),IFERROR(INDEX('Rule Updates'!$C:$C,MATCH(C946,'Rule Updates'!$A:$A,0)),"Review"))</f>
        <v/>
      </c>
      <c r="F946" s="10" t="n"/>
      <c r="G946" s="12" t="n">
        <v>-3177.75</v>
      </c>
      <c r="H946" s="10" t="n">
        <v>4</v>
      </c>
      <c r="I946" s="10">
        <f>IF(OR(D946="Uncategorised",E946=""),"Check","")</f>
        <v/>
      </c>
    </row>
    <row r="947">
      <c r="A947" s="10" t="inlineStr">
        <is>
          <t>Amex Nov-2025</t>
        </is>
      </c>
      <c r="B947" s="11" t="n">
        <v>45971</v>
      </c>
      <c r="C947" s="10" t="inlineStr">
        <is>
          <t>Hy u ndai Department Stor SEOUL</t>
        </is>
      </c>
      <c r="D947" s="10">
        <f>IFERROR(INDEX('Review Items'!$D:$D,MATCH(C947,'Review Items'!$B:$B,0)),IFERROR(INDEX('Rule Updates'!$B:$B,MATCH(C947,'Rule Updates'!$A:$A,0)),"Uncategorised"))</f>
        <v/>
      </c>
      <c r="E947" s="10">
        <f>IFERROR(INDEX('Review Items'!$E:$E,MATCH(C947,'Review Items'!$B:$B,0)),IFERROR(INDEX('Rule Updates'!$C:$C,MATCH(C947,'Rule Updates'!$A:$A,0)),"Review"))</f>
        <v/>
      </c>
      <c r="F947" s="12" t="n">
        <v>646440</v>
      </c>
      <c r="G947" s="12" t="n">
        <v>3531.52</v>
      </c>
      <c r="H947" s="10" t="n">
        <v>8</v>
      </c>
      <c r="I947" s="10">
        <f>IF(OR(D947="Uncategorised",E947=""),"Check","")</f>
        <v/>
      </c>
    </row>
    <row r="948">
      <c r="A948" s="10" t="inlineStr">
        <is>
          <t>Amex Nov-2025</t>
        </is>
      </c>
      <c r="B948" s="11" t="n">
        <v>45971</v>
      </c>
      <c r="C948" s="10" t="inlineStr">
        <is>
          <t>Hy u ndai Department Stor SEOUL</t>
        </is>
      </c>
      <c r="D948" s="10">
        <f>IFERROR(INDEX('Review Items'!$D:$D,MATCH(C948,'Review Items'!$B:$B,0)),IFERROR(INDEX('Rule Updates'!$B:$B,MATCH(C948,'Rule Updates'!$A:$A,0)),"Uncategorised"))</f>
        <v/>
      </c>
      <c r="E948" s="10">
        <f>IFERROR(INDEX('Review Items'!$E:$E,MATCH(C948,'Review Items'!$B:$B,0)),IFERROR(INDEX('Rule Updates'!$C:$C,MATCH(C948,'Rule Updates'!$A:$A,0)),"Review"))</f>
        <v/>
      </c>
      <c r="F948" s="12" t="n">
        <v>104056</v>
      </c>
      <c r="G948" s="12" t="n">
        <v>568.4299999999999</v>
      </c>
      <c r="H948" s="10" t="n">
        <v>8</v>
      </c>
      <c r="I948" s="10">
        <f>IF(OR(D948="Uncategorised",E948=""),"Check","")</f>
        <v/>
      </c>
    </row>
    <row r="949">
      <c r="A949" s="10" t="inlineStr">
        <is>
          <t>Amex Nov-2025</t>
        </is>
      </c>
      <c r="B949" s="11" t="n">
        <v>45971</v>
      </c>
      <c r="C949" s="10" t="inlineStr">
        <is>
          <t>OLD PARSONAGE HOTELO X FORD</t>
        </is>
      </c>
      <c r="D949" s="10">
        <f>IFERROR(INDEX('Review Items'!$D:$D,MATCH(C949,'Review Items'!$B:$B,0)),IFERROR(INDEX('Rule Updates'!$B:$B,MATCH(C949,'Rule Updates'!$A:$A,0)),"Uncategorised"))</f>
        <v/>
      </c>
      <c r="E949" s="10">
        <f>IFERROR(INDEX('Review Items'!$E:$E,MATCH(C949,'Review Items'!$B:$B,0)),IFERROR(INDEX('Rule Updates'!$C:$C,MATCH(C949,'Rule Updates'!$A:$A,0)),"Review"))</f>
        <v/>
      </c>
      <c r="F949" s="12" t="n">
        <v>195</v>
      </c>
      <c r="G949" s="12" t="n">
        <v>2040.15</v>
      </c>
      <c r="H949" s="10" t="n">
        <v>8</v>
      </c>
      <c r="I949" s="10">
        <f>IF(OR(D949="Uncategorised",E949=""),"Check","")</f>
        <v/>
      </c>
    </row>
    <row r="950">
      <c r="A950" s="10" t="inlineStr">
        <is>
          <t>Amex Nov-2025</t>
        </is>
      </c>
      <c r="B950" s="11" t="n">
        <v>45971</v>
      </c>
      <c r="C950" s="10" t="inlineStr">
        <is>
          <t>OLD PARSONAGE HOTELO X FORD</t>
        </is>
      </c>
      <c r="D950" s="10">
        <f>IFERROR(INDEX('Review Items'!$D:$D,MATCH(C950,'Review Items'!$B:$B,0)),IFERROR(INDEX('Rule Updates'!$B:$B,MATCH(C950,'Rule Updates'!$A:$A,0)),"Uncategorised"))</f>
        <v/>
      </c>
      <c r="E950" s="10">
        <f>IFERROR(INDEX('Review Items'!$E:$E,MATCH(C950,'Review Items'!$B:$B,0)),IFERROR(INDEX('Rule Updates'!$C:$C,MATCH(C950,'Rule Updates'!$A:$A,0)),"Review"))</f>
        <v/>
      </c>
      <c r="F950" s="12" t="n">
        <v>250</v>
      </c>
      <c r="G950" s="12" t="n">
        <v>2615.64</v>
      </c>
      <c r="H950" s="10" t="n">
        <v>8</v>
      </c>
      <c r="I950" s="10">
        <f>IF(OR(D950="Uncategorised",E950=""),"Check","")</f>
        <v/>
      </c>
    </row>
    <row r="951">
      <c r="A951" s="10" t="inlineStr">
        <is>
          <t>Amex Nov-2025</t>
        </is>
      </c>
      <c r="B951" s="11" t="n">
        <v>45972</v>
      </c>
      <c r="C951" s="10" t="inlineStr">
        <is>
          <t>DAMGILJ E J U-DO</t>
        </is>
      </c>
      <c r="D951" s="10">
        <f>IFERROR(INDEX('Review Items'!$D:$D,MATCH(C951,'Review Items'!$B:$B,0)),IFERROR(INDEX('Rule Updates'!$B:$B,MATCH(C951,'Rule Updates'!$A:$A,0)),"Uncategorised"))</f>
        <v/>
      </c>
      <c r="E951" s="10">
        <f>IFERROR(INDEX('Review Items'!$E:$E,MATCH(C951,'Review Items'!$B:$B,0)),IFERROR(INDEX('Rule Updates'!$C:$C,MATCH(C951,'Rule Updates'!$A:$A,0)),"Review"))</f>
        <v/>
      </c>
      <c r="F951" s="12" t="n">
        <v>22000</v>
      </c>
      <c r="G951" s="12" t="n">
        <v>119.16</v>
      </c>
      <c r="H951" s="10" t="n">
        <v>4</v>
      </c>
      <c r="I951" s="10">
        <f>IF(OR(D951="Uncategorised",E951=""),"Check","")</f>
        <v/>
      </c>
    </row>
    <row r="952">
      <c r="A952" s="10" t="inlineStr">
        <is>
          <t>Amex Nov-2025</t>
        </is>
      </c>
      <c r="B952" s="11" t="n">
        <v>45972</v>
      </c>
      <c r="C952" s="10" t="inlineStr">
        <is>
          <t>FAR FETCH LONDON</t>
        </is>
      </c>
      <c r="D952" s="10">
        <f>IFERROR(INDEX('Review Items'!$D:$D,MATCH(C952,'Review Items'!$B:$B,0)),IFERROR(INDEX('Rule Updates'!$B:$B,MATCH(C952,'Rule Updates'!$A:$A,0)),"Uncategorised"))</f>
        <v/>
      </c>
      <c r="E952" s="10">
        <f>IFERROR(INDEX('Review Items'!$E:$E,MATCH(C952,'Review Items'!$B:$B,0)),IFERROR(INDEX('Rule Updates'!$C:$C,MATCH(C952,'Rule Updates'!$A:$A,0)),"Review"))</f>
        <v/>
      </c>
      <c r="F952" s="10" t="n"/>
      <c r="G952" s="12" t="n">
        <v>-4435.5</v>
      </c>
      <c r="H952" s="10" t="n">
        <v>4</v>
      </c>
      <c r="I952" s="10">
        <f>IF(OR(D952="Uncategorised",E952=""),"Check","")</f>
        <v/>
      </c>
    </row>
    <row r="953">
      <c r="A953" s="10" t="inlineStr">
        <is>
          <t>Amex Nov-2025</t>
        </is>
      </c>
      <c r="B953" s="11" t="n">
        <v>45973</v>
      </c>
      <c r="C953" s="10" t="inlineStr">
        <is>
          <t>FAR FETCH LONDON</t>
        </is>
      </c>
      <c r="D953" s="10">
        <f>IFERROR(INDEX('Review Items'!$D:$D,MATCH(C953,'Review Items'!$B:$B,0)),IFERROR(INDEX('Rule Updates'!$B:$B,MATCH(C953,'Rule Updates'!$A:$A,0)),"Uncategorised"))</f>
        <v/>
      </c>
      <c r="E953" s="10">
        <f>IFERROR(INDEX('Review Items'!$E:$E,MATCH(C953,'Review Items'!$B:$B,0)),IFERROR(INDEX('Rule Updates'!$C:$C,MATCH(C953,'Rule Updates'!$A:$A,0)),"Review"))</f>
        <v/>
      </c>
      <c r="F953" s="10" t="n"/>
      <c r="G953" s="12" t="n">
        <v>-3537</v>
      </c>
      <c r="H953" s="10" t="n">
        <v>4</v>
      </c>
      <c r="I953" s="10">
        <f>IF(OR(D953="Uncategorised",E953=""),"Check","")</f>
        <v/>
      </c>
    </row>
    <row r="954">
      <c r="A954" s="10" t="inlineStr">
        <is>
          <t>Amex Nov-2025</t>
        </is>
      </c>
      <c r="B954" s="11" t="n">
        <v>45973</v>
      </c>
      <c r="C954" s="10" t="inlineStr">
        <is>
          <t>skPinx Go l f C l u b J E J U-DO</t>
        </is>
      </c>
      <c r="D954" s="10">
        <f>IFERROR(INDEX('Review Items'!$D:$D,MATCH(C954,'Review Items'!$B:$B,0)),IFERROR(INDEX('Rule Updates'!$B:$B,MATCH(C954,'Rule Updates'!$A:$A,0)),"Uncategorised"))</f>
        <v/>
      </c>
      <c r="E954" s="10">
        <f>IFERROR(INDEX('Review Items'!$E:$E,MATCH(C954,'Review Items'!$B:$B,0)),IFERROR(INDEX('Rule Updates'!$C:$C,MATCH(C954,'Rule Updates'!$A:$A,0)),"Review"))</f>
        <v/>
      </c>
      <c r="F954" s="12" t="n">
        <v>2515000</v>
      </c>
      <c r="G954" s="12" t="n">
        <v>13600.24</v>
      </c>
      <c r="H954" s="10" t="n">
        <v>4</v>
      </c>
      <c r="I954" s="10">
        <f>IF(OR(D954="Uncategorised",E954=""),"Check","")</f>
        <v/>
      </c>
    </row>
    <row r="955">
      <c r="A955" s="10" t="inlineStr">
        <is>
          <t>Amex Nov-2025</t>
        </is>
      </c>
      <c r="B955" s="11" t="n">
        <v>45973</v>
      </c>
      <c r="C955" s="10" t="inlineStr">
        <is>
          <t>skPinx Go l f C l u b J E J U-DO</t>
        </is>
      </c>
      <c r="D955" s="10">
        <f>IFERROR(INDEX('Review Items'!$D:$D,MATCH(C955,'Review Items'!$B:$B,0)),IFERROR(INDEX('Rule Updates'!$B:$B,MATCH(C955,'Rule Updates'!$A:$A,0)),"Uncategorised"))</f>
        <v/>
      </c>
      <c r="E955" s="10">
        <f>IFERROR(INDEX('Review Items'!$E:$E,MATCH(C955,'Review Items'!$B:$B,0)),IFERROR(INDEX('Rule Updates'!$C:$C,MATCH(C955,'Rule Updates'!$A:$A,0)),"Review"))</f>
        <v/>
      </c>
      <c r="F955" s="12" t="n">
        <v>9200</v>
      </c>
      <c r="G955" s="12" t="n">
        <v>49.77</v>
      </c>
      <c r="H955" s="10" t="n">
        <v>4</v>
      </c>
      <c r="I955" s="10">
        <f>IF(OR(D955="Uncategorised",E955=""),"Check","")</f>
        <v/>
      </c>
    </row>
    <row r="956">
      <c r="A956" s="10" t="inlineStr">
        <is>
          <t>Amex Nov-2025</t>
        </is>
      </c>
      <c r="B956" s="11" t="n">
        <v>45974</v>
      </c>
      <c r="C956" s="10" t="inlineStr">
        <is>
          <t>ASIA MILES LIMITED HONG KONG</t>
        </is>
      </c>
      <c r="D956" s="10">
        <f>IFERROR(INDEX('Review Items'!$D:$D,MATCH(C956,'Review Items'!$B:$B,0)),IFERROR(INDEX('Rule Updates'!$B:$B,MATCH(C956,'Rule Updates'!$A:$A,0)),"Uncategorised"))</f>
        <v/>
      </c>
      <c r="E956" s="10">
        <f>IFERROR(INDEX('Review Items'!$E:$E,MATCH(C956,'Review Items'!$B:$B,0)),IFERROR(INDEX('Rule Updates'!$C:$C,MATCH(C956,'Rule Updates'!$A:$A,0)),"Review"))</f>
        <v/>
      </c>
      <c r="F956" s="10" t="n"/>
      <c r="G956" s="12" t="n">
        <v>1029</v>
      </c>
      <c r="H956" s="10" t="n">
        <v>8</v>
      </c>
      <c r="I956" s="10">
        <f>IF(OR(D956="Uncategorised",E956=""),"Check","")</f>
        <v/>
      </c>
    </row>
    <row r="957">
      <c r="A957" s="10" t="inlineStr">
        <is>
          <t>Amex Nov-2025</t>
        </is>
      </c>
      <c r="B957" s="11" t="n">
        <v>45974</v>
      </c>
      <c r="C957" s="10" t="inlineStr">
        <is>
          <t>FAR FETCH LONDON</t>
        </is>
      </c>
      <c r="D957" s="10">
        <f>IFERROR(INDEX('Review Items'!$D:$D,MATCH(C957,'Review Items'!$B:$B,0)),IFERROR(INDEX('Rule Updates'!$B:$B,MATCH(C957,'Rule Updates'!$A:$A,0)),"Uncategorised"))</f>
        <v/>
      </c>
      <c r="E957" s="10">
        <f>IFERROR(INDEX('Review Items'!$E:$E,MATCH(C957,'Review Items'!$B:$B,0)),IFERROR(INDEX('Rule Updates'!$C:$C,MATCH(C957,'Rule Updates'!$A:$A,0)),"Review"))</f>
        <v/>
      </c>
      <c r="F957" s="10" t="n"/>
      <c r="G957" s="12" t="n">
        <v>-5175</v>
      </c>
      <c r="H957" s="10" t="n">
        <v>4</v>
      </c>
      <c r="I957" s="10">
        <f>IF(OR(D957="Uncategorised",E957=""),"Check","")</f>
        <v/>
      </c>
    </row>
    <row r="958">
      <c r="A958" s="10" t="inlineStr">
        <is>
          <t>Amex Nov-2025</t>
        </is>
      </c>
      <c r="B958" s="11" t="n">
        <v>45974</v>
      </c>
      <c r="C958" s="10" t="inlineStr">
        <is>
          <t>FOURSTONES PARNASMALL SEOUL</t>
        </is>
      </c>
      <c r="D958" s="10">
        <f>IFERROR(INDEX('Review Items'!$D:$D,MATCH(C958,'Review Items'!$B:$B,0)),IFERROR(INDEX('Rule Updates'!$B:$B,MATCH(C958,'Rule Updates'!$A:$A,0)),"Uncategorised"))</f>
        <v/>
      </c>
      <c r="E958" s="10">
        <f>IFERROR(INDEX('Review Items'!$E:$E,MATCH(C958,'Review Items'!$B:$B,0)),IFERROR(INDEX('Rule Updates'!$C:$C,MATCH(C958,'Rule Updates'!$A:$A,0)),"Review"))</f>
        <v/>
      </c>
      <c r="F958" s="12" t="n">
        <v>13000</v>
      </c>
      <c r="G958" s="12" t="n">
        <v>70.22</v>
      </c>
      <c r="H958" s="10" t="n">
        <v>4</v>
      </c>
      <c r="I958" s="10">
        <f>IF(OR(D958="Uncategorised",E958=""),"Check","")</f>
        <v/>
      </c>
    </row>
    <row r="959">
      <c r="A959" s="10" t="inlineStr">
        <is>
          <t>Amex Nov-2025</t>
        </is>
      </c>
      <c r="B959" s="11" t="n">
        <v>45974</v>
      </c>
      <c r="C959" s="10" t="inlineStr">
        <is>
          <t>Grand Intercontinenta l SEOUL</t>
        </is>
      </c>
      <c r="D959" s="10">
        <f>IFERROR(INDEX('Review Items'!$D:$D,MATCH(C959,'Review Items'!$B:$B,0)),IFERROR(INDEX('Rule Updates'!$B:$B,MATCH(C959,'Rule Updates'!$A:$A,0)),"Uncategorised"))</f>
        <v/>
      </c>
      <c r="E959" s="10">
        <f>IFERROR(INDEX('Review Items'!$E:$E,MATCH(C959,'Review Items'!$B:$B,0)),IFERROR(INDEX('Rule Updates'!$C:$C,MATCH(C959,'Rule Updates'!$A:$A,0)),"Review"))</f>
        <v/>
      </c>
      <c r="F959" s="12" t="n">
        <v>38000</v>
      </c>
      <c r="G959" s="12" t="n">
        <v>205.2</v>
      </c>
      <c r="H959" s="10" t="n">
        <v>4</v>
      </c>
      <c r="I959" s="10">
        <f>IF(OR(D959="Uncategorised",E959=""),"Check","")</f>
        <v/>
      </c>
    </row>
    <row r="960">
      <c r="A960" s="10" t="inlineStr">
        <is>
          <t>Amex Nov-2025</t>
        </is>
      </c>
      <c r="B960" s="11" t="n">
        <v>45974</v>
      </c>
      <c r="C960" s="10" t="inlineStr">
        <is>
          <t>Grand Intercontinenta l SEOUL</t>
        </is>
      </c>
      <c r="D960" s="10">
        <f>IFERROR(INDEX('Review Items'!$D:$D,MATCH(C960,'Review Items'!$B:$B,0)),IFERROR(INDEX('Rule Updates'!$B:$B,MATCH(C960,'Rule Updates'!$A:$A,0)),"Uncategorised"))</f>
        <v/>
      </c>
      <c r="E960" s="10">
        <f>IFERROR(INDEX('Review Items'!$E:$E,MATCH(C960,'Review Items'!$B:$B,0)),IFERROR(INDEX('Rule Updates'!$C:$C,MATCH(C960,'Rule Updates'!$A:$A,0)),"Review"))</f>
        <v/>
      </c>
      <c r="F960" s="12" t="n">
        <v>363000</v>
      </c>
      <c r="G960" s="12" t="n">
        <v>1974.84</v>
      </c>
      <c r="H960" s="10" t="n">
        <v>5</v>
      </c>
      <c r="I960" s="10">
        <f>IF(OR(D960="Uncategorised",E960=""),"Check","")</f>
        <v/>
      </c>
    </row>
    <row r="961">
      <c r="A961" s="10" t="inlineStr">
        <is>
          <t>Amex Nov-2025</t>
        </is>
      </c>
      <c r="B961" s="11" t="n">
        <v>45974</v>
      </c>
      <c r="C961" s="10" t="inlineStr">
        <is>
          <t>Hy u ndai Department Stor SEOUL</t>
        </is>
      </c>
      <c r="D961" s="10">
        <f>IFERROR(INDEX('Review Items'!$D:$D,MATCH(C961,'Review Items'!$B:$B,0)),IFERROR(INDEX('Rule Updates'!$B:$B,MATCH(C961,'Rule Updates'!$A:$A,0)),"Uncategorised"))</f>
        <v/>
      </c>
      <c r="E961" s="10">
        <f>IFERROR(INDEX('Review Items'!$E:$E,MATCH(C961,'Review Items'!$B:$B,0)),IFERROR(INDEX('Rule Updates'!$C:$C,MATCH(C961,'Rule Updates'!$A:$A,0)),"Review"))</f>
        <v/>
      </c>
      <c r="F961" s="12" t="n">
        <v>14000</v>
      </c>
      <c r="G961" s="12" t="n">
        <v>75.61</v>
      </c>
      <c r="H961" s="10" t="n">
        <v>4</v>
      </c>
      <c r="I961" s="10">
        <f>IF(OR(D961="Uncategorised",E961=""),"Check","")</f>
        <v/>
      </c>
    </row>
    <row r="962">
      <c r="A962" s="10" t="inlineStr">
        <is>
          <t>Amex Nov-2025</t>
        </is>
      </c>
      <c r="B962" s="11" t="n">
        <v>45974</v>
      </c>
      <c r="C962" s="10" t="inlineStr">
        <is>
          <t>Hy u ndai Department Stor SEOUL</t>
        </is>
      </c>
      <c r="D962" s="10">
        <f>IFERROR(INDEX('Review Items'!$D:$D,MATCH(C962,'Review Items'!$B:$B,0)),IFERROR(INDEX('Rule Updates'!$B:$B,MATCH(C962,'Rule Updates'!$A:$A,0)),"Uncategorised"))</f>
        <v/>
      </c>
      <c r="E962" s="10">
        <f>IFERROR(INDEX('Review Items'!$E:$E,MATCH(C962,'Review Items'!$B:$B,0)),IFERROR(INDEX('Rule Updates'!$C:$C,MATCH(C962,'Rule Updates'!$A:$A,0)),"Review"))</f>
        <v/>
      </c>
      <c r="F962" s="12" t="n">
        <v>31300</v>
      </c>
      <c r="G962" s="12" t="n">
        <v>169.06</v>
      </c>
      <c r="H962" s="10" t="n">
        <v>5</v>
      </c>
      <c r="I962" s="10">
        <f>IF(OR(D962="Uncategorised",E962=""),"Check","")</f>
        <v/>
      </c>
    </row>
    <row r="963">
      <c r="A963" s="10" t="inlineStr">
        <is>
          <t>Amex Nov-2025</t>
        </is>
      </c>
      <c r="B963" s="11" t="n">
        <v>45974</v>
      </c>
      <c r="C963" s="10" t="inlineStr">
        <is>
          <t>Hy u ndai Department Stor SEOUL</t>
        </is>
      </c>
      <c r="D963" s="10">
        <f>IFERROR(INDEX('Review Items'!$D:$D,MATCH(C963,'Review Items'!$B:$B,0)),IFERROR(INDEX('Rule Updates'!$B:$B,MATCH(C963,'Rule Updates'!$A:$A,0)),"Uncategorised"))</f>
        <v/>
      </c>
      <c r="E963" s="10">
        <f>IFERROR(INDEX('Review Items'!$E:$E,MATCH(C963,'Review Items'!$B:$B,0)),IFERROR(INDEX('Rule Updates'!$C:$C,MATCH(C963,'Rule Updates'!$A:$A,0)),"Review"))</f>
        <v/>
      </c>
      <c r="F963" s="12" t="n">
        <v>830</v>
      </c>
      <c r="G963" s="12" t="n">
        <v>4.51</v>
      </c>
      <c r="H963" s="10" t="n">
        <v>5</v>
      </c>
      <c r="I963" s="10">
        <f>IF(OR(D963="Uncategorised",E963=""),"Check","")</f>
        <v/>
      </c>
    </row>
    <row r="964">
      <c r="A964" s="10" t="inlineStr">
        <is>
          <t>Amex Nov-2025</t>
        </is>
      </c>
      <c r="B964" s="11" t="n">
        <v>45974</v>
      </c>
      <c r="C964" s="10" t="inlineStr">
        <is>
          <t>O l i v e Yo u ng SEOUL</t>
        </is>
      </c>
      <c r="D964" s="10">
        <f>IFERROR(INDEX('Review Items'!$D:$D,MATCH(C964,'Review Items'!$B:$B,0)),IFERROR(INDEX('Rule Updates'!$B:$B,MATCH(C964,'Rule Updates'!$A:$A,0)),"Uncategorised"))</f>
        <v/>
      </c>
      <c r="E964" s="10">
        <f>IFERROR(INDEX('Review Items'!$E:$E,MATCH(C964,'Review Items'!$B:$B,0)),IFERROR(INDEX('Rule Updates'!$C:$C,MATCH(C964,'Rule Updates'!$A:$A,0)),"Review"))</f>
        <v/>
      </c>
      <c r="F964" s="12" t="n">
        <v>264200</v>
      </c>
      <c r="G964" s="12" t="n">
        <v>1437.33</v>
      </c>
      <c r="H964" s="10" t="n">
        <v>5</v>
      </c>
      <c r="I964" s="10">
        <f>IF(OR(D964="Uncategorised",E964=""),"Check","")</f>
        <v/>
      </c>
    </row>
    <row r="965">
      <c r="A965" s="10" t="inlineStr">
        <is>
          <t>Amex Nov-2025</t>
        </is>
      </c>
      <c r="B965" s="11" t="n">
        <v>45975</v>
      </c>
      <c r="C965" s="10" t="inlineStr">
        <is>
          <t>FAR FETCH LONDON</t>
        </is>
      </c>
      <c r="D965" s="10">
        <f>IFERROR(INDEX('Review Items'!$D:$D,MATCH(C965,'Review Items'!$B:$B,0)),IFERROR(INDEX('Rule Updates'!$B:$B,MATCH(C965,'Rule Updates'!$A:$A,0)),"Uncategorised"))</f>
        <v/>
      </c>
      <c r="E965" s="10">
        <f>IFERROR(INDEX('Review Items'!$E:$E,MATCH(C965,'Review Items'!$B:$B,0)),IFERROR(INDEX('Rule Updates'!$C:$C,MATCH(C965,'Rule Updates'!$A:$A,0)),"Review"))</f>
        <v/>
      </c>
      <c r="F965" s="10" t="n"/>
      <c r="G965" s="12" t="n">
        <v>-17440</v>
      </c>
      <c r="H965" s="10" t="n">
        <v>5</v>
      </c>
      <c r="I965" s="10">
        <f>IF(OR(D965="Uncategorised",E965=""),"Check","")</f>
        <v/>
      </c>
    </row>
    <row r="966">
      <c r="A966" s="10" t="inlineStr">
        <is>
          <t>Amex Nov-2025</t>
        </is>
      </c>
      <c r="B966" s="11" t="n">
        <v>45975</v>
      </c>
      <c r="C966" s="10" t="inlineStr">
        <is>
          <t>He ll o Pharmacy INCHEON</t>
        </is>
      </c>
      <c r="D966" s="10">
        <f>IFERROR(INDEX('Review Items'!$D:$D,MATCH(C966,'Review Items'!$B:$B,0)),IFERROR(INDEX('Rule Updates'!$B:$B,MATCH(C966,'Rule Updates'!$A:$A,0)),"Uncategorised"))</f>
        <v/>
      </c>
      <c r="E966" s="10">
        <f>IFERROR(INDEX('Review Items'!$E:$E,MATCH(C966,'Review Items'!$B:$B,0)),IFERROR(INDEX('Rule Updates'!$C:$C,MATCH(C966,'Rule Updates'!$A:$A,0)),"Review"))</f>
        <v/>
      </c>
      <c r="F966" s="12" t="n">
        <v>9000</v>
      </c>
      <c r="G966" s="12" t="n">
        <v>48.99</v>
      </c>
      <c r="H966" s="10" t="n">
        <v>5</v>
      </c>
      <c r="I966" s="10">
        <f>IF(OR(D966="Uncategorised",E966=""),"Check","")</f>
        <v/>
      </c>
    </row>
    <row r="967">
      <c r="A967" s="10" t="inlineStr">
        <is>
          <t>Amex Nov-2025</t>
        </is>
      </c>
      <c r="B967" s="11" t="n">
        <v>45975</v>
      </c>
      <c r="C967" s="10" t="inlineStr">
        <is>
          <t>IL COLPO PACI FIC PLACE ADMIRALTY</t>
        </is>
      </c>
      <c r="D967" s="10">
        <f>IFERROR(INDEX('Review Items'!$D:$D,MATCH(C967,'Review Items'!$B:$B,0)),IFERROR(INDEX('Rule Updates'!$B:$B,MATCH(C967,'Rule Updates'!$A:$A,0)),"Uncategorised"))</f>
        <v/>
      </c>
      <c r="E967" s="10">
        <f>IFERROR(INDEX('Review Items'!$E:$E,MATCH(C967,'Review Items'!$B:$B,0)),IFERROR(INDEX('Rule Updates'!$C:$C,MATCH(C967,'Rule Updates'!$A:$A,0)),"Review"))</f>
        <v/>
      </c>
      <c r="F967" s="10" t="n"/>
      <c r="G967" s="12" t="n">
        <v>5760</v>
      </c>
      <c r="H967" s="10" t="n">
        <v>5</v>
      </c>
      <c r="I967" s="10">
        <f>IF(OR(D967="Uncategorised",E967=""),"Check","")</f>
        <v/>
      </c>
    </row>
    <row r="968">
      <c r="A968" s="10" t="inlineStr">
        <is>
          <t>Amex Nov-2025</t>
        </is>
      </c>
      <c r="B968" s="11" t="n">
        <v>45976</v>
      </c>
      <c r="C968" s="10" t="inlineStr">
        <is>
          <t>BURGUNDY ETC CENTRAL</t>
        </is>
      </c>
      <c r="D968" s="10">
        <f>IFERROR(INDEX('Review Items'!$D:$D,MATCH(C968,'Review Items'!$B:$B,0)),IFERROR(INDEX('Rule Updates'!$B:$B,MATCH(C968,'Rule Updates'!$A:$A,0)),"Uncategorised"))</f>
        <v/>
      </c>
      <c r="E968" s="10">
        <f>IFERROR(INDEX('Review Items'!$E:$E,MATCH(C968,'Review Items'!$B:$B,0)),IFERROR(INDEX('Rule Updates'!$C:$C,MATCH(C968,'Rule Updates'!$A:$A,0)),"Review"))</f>
        <v/>
      </c>
      <c r="F968" s="10" t="n"/>
      <c r="G968" s="12" t="n">
        <v>10490</v>
      </c>
      <c r="H968" s="10" t="n">
        <v>5</v>
      </c>
      <c r="I968" s="10">
        <f>IF(OR(D968="Uncategorised",E968=""),"Check","")</f>
        <v/>
      </c>
    </row>
    <row r="969">
      <c r="A969" s="10" t="inlineStr">
        <is>
          <t>Amex Nov-2025</t>
        </is>
      </c>
      <c r="B969" s="11" t="n">
        <v>45976</v>
      </c>
      <c r="C969" s="10" t="inlineStr">
        <is>
          <t>DUDDELL ' SCENTRAL</t>
        </is>
      </c>
      <c r="D969" s="10">
        <f>IFERROR(INDEX('Review Items'!$D:$D,MATCH(C969,'Review Items'!$B:$B,0)),IFERROR(INDEX('Rule Updates'!$B:$B,MATCH(C969,'Rule Updates'!$A:$A,0)),"Uncategorised"))</f>
        <v/>
      </c>
      <c r="E969" s="10">
        <f>IFERROR(INDEX('Review Items'!$E:$E,MATCH(C969,'Review Items'!$B:$B,0)),IFERROR(INDEX('Rule Updates'!$C:$C,MATCH(C969,'Rule Updates'!$A:$A,0)),"Review"))</f>
        <v/>
      </c>
      <c r="F969" s="10" t="n"/>
      <c r="G969" s="12" t="n">
        <v>66773.7</v>
      </c>
      <c r="H969" s="10" t="n">
        <v>5</v>
      </c>
      <c r="I969" s="10">
        <f>IF(OR(D969="Uncategorised",E969=""),"Check","")</f>
        <v/>
      </c>
    </row>
    <row r="970">
      <c r="A970" s="10" t="inlineStr">
        <is>
          <t>Amex Nov-2025</t>
        </is>
      </c>
      <c r="B970" s="11" t="n">
        <v>45976</v>
      </c>
      <c r="C970" s="10" t="inlineStr">
        <is>
          <t>HARVEY NICHOLS CENTRAL</t>
        </is>
      </c>
      <c r="D970" s="10">
        <f>IFERROR(INDEX('Review Items'!$D:$D,MATCH(C970,'Review Items'!$B:$B,0)),IFERROR(INDEX('Rule Updates'!$B:$B,MATCH(C970,'Rule Updates'!$A:$A,0)),"Uncategorised"))</f>
        <v/>
      </c>
      <c r="E970" s="10">
        <f>IFERROR(INDEX('Review Items'!$E:$E,MATCH(C970,'Review Items'!$B:$B,0)),IFERROR(INDEX('Rule Updates'!$C:$C,MATCH(C970,'Rule Updates'!$A:$A,0)),"Review"))</f>
        <v/>
      </c>
      <c r="F970" s="10" t="n"/>
      <c r="G970" s="12" t="n">
        <v>1125</v>
      </c>
      <c r="H970" s="10" t="n">
        <v>5</v>
      </c>
      <c r="I970" s="10">
        <f>IF(OR(D970="Uncategorised",E970=""),"Check","")</f>
        <v/>
      </c>
    </row>
    <row r="971">
      <c r="A971" s="10" t="inlineStr">
        <is>
          <t>Amex Nov-2025</t>
        </is>
      </c>
      <c r="B971" s="11" t="n">
        <v>45976</v>
      </c>
      <c r="C971" s="10" t="inlineStr">
        <is>
          <t>WHALE CLU BHK</t>
        </is>
      </c>
      <c r="D971" s="10">
        <f>IFERROR(INDEX('Review Items'!$D:$D,MATCH(C971,'Review Items'!$B:$B,0)),IFERROR(INDEX('Rule Updates'!$B:$B,MATCH(C971,'Rule Updates'!$A:$A,0)),"Uncategorised"))</f>
        <v/>
      </c>
      <c r="E971" s="10">
        <f>IFERROR(INDEX('Review Items'!$E:$E,MATCH(C971,'Review Items'!$B:$B,0)),IFERROR(INDEX('Rule Updates'!$C:$C,MATCH(C971,'Rule Updates'!$A:$A,0)),"Review"))</f>
        <v/>
      </c>
      <c r="F971" s="10" t="n"/>
      <c r="G971" s="12" t="n">
        <v>1494</v>
      </c>
      <c r="H971" s="10" t="n">
        <v>5</v>
      </c>
      <c r="I971" s="10">
        <f>IF(OR(D971="Uncategorised",E971=""),"Check","")</f>
        <v/>
      </c>
    </row>
    <row r="972">
      <c r="A972" s="10" t="inlineStr">
        <is>
          <t>Amex Nov-2025</t>
        </is>
      </c>
      <c r="B972" s="11" t="n">
        <v>45976</v>
      </c>
      <c r="C972" s="10" t="inlineStr">
        <is>
          <t>WHALE CLU BHK</t>
        </is>
      </c>
      <c r="D972" s="10">
        <f>IFERROR(INDEX('Review Items'!$D:$D,MATCH(C972,'Review Items'!$B:$B,0)),IFERROR(INDEX('Rule Updates'!$B:$B,MATCH(C972,'Rule Updates'!$A:$A,0)),"Uncategorised"))</f>
        <v/>
      </c>
      <c r="E972" s="10">
        <f>IFERROR(INDEX('Review Items'!$E:$E,MATCH(C972,'Review Items'!$B:$B,0)),IFERROR(INDEX('Rule Updates'!$C:$C,MATCH(C972,'Rule Updates'!$A:$A,0)),"Review"))</f>
        <v/>
      </c>
      <c r="F972" s="10" t="n"/>
      <c r="G972" s="12" t="n">
        <v>7417</v>
      </c>
      <c r="H972" s="10" t="n">
        <v>8</v>
      </c>
      <c r="I972" s="10">
        <f>IF(OR(D972="Uncategorised",E972=""),"Check","")</f>
        <v/>
      </c>
    </row>
    <row r="973">
      <c r="A973" s="10" t="inlineStr">
        <is>
          <t>Amex Nov-2025</t>
        </is>
      </c>
      <c r="B973" s="11" t="n">
        <v>45977</v>
      </c>
      <c r="C973" s="10" t="inlineStr">
        <is>
          <t>MYTHERESA APAC SERVICES ISLANDS</t>
        </is>
      </c>
      <c r="D973" s="10">
        <f>IFERROR(INDEX('Review Items'!$D:$D,MATCH(C973,'Review Items'!$B:$B,0)),IFERROR(INDEX('Rule Updates'!$B:$B,MATCH(C973,'Rule Updates'!$A:$A,0)),"Uncategorised"))</f>
        <v/>
      </c>
      <c r="E973" s="10">
        <f>IFERROR(INDEX('Review Items'!$E:$E,MATCH(C973,'Review Items'!$B:$B,0)),IFERROR(INDEX('Rule Updates'!$C:$C,MATCH(C973,'Rule Updates'!$A:$A,0)),"Review"))</f>
        <v/>
      </c>
      <c r="F973" s="10" t="n"/>
      <c r="G973" s="12" t="n">
        <v>14645</v>
      </c>
      <c r="H973" s="10" t="n">
        <v>5</v>
      </c>
      <c r="I973" s="10">
        <f>IF(OR(D973="Uncategorised",E973=""),"Check","")</f>
        <v/>
      </c>
    </row>
    <row r="974">
      <c r="A974" s="10" t="inlineStr">
        <is>
          <t>Amex Nov-2025</t>
        </is>
      </c>
      <c r="B974" s="11" t="n">
        <v>45977</v>
      </c>
      <c r="C974" s="10" t="inlineStr">
        <is>
          <t>SP IM 8 HEALTH CHARLOTTE</t>
        </is>
      </c>
      <c r="D974" s="10">
        <f>IFERROR(INDEX('Review Items'!$D:$D,MATCH(C974,'Review Items'!$B:$B,0)),IFERROR(INDEX('Rule Updates'!$B:$B,MATCH(C974,'Rule Updates'!$A:$A,0)),"Uncategorised"))</f>
        <v/>
      </c>
      <c r="E974" s="10">
        <f>IFERROR(INDEX('Review Items'!$E:$E,MATCH(C974,'Review Items'!$B:$B,0)),IFERROR(INDEX('Rule Updates'!$C:$C,MATCH(C974,'Rule Updates'!$A:$A,0)),"Review"))</f>
        <v/>
      </c>
      <c r="F974" s="10" t="n"/>
      <c r="G974" s="12" t="n">
        <v>2233</v>
      </c>
      <c r="H974" s="10" t="n">
        <v>5</v>
      </c>
      <c r="I974" s="10">
        <f>IF(OR(D974="Uncategorised",E974=""),"Check","")</f>
        <v/>
      </c>
    </row>
    <row r="975">
      <c r="A975" s="10" t="inlineStr">
        <is>
          <t>Amex Nov-2025</t>
        </is>
      </c>
      <c r="B975" s="11" t="n">
        <v>45977</v>
      </c>
      <c r="C975" s="10" t="inlineStr">
        <is>
          <t>SP IPPODOTEAGLO BAL KYOUTOSHINAKAGY</t>
        </is>
      </c>
      <c r="D975" s="10">
        <f>IFERROR(INDEX('Review Items'!$D:$D,MATCH(C975,'Review Items'!$B:$B,0)),IFERROR(INDEX('Rule Updates'!$B:$B,MATCH(C975,'Rule Updates'!$A:$A,0)),"Uncategorised"))</f>
        <v/>
      </c>
      <c r="E975" s="10">
        <f>IFERROR(INDEX('Review Items'!$E:$E,MATCH(C975,'Review Items'!$B:$B,0)),IFERROR(INDEX('Rule Updates'!$C:$C,MATCH(C975,'Rule Updates'!$A:$A,0)),"Review"))</f>
        <v/>
      </c>
      <c r="F975" s="12" t="n">
        <v>28050</v>
      </c>
      <c r="G975" s="12" t="n">
        <v>1447.63</v>
      </c>
      <c r="H975" s="10" t="n">
        <v>5</v>
      </c>
      <c r="I975" s="10">
        <f>IF(OR(D975="Uncategorised",E975=""),"Check","")</f>
        <v/>
      </c>
    </row>
    <row r="976">
      <c r="A976" s="10" t="inlineStr">
        <is>
          <t>Amex Nov-2025</t>
        </is>
      </c>
      <c r="B976" s="11" t="n">
        <v>45977</v>
      </c>
      <c r="C976" s="10" t="inlineStr">
        <is>
          <t>THE NET-A-PORTER GROUP HONG KONG</t>
        </is>
      </c>
      <c r="D976" s="10">
        <f>IFERROR(INDEX('Review Items'!$D:$D,MATCH(C976,'Review Items'!$B:$B,0)),IFERROR(INDEX('Rule Updates'!$B:$B,MATCH(C976,'Rule Updates'!$A:$A,0)),"Uncategorised"))</f>
        <v/>
      </c>
      <c r="E976" s="10">
        <f>IFERROR(INDEX('Review Items'!$E:$E,MATCH(C976,'Review Items'!$B:$B,0)),IFERROR(INDEX('Rule Updates'!$C:$C,MATCH(C976,'Rule Updates'!$A:$A,0)),"Review"))</f>
        <v/>
      </c>
      <c r="F976" s="10" t="n"/>
      <c r="G976" s="12" t="n">
        <v>8802</v>
      </c>
      <c r="H976" s="10" t="n">
        <v>5</v>
      </c>
      <c r="I976" s="10">
        <f>IF(OR(D976="Uncategorised",E976=""),"Check","")</f>
        <v/>
      </c>
    </row>
    <row r="977">
      <c r="A977" s="10" t="inlineStr">
        <is>
          <t>Amex Nov-2025</t>
        </is>
      </c>
      <c r="B977" s="11" t="n">
        <v>45978</v>
      </c>
      <c r="C977" s="10" t="inlineStr">
        <is>
          <t>GLO BALE * /ISA BEL MARANT LONDON</t>
        </is>
      </c>
      <c r="D977" s="10">
        <f>IFERROR(INDEX('Review Items'!$D:$D,MATCH(C977,'Review Items'!$B:$B,0)),IFERROR(INDEX('Rule Updates'!$B:$B,MATCH(C977,'Rule Updates'!$A:$A,0)),"Uncategorised"))</f>
        <v/>
      </c>
      <c r="E977" s="10">
        <f>IFERROR(INDEX('Review Items'!$E:$E,MATCH(C977,'Review Items'!$B:$B,0)),IFERROR(INDEX('Rule Updates'!$C:$C,MATCH(C977,'Rule Updates'!$A:$A,0)),"Review"))</f>
        <v/>
      </c>
      <c r="F977" s="10" t="n"/>
      <c r="G977" s="12" t="n">
        <v>9420</v>
      </c>
      <c r="H977" s="10" t="n">
        <v>5</v>
      </c>
      <c r="I977" s="10">
        <f>IF(OR(D977="Uncategorised",E977=""),"Check","")</f>
        <v/>
      </c>
    </row>
    <row r="978">
      <c r="A978" s="10" t="inlineStr">
        <is>
          <t>Amex Nov-2025</t>
        </is>
      </c>
      <c r="B978" s="11" t="n">
        <v>45978</v>
      </c>
      <c r="C978" s="10" t="inlineStr">
        <is>
          <t>NE WPUNJ A BCLU BCENTRAL</t>
        </is>
      </c>
      <c r="D978" s="10">
        <f>IFERROR(INDEX('Review Items'!$D:$D,MATCH(C978,'Review Items'!$B:$B,0)),IFERROR(INDEX('Rule Updates'!$B:$B,MATCH(C978,'Rule Updates'!$A:$A,0)),"Uncategorised"))</f>
        <v/>
      </c>
      <c r="E978" s="10">
        <f>IFERROR(INDEX('Review Items'!$E:$E,MATCH(C978,'Review Items'!$B:$B,0)),IFERROR(INDEX('Rule Updates'!$C:$C,MATCH(C978,'Rule Updates'!$A:$A,0)),"Review"))</f>
        <v/>
      </c>
      <c r="F978" s="10" t="n"/>
      <c r="G978" s="12" t="n">
        <v>3947</v>
      </c>
      <c r="H978" s="10" t="n">
        <v>8</v>
      </c>
      <c r="I978" s="10">
        <f>IF(OR(D978="Uncategorised",E978=""),"Check","")</f>
        <v/>
      </c>
    </row>
    <row r="979">
      <c r="A979" s="10" t="inlineStr">
        <is>
          <t>Amex Nov-2025</t>
        </is>
      </c>
      <c r="B979" s="11" t="n">
        <v>45978</v>
      </c>
      <c r="C979" s="10" t="inlineStr">
        <is>
          <t>OLD PARSONAGE HOTELO X FORD</t>
        </is>
      </c>
      <c r="D979" s="10">
        <f>IFERROR(INDEX('Review Items'!$D:$D,MATCH(C979,'Review Items'!$B:$B,0)),IFERROR(INDEX('Rule Updates'!$B:$B,MATCH(C979,'Rule Updates'!$A:$A,0)),"Uncategorised"))</f>
        <v/>
      </c>
      <c r="E979" s="10">
        <f>IFERROR(INDEX('Review Items'!$E:$E,MATCH(C979,'Review Items'!$B:$B,0)),IFERROR(INDEX('Rule Updates'!$C:$C,MATCH(C979,'Rule Updates'!$A:$A,0)),"Review"))</f>
        <v/>
      </c>
      <c r="F979" s="12" t="n">
        <v>290</v>
      </c>
      <c r="G979" s="12" t="n">
        <v>3034.1</v>
      </c>
      <c r="H979" s="10" t="n">
        <v>8</v>
      </c>
      <c r="I979" s="10">
        <f>IF(OR(D979="Uncategorised",E979=""),"Check","")</f>
        <v/>
      </c>
    </row>
    <row r="980">
      <c r="A980" s="10" t="inlineStr">
        <is>
          <t>Amex Nov-2025</t>
        </is>
      </c>
      <c r="B980" s="11" t="n">
        <v>45978</v>
      </c>
      <c r="C980" s="10" t="inlineStr">
        <is>
          <t>THE NET-A-PORTER GROUP HONG KONG</t>
        </is>
      </c>
      <c r="D980" s="10">
        <f>IFERROR(INDEX('Review Items'!$D:$D,MATCH(C980,'Review Items'!$B:$B,0)),IFERROR(INDEX('Rule Updates'!$B:$B,MATCH(C980,'Rule Updates'!$A:$A,0)),"Uncategorised"))</f>
        <v/>
      </c>
      <c r="E980" s="10">
        <f>IFERROR(INDEX('Review Items'!$E:$E,MATCH(C980,'Review Items'!$B:$B,0)),IFERROR(INDEX('Rule Updates'!$C:$C,MATCH(C980,'Rule Updates'!$A:$A,0)),"Review"))</f>
        <v/>
      </c>
      <c r="F980" s="10" t="n"/>
      <c r="G980" s="12" t="n">
        <v>33611</v>
      </c>
      <c r="H980" s="10" t="n">
        <v>5</v>
      </c>
      <c r="I980" s="10">
        <f>IF(OR(D980="Uncategorised",E980=""),"Check","")</f>
        <v/>
      </c>
    </row>
    <row r="981">
      <c r="A981" s="10" t="inlineStr">
        <is>
          <t>Amex Nov-2025</t>
        </is>
      </c>
      <c r="B981" s="11" t="n">
        <v>45979</v>
      </c>
      <c r="C981" s="10" t="inlineStr">
        <is>
          <t>KARUIZ A W AKA WAKAMIAN NAGANO</t>
        </is>
      </c>
      <c r="D981" s="10">
        <f>IFERROR(INDEX('Review Items'!$D:$D,MATCH(C981,'Review Items'!$B:$B,0)),IFERROR(INDEX('Rule Updates'!$B:$B,MATCH(C981,'Rule Updates'!$A:$A,0)),"Uncategorised"))</f>
        <v/>
      </c>
      <c r="E981" s="10">
        <f>IFERROR(INDEX('Review Items'!$E:$E,MATCH(C981,'Review Items'!$B:$B,0)),IFERROR(INDEX('Rule Updates'!$C:$C,MATCH(C981,'Rule Updates'!$A:$A,0)),"Review"))</f>
        <v/>
      </c>
      <c r="F981" s="12" t="n">
        <v>14300</v>
      </c>
      <c r="G981" s="12" t="n">
        <v>731.0700000000001</v>
      </c>
      <c r="H981" s="10" t="n">
        <v>6</v>
      </c>
      <c r="I981" s="10">
        <f>IF(OR(D981="Uncategorised",E981=""),"Check","")</f>
        <v/>
      </c>
    </row>
    <row r="982">
      <c r="A982" s="10" t="inlineStr">
        <is>
          <t>Amex Nov-2025</t>
        </is>
      </c>
      <c r="B982" s="11" t="n">
        <v>45979</v>
      </c>
      <c r="C982" s="10" t="inlineStr">
        <is>
          <t>KARUIZ A W AKA WAKAMIAN NAGANO</t>
        </is>
      </c>
      <c r="D982" s="10">
        <f>IFERROR(INDEX('Review Items'!$D:$D,MATCH(C982,'Review Items'!$B:$B,0)),IFERROR(INDEX('Rule Updates'!$B:$B,MATCH(C982,'Rule Updates'!$A:$A,0)),"Uncategorised"))</f>
        <v/>
      </c>
      <c r="E982" s="10">
        <f>IFERROR(INDEX('Review Items'!$E:$E,MATCH(C982,'Review Items'!$B:$B,0)),IFERROR(INDEX('Rule Updates'!$C:$C,MATCH(C982,'Rule Updates'!$A:$A,0)),"Review"))</f>
        <v/>
      </c>
      <c r="F982" s="12" t="n">
        <v>12650</v>
      </c>
      <c r="G982" s="12" t="n">
        <v>646.66</v>
      </c>
      <c r="H982" s="10" t="n">
        <v>6</v>
      </c>
      <c r="I982" s="10">
        <f>IF(OR(D982="Uncategorised",E982=""),"Check","")</f>
        <v/>
      </c>
    </row>
    <row r="983">
      <c r="A983" s="10" t="inlineStr">
        <is>
          <t>Amex Nov-2025</t>
        </is>
      </c>
      <c r="B983" s="11" t="n">
        <v>45979</v>
      </c>
      <c r="C983" s="10" t="inlineStr">
        <is>
          <t>KARUIZ A WASNOOPY VILLAGE NAGANO</t>
        </is>
      </c>
      <c r="D983" s="10">
        <f>IFERROR(INDEX('Review Items'!$D:$D,MATCH(C983,'Review Items'!$B:$B,0)),IFERROR(INDEX('Rule Updates'!$B:$B,MATCH(C983,'Rule Updates'!$A:$A,0)),"Uncategorised"))</f>
        <v/>
      </c>
      <c r="E983" s="10">
        <f>IFERROR(INDEX('Review Items'!$E:$E,MATCH(C983,'Review Items'!$B:$B,0)),IFERROR(INDEX('Rule Updates'!$C:$C,MATCH(C983,'Rule Updates'!$A:$A,0)),"Review"))</f>
        <v/>
      </c>
      <c r="F983" s="12" t="n">
        <v>6050</v>
      </c>
      <c r="G983" s="12" t="n">
        <v>310.22</v>
      </c>
      <c r="H983" s="10" t="n">
        <v>5</v>
      </c>
      <c r="I983" s="10">
        <f>IF(OR(D983="Uncategorised",E983=""),"Check","")</f>
        <v/>
      </c>
    </row>
    <row r="984">
      <c r="A984" s="10" t="inlineStr">
        <is>
          <t>Amex Nov-2025</t>
        </is>
      </c>
      <c r="B984" s="11" t="n">
        <v>45979</v>
      </c>
      <c r="C984" s="10" t="inlineStr">
        <is>
          <t>KARUIZ A WASNOOPY VILLAGE NAGANO</t>
        </is>
      </c>
      <c r="D984" s="10">
        <f>IFERROR(INDEX('Review Items'!$D:$D,MATCH(C984,'Review Items'!$B:$B,0)),IFERROR(INDEX('Rule Updates'!$B:$B,MATCH(C984,'Rule Updates'!$A:$A,0)),"Uncategorised"))</f>
        <v/>
      </c>
      <c r="E984" s="10">
        <f>IFERROR(INDEX('Review Items'!$E:$E,MATCH(C984,'Review Items'!$B:$B,0)),IFERROR(INDEX('Rule Updates'!$C:$C,MATCH(C984,'Rule Updates'!$A:$A,0)),"Review"))</f>
        <v/>
      </c>
      <c r="F984" s="12" t="n">
        <v>5357</v>
      </c>
      <c r="G984" s="12" t="n">
        <v>274.7</v>
      </c>
      <c r="H984" s="10" t="n">
        <v>5</v>
      </c>
      <c r="I984" s="10">
        <f>IF(OR(D984="Uncategorised",E984=""),"Check","")</f>
        <v/>
      </c>
    </row>
    <row r="985">
      <c r="A985" s="10" t="inlineStr">
        <is>
          <t>Amex Nov-2025</t>
        </is>
      </c>
      <c r="B985" s="11" t="n">
        <v>45979</v>
      </c>
      <c r="C985" s="10" t="inlineStr">
        <is>
          <t>KARUIZ A WASNOOPY VILLAGE NAGANO</t>
        </is>
      </c>
      <c r="D985" s="10">
        <f>IFERROR(INDEX('Review Items'!$D:$D,MATCH(C985,'Review Items'!$B:$B,0)),IFERROR(INDEX('Rule Updates'!$B:$B,MATCH(C985,'Rule Updates'!$A:$A,0)),"Uncategorised"))</f>
        <v/>
      </c>
      <c r="E985" s="10">
        <f>IFERROR(INDEX('Review Items'!$E:$E,MATCH(C985,'Review Items'!$B:$B,0)),IFERROR(INDEX('Rule Updates'!$C:$C,MATCH(C985,'Rule Updates'!$A:$A,0)),"Review"))</f>
        <v/>
      </c>
      <c r="F985" s="12" t="n">
        <v>2750</v>
      </c>
      <c r="G985" s="12" t="n">
        <v>141.03</v>
      </c>
      <c r="H985" s="10" t="n">
        <v>6</v>
      </c>
      <c r="I985" s="10">
        <f>IF(OR(D985="Uncategorised",E985=""),"Check","")</f>
        <v/>
      </c>
    </row>
    <row r="986">
      <c r="A986" s="10" t="inlineStr">
        <is>
          <t>Amex Nov-2025</t>
        </is>
      </c>
      <c r="B986" s="11" t="n">
        <v>45979</v>
      </c>
      <c r="C986" s="10" t="inlineStr">
        <is>
          <t>OKAKIDOKOROTERAKOYAHOMP NAGANO</t>
        </is>
      </c>
      <c r="D986" s="10">
        <f>IFERROR(INDEX('Review Items'!$D:$D,MATCH(C986,'Review Items'!$B:$B,0)),IFERROR(INDEX('Rule Updates'!$B:$B,MATCH(C986,'Rule Updates'!$A:$A,0)),"Uncategorised"))</f>
        <v/>
      </c>
      <c r="E986" s="10">
        <f>IFERROR(INDEX('Review Items'!$E:$E,MATCH(C986,'Review Items'!$B:$B,0)),IFERROR(INDEX('Rule Updates'!$C:$C,MATCH(C986,'Rule Updates'!$A:$A,0)),"Review"))</f>
        <v/>
      </c>
      <c r="F986" s="12" t="n">
        <v>4152</v>
      </c>
      <c r="G986" s="12" t="n">
        <v>212.94</v>
      </c>
      <c r="H986" s="10" t="n">
        <v>5</v>
      </c>
      <c r="I986" s="10">
        <f>IF(OR(D986="Uncategorised",E986=""),"Check","")</f>
        <v/>
      </c>
    </row>
    <row r="987">
      <c r="A987" s="10" t="inlineStr">
        <is>
          <t>Amex Nov-2025</t>
        </is>
      </c>
      <c r="B987" s="11" t="n">
        <v>45979</v>
      </c>
      <c r="C987" s="10" t="inlineStr">
        <is>
          <t>SA WAMURAKYUKARUIZ A W ANAGANO</t>
        </is>
      </c>
      <c r="D987" s="10">
        <f>IFERROR(INDEX('Review Items'!$D:$D,MATCH(C987,'Review Items'!$B:$B,0)),IFERROR(INDEX('Rule Updates'!$B:$B,MATCH(C987,'Rule Updates'!$A:$A,0)),"Uncategorised"))</f>
        <v/>
      </c>
      <c r="E987" s="10">
        <f>IFERROR(INDEX('Review Items'!$E:$E,MATCH(C987,'Review Items'!$B:$B,0)),IFERROR(INDEX('Rule Updates'!$C:$C,MATCH(C987,'Rule Updates'!$A:$A,0)),"Review"))</f>
        <v/>
      </c>
      <c r="F987" s="12" t="n">
        <v>1134</v>
      </c>
      <c r="G987" s="12" t="n">
        <v>57.93</v>
      </c>
      <c r="H987" s="10" t="n">
        <v>6</v>
      </c>
      <c r="I987" s="10">
        <f>IF(OR(D987="Uncategorised",E987=""),"Check","")</f>
        <v/>
      </c>
    </row>
    <row r="988">
      <c r="A988" s="10" t="inlineStr">
        <is>
          <t>Amex Nov-2025</t>
        </is>
      </c>
      <c r="B988" s="11" t="n">
        <v>45979</v>
      </c>
      <c r="C988" s="10" t="inlineStr">
        <is>
          <t>SHISHII W AHOUSE KARUIZ b ei zu o j i u ju n</t>
        </is>
      </c>
      <c r="D988" s="10">
        <f>IFERROR(INDEX('Review Items'!$D:$D,MATCH(C988,'Review Items'!$B:$B,0)),IFERROR(INDEX('Rule Updates'!$B:$B,MATCH(C988,'Rule Updates'!$A:$A,0)),"Uncategorised"))</f>
        <v/>
      </c>
      <c r="E988" s="10">
        <f>IFERROR(INDEX('Review Items'!$E:$E,MATCH(C988,'Review Items'!$B:$B,0)),IFERROR(INDEX('Rule Updates'!$C:$C,MATCH(C988,'Rule Updates'!$A:$A,0)),"Review"))</f>
        <v/>
      </c>
      <c r="F988" s="12" t="n">
        <v>83490</v>
      </c>
      <c r="G988" s="12" t="n">
        <v>4308.83</v>
      </c>
      <c r="H988" s="10" t="n">
        <v>5</v>
      </c>
      <c r="I988" s="10">
        <f>IF(OR(D988="Uncategorised",E988=""),"Check","")</f>
        <v/>
      </c>
    </row>
    <row r="989">
      <c r="A989" s="10" t="inlineStr">
        <is>
          <t>Amex Nov-2025</t>
        </is>
      </c>
      <c r="B989" s="11" t="n">
        <v>45980</v>
      </c>
      <c r="C989" s="10" t="inlineStr">
        <is>
          <t>FAR FETCH LONDON</t>
        </is>
      </c>
      <c r="D989" s="10">
        <f>IFERROR(INDEX('Review Items'!$D:$D,MATCH(C989,'Review Items'!$B:$B,0)),IFERROR(INDEX('Rule Updates'!$B:$B,MATCH(C989,'Rule Updates'!$A:$A,0)),"Uncategorised"))</f>
        <v/>
      </c>
      <c r="E989" s="10">
        <f>IFERROR(INDEX('Review Items'!$E:$E,MATCH(C989,'Review Items'!$B:$B,0)),IFERROR(INDEX('Rule Updates'!$C:$C,MATCH(C989,'Rule Updates'!$A:$A,0)),"Review"))</f>
        <v/>
      </c>
      <c r="F989" s="10" t="n"/>
      <c r="G989" s="12" t="n">
        <v>-7040</v>
      </c>
      <c r="H989" s="10" t="n">
        <v>6</v>
      </c>
      <c r="I989" s="10">
        <f>IF(OR(D989="Uncategorised",E989=""),"Check","")</f>
        <v/>
      </c>
    </row>
    <row r="990">
      <c r="A990" s="10" t="inlineStr">
        <is>
          <t>Amex Nov-2025</t>
        </is>
      </c>
      <c r="B990" s="11" t="n">
        <v>45980</v>
      </c>
      <c r="C990" s="10" t="inlineStr">
        <is>
          <t>FARM FRONT AIR NIGATA</t>
        </is>
      </c>
      <c r="D990" s="10">
        <f>IFERROR(INDEX('Review Items'!$D:$D,MATCH(C990,'Review Items'!$B:$B,0)),IFERROR(INDEX('Rule Updates'!$B:$B,MATCH(C990,'Rule Updates'!$A:$A,0)),"Uncategorised"))</f>
        <v/>
      </c>
      <c r="E990" s="10">
        <f>IFERROR(INDEX('Review Items'!$E:$E,MATCH(C990,'Review Items'!$B:$B,0)),IFERROR(INDEX('Rule Updates'!$C:$C,MATCH(C990,'Rule Updates'!$A:$A,0)),"Review"))</f>
        <v/>
      </c>
      <c r="F990" s="12" t="n">
        <v>8200</v>
      </c>
      <c r="G990" s="12" t="n">
        <v>420.33</v>
      </c>
      <c r="H990" s="10" t="n">
        <v>6</v>
      </c>
      <c r="I990" s="10">
        <f>IF(OR(D990="Uncategorised",E990=""),"Check","")</f>
        <v/>
      </c>
    </row>
    <row r="991">
      <c r="A991" s="10" t="inlineStr">
        <is>
          <t>Amex Nov-2025</t>
        </is>
      </c>
      <c r="B991" s="11" t="n">
        <v>45981</v>
      </c>
      <c r="C991" s="10" t="inlineStr">
        <is>
          <t>MYTHERESA APAC SERVICES ISLANDS</t>
        </is>
      </c>
      <c r="D991" s="10">
        <f>IFERROR(INDEX('Review Items'!$D:$D,MATCH(C991,'Review Items'!$B:$B,0)),IFERROR(INDEX('Rule Updates'!$B:$B,MATCH(C991,'Rule Updates'!$A:$A,0)),"Uncategorised"))</f>
        <v/>
      </c>
      <c r="E991" s="10">
        <f>IFERROR(INDEX('Review Items'!$E:$E,MATCH(C991,'Review Items'!$B:$B,0)),IFERROR(INDEX('Rule Updates'!$C:$C,MATCH(C991,'Rule Updates'!$A:$A,0)),"Review"))</f>
        <v/>
      </c>
      <c r="F991" s="10" t="n"/>
      <c r="G991" s="12" t="n">
        <v>-6395</v>
      </c>
      <c r="H991" s="10" t="n">
        <v>6</v>
      </c>
      <c r="I991" s="10">
        <f>IF(OR(D991="Uncategorised",E991=""),"Check","")</f>
        <v/>
      </c>
    </row>
    <row r="992">
      <c r="A992" s="10" t="inlineStr">
        <is>
          <t>Amex Nov-2025</t>
        </is>
      </c>
      <c r="B992" s="11" t="n">
        <v>45981</v>
      </c>
      <c r="C992" s="10" t="inlineStr">
        <is>
          <t>MYTHERESA APAC SERVICES ISLANDS</t>
        </is>
      </c>
      <c r="D992" s="10">
        <f>IFERROR(INDEX('Review Items'!$D:$D,MATCH(C992,'Review Items'!$B:$B,0)),IFERROR(INDEX('Rule Updates'!$B:$B,MATCH(C992,'Rule Updates'!$A:$A,0)),"Uncategorised"))</f>
        <v/>
      </c>
      <c r="E992" s="10">
        <f>IFERROR(INDEX('Review Items'!$E:$E,MATCH(C992,'Review Items'!$B:$B,0)),IFERROR(INDEX('Rule Updates'!$C:$C,MATCH(C992,'Rule Updates'!$A:$A,0)),"Review"))</f>
        <v/>
      </c>
      <c r="F992" s="10" t="n"/>
      <c r="G992" s="12" t="n">
        <v>-30544</v>
      </c>
      <c r="H992" s="10" t="n">
        <v>6</v>
      </c>
      <c r="I992" s="10">
        <f>IF(OR(D992="Uncategorised",E992=""),"Check","")</f>
        <v/>
      </c>
    </row>
    <row r="993">
      <c r="A993" s="10" t="inlineStr">
        <is>
          <t>Amex Nov-2025</t>
        </is>
      </c>
      <c r="B993" s="11" t="n">
        <v>45981</v>
      </c>
      <c r="C993" s="10" t="inlineStr">
        <is>
          <t>SATOYAMAJ U JOU NIGATA</t>
        </is>
      </c>
      <c r="D993" s="10">
        <f>IFERROR(INDEX('Review Items'!$D:$D,MATCH(C993,'Review Items'!$B:$B,0)),IFERROR(INDEX('Rule Updates'!$B:$B,MATCH(C993,'Rule Updates'!$A:$A,0)),"Uncategorised"))</f>
        <v/>
      </c>
      <c r="E993" s="10">
        <f>IFERROR(INDEX('Review Items'!$E:$E,MATCH(C993,'Review Items'!$B:$B,0)),IFERROR(INDEX('Rule Updates'!$C:$C,MATCH(C993,'Rule Updates'!$A:$A,0)),"Review"))</f>
        <v/>
      </c>
      <c r="F993" s="12" t="n">
        <v>131470</v>
      </c>
      <c r="G993" s="12" t="n">
        <v>6686.24</v>
      </c>
      <c r="H993" s="10" t="n">
        <v>6</v>
      </c>
      <c r="I993" s="10">
        <f>IF(OR(D993="Uncategorised",E993=""),"Check","")</f>
        <v/>
      </c>
    </row>
    <row r="994">
      <c r="A994" s="10" t="inlineStr">
        <is>
          <t>Amex Nov-2025</t>
        </is>
      </c>
      <c r="B994" s="11" t="n">
        <v>45981</v>
      </c>
      <c r="C994" s="10" t="inlineStr">
        <is>
          <t>SATOYAMAJ U JOU NIGATA</t>
        </is>
      </c>
      <c r="D994" s="10">
        <f>IFERROR(INDEX('Review Items'!$D:$D,MATCH(C994,'Review Items'!$B:$B,0)),IFERROR(INDEX('Rule Updates'!$B:$B,MATCH(C994,'Rule Updates'!$A:$A,0)),"Uncategorised"))</f>
        <v/>
      </c>
      <c r="E994" s="10">
        <f>IFERROR(INDEX('Review Items'!$E:$E,MATCH(C994,'Review Items'!$B:$B,0)),IFERROR(INDEX('Rule Updates'!$C:$C,MATCH(C994,'Rule Updates'!$A:$A,0)),"Review"))</f>
        <v/>
      </c>
      <c r="F994" s="12" t="n">
        <v>124677</v>
      </c>
      <c r="G994" s="12" t="n">
        <v>6340.77</v>
      </c>
      <c r="H994" s="10" t="n">
        <v>6</v>
      </c>
      <c r="I994" s="10">
        <f>IF(OR(D994="Uncategorised",E994=""),"Check","")</f>
        <v/>
      </c>
    </row>
    <row r="995">
      <c r="A995" s="10" t="inlineStr">
        <is>
          <t>Amex Nov-2025</t>
        </is>
      </c>
      <c r="B995" s="11" t="n">
        <v>45981</v>
      </c>
      <c r="C995" s="10" t="inlineStr">
        <is>
          <t>SATOYAMAJ U JOU NIGATA</t>
        </is>
      </c>
      <c r="D995" s="10">
        <f>IFERROR(INDEX('Review Items'!$D:$D,MATCH(C995,'Review Items'!$B:$B,0)),IFERROR(INDEX('Rule Updates'!$B:$B,MATCH(C995,'Rule Updates'!$A:$A,0)),"Uncategorised"))</f>
        <v/>
      </c>
      <c r="E995" s="10">
        <f>IFERROR(INDEX('Review Items'!$E:$E,MATCH(C995,'Review Items'!$B:$B,0)),IFERROR(INDEX('Rule Updates'!$C:$C,MATCH(C995,'Rule Updates'!$A:$A,0)),"Review"))</f>
        <v/>
      </c>
      <c r="F995" s="12" t="n">
        <v>124677</v>
      </c>
      <c r="G995" s="12" t="n">
        <v>6340.77</v>
      </c>
      <c r="H995" s="10" t="n">
        <v>6</v>
      </c>
      <c r="I995" s="10">
        <f>IF(OR(D995="Uncategorised",E995=""),"Check","")</f>
        <v/>
      </c>
    </row>
    <row r="996">
      <c r="A996" s="10" t="inlineStr">
        <is>
          <t>Amex Nov-2025</t>
        </is>
      </c>
      <c r="B996" s="11" t="n">
        <v>45981</v>
      </c>
      <c r="C996" s="10" t="inlineStr">
        <is>
          <t>SATOYAMAJ U JOU NIGATA</t>
        </is>
      </c>
      <c r="D996" s="10">
        <f>IFERROR(INDEX('Review Items'!$D:$D,MATCH(C996,'Review Items'!$B:$B,0)),IFERROR(INDEX('Rule Updates'!$B:$B,MATCH(C996,'Rule Updates'!$A:$A,0)),"Uncategorised"))</f>
        <v/>
      </c>
      <c r="E996" s="10">
        <f>IFERROR(INDEX('Review Items'!$E:$E,MATCH(C996,'Review Items'!$B:$B,0)),IFERROR(INDEX('Rule Updates'!$C:$C,MATCH(C996,'Rule Updates'!$A:$A,0)),"Review"))</f>
        <v/>
      </c>
      <c r="F996" s="12" t="n">
        <v>124677</v>
      </c>
      <c r="G996" s="12" t="n">
        <v>6340.77</v>
      </c>
      <c r="H996" s="10" t="n">
        <v>6</v>
      </c>
      <c r="I996" s="10">
        <f>IF(OR(D996="Uncategorised",E996=""),"Check","")</f>
        <v/>
      </c>
    </row>
    <row r="997">
      <c r="A997" s="10" t="inlineStr">
        <is>
          <t>Amex Nov-2025</t>
        </is>
      </c>
      <c r="B997" s="11" t="n">
        <v>45981</v>
      </c>
      <c r="C997" s="10" t="inlineStr">
        <is>
          <t>YUKIMURO SENNEN KOU JIYA NIGATA</t>
        </is>
      </c>
      <c r="D997" s="10">
        <f>IFERROR(INDEX('Review Items'!$D:$D,MATCH(C997,'Review Items'!$B:$B,0)),IFERROR(INDEX('Rule Updates'!$B:$B,MATCH(C997,'Rule Updates'!$A:$A,0)),"Uncategorised"))</f>
        <v/>
      </c>
      <c r="E997" s="10">
        <f>IFERROR(INDEX('Review Items'!$E:$E,MATCH(C997,'Review Items'!$B:$B,0)),IFERROR(INDEX('Rule Updates'!$C:$C,MATCH(C997,'Rule Updates'!$A:$A,0)),"Review"))</f>
        <v/>
      </c>
      <c r="F997" s="12" t="n">
        <v>24000</v>
      </c>
      <c r="G997" s="12" t="n">
        <v>1226.9</v>
      </c>
      <c r="H997" s="10" t="n">
        <v>6</v>
      </c>
      <c r="I997" s="10">
        <f>IF(OR(D997="Uncategorised",E997=""),"Check","")</f>
        <v/>
      </c>
    </row>
    <row r="998">
      <c r="A998" s="10" t="inlineStr">
        <is>
          <t>Amex Nov-2025</t>
        </is>
      </c>
      <c r="B998" s="11" t="n">
        <v>45981</v>
      </c>
      <c r="C998" s="10" t="inlineStr">
        <is>
          <t>YUKIMURO SENNEN KOU JIYA NIGATA</t>
        </is>
      </c>
      <c r="D998" s="10">
        <f>IFERROR(INDEX('Review Items'!$D:$D,MATCH(C998,'Review Items'!$B:$B,0)),IFERROR(INDEX('Rule Updates'!$B:$B,MATCH(C998,'Rule Updates'!$A:$A,0)),"Uncategorised"))</f>
        <v/>
      </c>
      <c r="E998" s="10">
        <f>IFERROR(INDEX('Review Items'!$E:$E,MATCH(C998,'Review Items'!$B:$B,0)),IFERROR(INDEX('Rule Updates'!$C:$C,MATCH(C998,'Rule Updates'!$A:$A,0)),"Review"))</f>
        <v/>
      </c>
      <c r="F998" s="12" t="n">
        <v>2090</v>
      </c>
      <c r="G998" s="12" t="n">
        <v>106.28</v>
      </c>
      <c r="H998" s="10" t="n">
        <v>6</v>
      </c>
      <c r="I998" s="10">
        <f>IF(OR(D998="Uncategorised",E998=""),"Check","")</f>
        <v/>
      </c>
    </row>
    <row r="999">
      <c r="A999" s="10" t="inlineStr">
        <is>
          <t>Amex Nov-2025</t>
        </is>
      </c>
      <c r="B999" s="11" t="n">
        <v>45982</v>
      </c>
      <c r="C999" s="10" t="inlineStr">
        <is>
          <t>GARMIN ( EUROPE ) LIMITED SOUTHAMPTON</t>
        </is>
      </c>
      <c r="D999" s="10">
        <f>IFERROR(INDEX('Review Items'!$D:$D,MATCH(C999,'Review Items'!$B:$B,0)),IFERROR(INDEX('Rule Updates'!$B:$B,MATCH(C999,'Rule Updates'!$A:$A,0)),"Uncategorised"))</f>
        <v/>
      </c>
      <c r="E999" s="10">
        <f>IFERROR(INDEX('Review Items'!$E:$E,MATCH(C999,'Review Items'!$B:$B,0)),IFERROR(INDEX('Rule Updates'!$C:$C,MATCH(C999,'Rule Updates'!$A:$A,0)),"Review"))</f>
        <v/>
      </c>
      <c r="F999" s="10" t="n"/>
      <c r="G999" s="12" t="n">
        <v>89</v>
      </c>
      <c r="H999" s="10" t="n">
        <v>6</v>
      </c>
      <c r="I999" s="10">
        <f>IF(OR(D999="Uncategorised",E999=""),"Check","")</f>
        <v/>
      </c>
    </row>
    <row r="1000">
      <c r="A1000" s="10" t="inlineStr">
        <is>
          <t>Amex Nov-2025</t>
        </is>
      </c>
      <c r="B1000" s="11" t="n">
        <v>45982</v>
      </c>
      <c r="C1000" s="10" t="inlineStr">
        <is>
          <t>MIYAGEDOKOROYATAIREN SAITAMA</t>
        </is>
      </c>
      <c r="D1000" s="10">
        <f>IFERROR(INDEX('Review Items'!$D:$D,MATCH(C1000,'Review Items'!$B:$B,0)),IFERROR(INDEX('Rule Updates'!$B:$B,MATCH(C1000,'Rule Updates'!$A:$A,0)),"Uncategorised"))</f>
        <v/>
      </c>
      <c r="E1000" s="10">
        <f>IFERROR(INDEX('Review Items'!$E:$E,MATCH(C1000,'Review Items'!$B:$B,0)),IFERROR(INDEX('Rule Updates'!$C:$C,MATCH(C1000,'Rule Updates'!$A:$A,0)),"Review"))</f>
        <v/>
      </c>
      <c r="F1000" s="12" t="n">
        <v>1920</v>
      </c>
      <c r="G1000" s="12" t="n">
        <v>97.62</v>
      </c>
      <c r="H1000" s="10" t="n">
        <v>7</v>
      </c>
      <c r="I1000" s="10">
        <f>IF(OR(D1000="Uncategorised",E1000=""),"Check","")</f>
        <v/>
      </c>
    </row>
    <row r="1001">
      <c r="A1001" s="10" t="inlineStr">
        <is>
          <t>Amex Nov-2025</t>
        </is>
      </c>
      <c r="B1001" s="11" t="n">
        <v>45982</v>
      </c>
      <c r="C1001" s="10" t="inlineStr">
        <is>
          <t>NASU MUKUNONE TOCHIGI</t>
        </is>
      </c>
      <c r="D1001" s="10">
        <f>IFERROR(INDEX('Review Items'!$D:$D,MATCH(C1001,'Review Items'!$B:$B,0)),IFERROR(INDEX('Rule Updates'!$B:$B,MATCH(C1001,'Rule Updates'!$A:$A,0)),"Uncategorised"))</f>
        <v/>
      </c>
      <c r="E1001" s="10">
        <f>IFERROR(INDEX('Review Items'!$E:$E,MATCH(C1001,'Review Items'!$B:$B,0)),IFERROR(INDEX('Rule Updates'!$C:$C,MATCH(C1001,'Rule Updates'!$A:$A,0)),"Review"))</f>
        <v/>
      </c>
      <c r="F1001" s="12" t="n">
        <v>99150</v>
      </c>
      <c r="G1001" s="12" t="n">
        <v>5042.5</v>
      </c>
      <c r="H1001" s="10" t="n">
        <v>6</v>
      </c>
      <c r="I1001" s="10">
        <f>IF(OR(D1001="Uncategorised",E1001=""),"Check","")</f>
        <v/>
      </c>
    </row>
    <row r="1002">
      <c r="A1002" s="10" t="inlineStr">
        <is>
          <t>Amex Nov-2025</t>
        </is>
      </c>
      <c r="B1002" s="11" t="n">
        <v>45982</v>
      </c>
      <c r="C1002" s="10" t="inlineStr">
        <is>
          <t>PAYPAL * DROPB O XINTE 4029357733</t>
        </is>
      </c>
      <c r="D1002" s="10">
        <f>IFERROR(INDEX('Review Items'!$D:$D,MATCH(C1002,'Review Items'!$B:$B,0)),IFERROR(INDEX('Rule Updates'!$B:$B,MATCH(C1002,'Rule Updates'!$A:$A,0)),"Uncategorised"))</f>
        <v/>
      </c>
      <c r="E1002" s="10">
        <f>IFERROR(INDEX('Review Items'!$E:$E,MATCH(C1002,'Review Items'!$B:$B,0)),IFERROR(INDEX('Rule Updates'!$C:$C,MATCH(C1002,'Rule Updates'!$A:$A,0)),"Review"))</f>
        <v/>
      </c>
      <c r="F1002" s="12" t="n">
        <v>119.88</v>
      </c>
      <c r="G1002" s="12" t="n">
        <v>952.3099999999999</v>
      </c>
      <c r="H1002" s="10" t="n">
        <v>6</v>
      </c>
      <c r="I1002" s="10">
        <f>IF(OR(D1002="Uncategorised",E1002=""),"Check","")</f>
        <v/>
      </c>
    </row>
    <row r="1003">
      <c r="A1003" s="10" t="inlineStr">
        <is>
          <t>Amex Dec-2025</t>
        </is>
      </c>
      <c r="B1003" s="11" t="n">
        <v>45983</v>
      </c>
      <c r="C1003" s="10" t="inlineStr">
        <is>
          <t>CINE MACOM C in emacom A M H</t>
        </is>
      </c>
      <c r="D1003" s="10">
        <f>IFERROR(INDEX('Review Items'!$D:$D,MATCH(C1003,'Review Items'!$B:$B,0)),IFERROR(INDEX('Rule Updates'!$B:$B,MATCH(C1003,'Rule Updates'!$A:$A,0)),"Uncategorised"))</f>
        <v/>
      </c>
      <c r="E1003" s="10">
        <f>IFERROR(INDEX('Review Items'!$E:$E,MATCH(C1003,'Review Items'!$B:$B,0)),IFERROR(INDEX('Rule Updates'!$C:$C,MATCH(C1003,'Rule Updates'!$A:$A,0)),"Review"))</f>
        <v/>
      </c>
      <c r="F1003" s="10" t="n"/>
      <c r="G1003" s="12" t="n">
        <v>300</v>
      </c>
      <c r="H1003" s="10" t="n">
        <v>1</v>
      </c>
      <c r="I1003" s="10">
        <f>IF(OR(D1003="Uncategorised",E1003=""),"Check","")</f>
        <v/>
      </c>
    </row>
    <row r="1004">
      <c r="A1004" s="10" t="inlineStr">
        <is>
          <t>Amex Nov-2025</t>
        </is>
      </c>
      <c r="B1004" s="11" t="n">
        <v>45984</v>
      </c>
      <c r="C1004" s="10" t="inlineStr">
        <is>
          <t>SPLASH FOUNDATION LIMI SINGAPORE</t>
        </is>
      </c>
      <c r="D1004" s="10">
        <f>IFERROR(INDEX('Review Items'!$D:$D,MATCH(C1004,'Review Items'!$B:$B,0)),IFERROR(INDEX('Rule Updates'!$B:$B,MATCH(C1004,'Rule Updates'!$A:$A,0)),"Uncategorised"))</f>
        <v/>
      </c>
      <c r="E1004" s="10">
        <f>IFERROR(INDEX('Review Items'!$E:$E,MATCH(C1004,'Review Items'!$B:$B,0)),IFERROR(INDEX('Rule Updates'!$C:$C,MATCH(C1004,'Rule Updates'!$A:$A,0)),"Review"))</f>
        <v/>
      </c>
      <c r="F1004" s="10" t="n"/>
      <c r="G1004" s="12" t="n">
        <v>10500</v>
      </c>
      <c r="H1004" s="10" t="n">
        <v>7</v>
      </c>
      <c r="I1004" s="10">
        <f>IF(OR(D1004="Uncategorised",E1004=""),"Check","")</f>
        <v/>
      </c>
    </row>
    <row r="1005">
      <c r="A1005" s="10" t="inlineStr">
        <is>
          <t>Amex Nov-2025</t>
        </is>
      </c>
      <c r="B1005" s="11" t="n">
        <v>45984</v>
      </c>
      <c r="C1005" s="10" t="inlineStr">
        <is>
          <t>U BER TRIP HTTPS : //HELP.U B</t>
        </is>
      </c>
      <c r="D1005" s="10">
        <f>IFERROR(INDEX('Review Items'!$D:$D,MATCH(C1005,'Review Items'!$B:$B,0)),IFERROR(INDEX('Rule Updates'!$B:$B,MATCH(C1005,'Rule Updates'!$A:$A,0)),"Uncategorised"))</f>
        <v/>
      </c>
      <c r="E1005" s="10">
        <f>IFERROR(INDEX('Review Items'!$E:$E,MATCH(C1005,'Review Items'!$B:$B,0)),IFERROR(INDEX('Rule Updates'!$C:$C,MATCH(C1005,'Rule Updates'!$A:$A,0)),"Review"))</f>
        <v/>
      </c>
      <c r="F1005" s="10" t="n"/>
      <c r="G1005" s="12" t="n">
        <v>51.75</v>
      </c>
      <c r="H1005" s="10" t="n">
        <v>7</v>
      </c>
      <c r="I1005" s="10">
        <f>IF(OR(D1005="Uncategorised",E1005=""),"Check","")</f>
        <v/>
      </c>
    </row>
    <row r="1006">
      <c r="A1006" s="10" t="inlineStr">
        <is>
          <t>Amex Nov-2025</t>
        </is>
      </c>
      <c r="B1006" s="11" t="n">
        <v>45985</v>
      </c>
      <c r="C1006" s="10" t="inlineStr">
        <is>
          <t>CITY ' SUPER CENTRAL</t>
        </is>
      </c>
      <c r="D1006" s="10">
        <f>IFERROR(INDEX('Review Items'!$D:$D,MATCH(C1006,'Review Items'!$B:$B,0)),IFERROR(INDEX('Rule Updates'!$B:$B,MATCH(C1006,'Rule Updates'!$A:$A,0)),"Uncategorised"))</f>
        <v/>
      </c>
      <c r="E1006" s="10">
        <f>IFERROR(INDEX('Review Items'!$E:$E,MATCH(C1006,'Review Items'!$B:$B,0)),IFERROR(INDEX('Rule Updates'!$C:$C,MATCH(C1006,'Rule Updates'!$A:$A,0)),"Review"))</f>
        <v/>
      </c>
      <c r="F1006" s="10" t="n"/>
      <c r="G1006" s="12" t="n">
        <v>1817.8</v>
      </c>
      <c r="H1006" s="10" t="n">
        <v>7</v>
      </c>
      <c r="I1006" s="10">
        <f>IF(OR(D1006="Uncategorised",E1006=""),"Check","")</f>
        <v/>
      </c>
    </row>
    <row r="1007">
      <c r="A1007" s="10" t="inlineStr">
        <is>
          <t>Amex Nov-2025</t>
        </is>
      </c>
      <c r="B1007" s="11" t="n">
        <v>45985</v>
      </c>
      <c r="C1007" s="10" t="inlineStr">
        <is>
          <t>MYTHERESA APAC SERVICES ISLANDS</t>
        </is>
      </c>
      <c r="D1007" s="10">
        <f>IFERROR(INDEX('Review Items'!$D:$D,MATCH(C1007,'Review Items'!$B:$B,0)),IFERROR(INDEX('Rule Updates'!$B:$B,MATCH(C1007,'Rule Updates'!$A:$A,0)),"Uncategorised"))</f>
        <v/>
      </c>
      <c r="E1007" s="10">
        <f>IFERROR(INDEX('Review Items'!$E:$E,MATCH(C1007,'Review Items'!$B:$B,0)),IFERROR(INDEX('Rule Updates'!$C:$C,MATCH(C1007,'Rule Updates'!$A:$A,0)),"Review"))</f>
        <v/>
      </c>
      <c r="F1007" s="10" t="n"/>
      <c r="G1007" s="12" t="n">
        <v>35990</v>
      </c>
      <c r="H1007" s="10" t="n">
        <v>7</v>
      </c>
      <c r="I1007" s="10">
        <f>IF(OR(D1007="Uncategorised",E1007=""),"Check","")</f>
        <v/>
      </c>
    </row>
    <row r="1008">
      <c r="A1008" s="10" t="inlineStr">
        <is>
          <t>Amex Nov-2025</t>
        </is>
      </c>
      <c r="B1008" s="11" t="n">
        <v>45985</v>
      </c>
      <c r="C1008" s="10" t="inlineStr">
        <is>
          <t>THE MANDARIN CAKE SHOP CENTRAL</t>
        </is>
      </c>
      <c r="D1008" s="10">
        <f>IFERROR(INDEX('Review Items'!$D:$D,MATCH(C1008,'Review Items'!$B:$B,0)),IFERROR(INDEX('Rule Updates'!$B:$B,MATCH(C1008,'Rule Updates'!$A:$A,0)),"Uncategorised"))</f>
        <v/>
      </c>
      <c r="E1008" s="10">
        <f>IFERROR(INDEX('Review Items'!$E:$E,MATCH(C1008,'Review Items'!$B:$B,0)),IFERROR(INDEX('Rule Updates'!$C:$C,MATCH(C1008,'Rule Updates'!$A:$A,0)),"Review"))</f>
        <v/>
      </c>
      <c r="F1008" s="10" t="n"/>
      <c r="G1008" s="12" t="n">
        <v>189.2</v>
      </c>
      <c r="H1008" s="10" t="n">
        <v>7</v>
      </c>
      <c r="I1008" s="10">
        <f>IF(OR(D1008="Uncategorised",E1008=""),"Check","")</f>
        <v/>
      </c>
    </row>
    <row r="1009">
      <c r="A1009" s="10" t="inlineStr">
        <is>
          <t>Amex Nov-2025</t>
        </is>
      </c>
      <c r="B1009" s="11" t="n">
        <v>45986</v>
      </c>
      <c r="C1009" s="10" t="inlineStr">
        <is>
          <t>COMO METROPOLITAN SINGA SINGAPORE</t>
        </is>
      </c>
      <c r="D1009" s="10">
        <f>IFERROR(INDEX('Review Items'!$D:$D,MATCH(C1009,'Review Items'!$B:$B,0)),IFERROR(INDEX('Rule Updates'!$B:$B,MATCH(C1009,'Rule Updates'!$A:$A,0)),"Uncategorised"))</f>
        <v/>
      </c>
      <c r="E1009" s="10">
        <f>IFERROR(INDEX('Review Items'!$E:$E,MATCH(C1009,'Review Items'!$B:$B,0)),IFERROR(INDEX('Rule Updates'!$C:$C,MATCH(C1009,'Rule Updates'!$A:$A,0)),"Review"))</f>
        <v/>
      </c>
      <c r="F1009" s="12" t="n">
        <v>1316.83</v>
      </c>
      <c r="G1009" s="12" t="n">
        <v>8020.01</v>
      </c>
      <c r="H1009" s="10" t="n">
        <v>9</v>
      </c>
      <c r="I1009" s="10">
        <f>IF(OR(D1009="Uncategorised",E1009=""),"Check","")</f>
        <v/>
      </c>
    </row>
    <row r="1010">
      <c r="A1010" s="10" t="inlineStr">
        <is>
          <t>Amex Nov-2025</t>
        </is>
      </c>
      <c r="B1010" s="11" t="n">
        <v>45986</v>
      </c>
      <c r="C1010" s="10" t="inlineStr">
        <is>
          <t>GLO BAL-E * BSIDES JEANS LONDON</t>
        </is>
      </c>
      <c r="D1010" s="10">
        <f>IFERROR(INDEX('Review Items'!$D:$D,MATCH(C1010,'Review Items'!$B:$B,0)),IFERROR(INDEX('Rule Updates'!$B:$B,MATCH(C1010,'Rule Updates'!$A:$A,0)),"Uncategorised"))</f>
        <v/>
      </c>
      <c r="E1010" s="10">
        <f>IFERROR(INDEX('Review Items'!$E:$E,MATCH(C1010,'Review Items'!$B:$B,0)),IFERROR(INDEX('Rule Updates'!$C:$C,MATCH(C1010,'Rule Updates'!$A:$A,0)),"Review"))</f>
        <v/>
      </c>
      <c r="F1010" s="10" t="n"/>
      <c r="G1010" s="12" t="n">
        <v>5527.5</v>
      </c>
      <c r="H1010" s="10" t="n">
        <v>7</v>
      </c>
      <c r="I1010" s="10">
        <f>IF(OR(D1010="Uncategorised",E1010=""),"Check","")</f>
        <v/>
      </c>
    </row>
    <row r="1011">
      <c r="A1011" s="10" t="inlineStr">
        <is>
          <t>Amex Nov-2025</t>
        </is>
      </c>
      <c r="B1011" s="11" t="n">
        <v>45986</v>
      </c>
      <c r="C1011" s="10" t="inlineStr">
        <is>
          <t>SP SHI- ZEN ZUSHISHI</t>
        </is>
      </c>
      <c r="D1011" s="10">
        <f>IFERROR(INDEX('Review Items'!$D:$D,MATCH(C1011,'Review Items'!$B:$B,0)),IFERROR(INDEX('Rule Updates'!$B:$B,MATCH(C1011,'Rule Updates'!$A:$A,0)),"Uncategorised"))</f>
        <v/>
      </c>
      <c r="E1011" s="10">
        <f>IFERROR(INDEX('Review Items'!$E:$E,MATCH(C1011,'Review Items'!$B:$B,0)),IFERROR(INDEX('Rule Updates'!$C:$C,MATCH(C1011,'Rule Updates'!$A:$A,0)),"Review"))</f>
        <v/>
      </c>
      <c r="F1011" s="10" t="n"/>
      <c r="G1011" s="12" t="n">
        <v>4126</v>
      </c>
      <c r="H1011" s="10" t="n">
        <v>7</v>
      </c>
      <c r="I1011" s="10">
        <f>IF(OR(D1011="Uncategorised",E1011=""),"Check","")</f>
        <v/>
      </c>
    </row>
    <row r="1012">
      <c r="A1012" s="10" t="inlineStr">
        <is>
          <t>Amex Dec-2025</t>
        </is>
      </c>
      <c r="B1012" s="11" t="n">
        <v>45987</v>
      </c>
      <c r="C1012" s="10" t="inlineStr">
        <is>
          <t>FARFETCH LONDON</t>
        </is>
      </c>
      <c r="D1012" s="10">
        <f>IFERROR(INDEX('Review Items'!$D:$D,MATCH(C1012,'Review Items'!$B:$B,0)),IFERROR(INDEX('Rule Updates'!$B:$B,MATCH(C1012,'Rule Updates'!$A:$A,0)),"Uncategorised"))</f>
        <v/>
      </c>
      <c r="E1012" s="10">
        <f>IFERROR(INDEX('Review Items'!$E:$E,MATCH(C1012,'Review Items'!$B:$B,0)),IFERROR(INDEX('Rule Updates'!$C:$C,MATCH(C1012,'Rule Updates'!$A:$A,0)),"Review"))</f>
        <v/>
      </c>
      <c r="F1012" s="10" t="n"/>
      <c r="G1012" s="12" t="n">
        <v>-7053</v>
      </c>
      <c r="H1012" s="10" t="n">
        <v>1</v>
      </c>
      <c r="I1012" s="10">
        <f>IF(OR(D1012="Uncategorised",E1012=""),"Check","")</f>
        <v/>
      </c>
    </row>
    <row r="1013">
      <c r="A1013" s="10" t="inlineStr">
        <is>
          <t>Amex Dec-2025</t>
        </is>
      </c>
      <c r="B1013" s="11" t="n">
        <v>45987</v>
      </c>
      <c r="C1013" s="10" t="inlineStr">
        <is>
          <t>MYTHERESA APAC SERVICES ISLANDS</t>
        </is>
      </c>
      <c r="D1013" s="10">
        <f>IFERROR(INDEX('Review Items'!$D:$D,MATCH(C1013,'Review Items'!$B:$B,0)),IFERROR(INDEX('Rule Updates'!$B:$B,MATCH(C1013,'Rule Updates'!$A:$A,0)),"Uncategorised"))</f>
        <v/>
      </c>
      <c r="E1013" s="10">
        <f>IFERROR(INDEX('Review Items'!$E:$E,MATCH(C1013,'Review Items'!$B:$B,0)),IFERROR(INDEX('Rule Updates'!$C:$C,MATCH(C1013,'Rule Updates'!$A:$A,0)),"Review"))</f>
        <v/>
      </c>
      <c r="F1013" s="10" t="n"/>
      <c r="G1013" s="12" t="n">
        <v>-7322.5</v>
      </c>
      <c r="H1013" s="10" t="n">
        <v>1</v>
      </c>
      <c r="I1013" s="10">
        <f>IF(OR(D1013="Uncategorised",E1013=""),"Check","")</f>
        <v/>
      </c>
    </row>
    <row r="1014">
      <c r="A1014" s="10" t="inlineStr">
        <is>
          <t>Amex Dec-2025</t>
        </is>
      </c>
      <c r="B1014" s="11" t="n">
        <v>45988</v>
      </c>
      <c r="C1014" s="10" t="inlineStr">
        <is>
          <t>IHER BIHERB .COM A MSTERDAM</t>
        </is>
      </c>
      <c r="D1014" s="10">
        <f>IFERROR(INDEX('Review Items'!$D:$D,MATCH(C1014,'Review Items'!$B:$B,0)),IFERROR(INDEX('Rule Updates'!$B:$B,MATCH(C1014,'Rule Updates'!$A:$A,0)),"Uncategorised"))</f>
        <v/>
      </c>
      <c r="E1014" s="10">
        <f>IFERROR(INDEX('Review Items'!$E:$E,MATCH(C1014,'Review Items'!$B:$B,0)),IFERROR(INDEX('Rule Updates'!$C:$C,MATCH(C1014,'Rule Updates'!$A:$A,0)),"Review"))</f>
        <v/>
      </c>
      <c r="F1014" s="10" t="n"/>
      <c r="G1014" s="12" t="n">
        <v>391.71</v>
      </c>
      <c r="H1014" s="10" t="n">
        <v>1</v>
      </c>
      <c r="I1014" s="10">
        <f>IF(OR(D1014="Uncategorised",E1014=""),"Check","")</f>
        <v/>
      </c>
    </row>
    <row r="1015">
      <c r="A1015" s="10" t="inlineStr">
        <is>
          <t>Amex Dec-2025</t>
        </is>
      </c>
      <c r="B1015" s="11" t="n">
        <v>45988</v>
      </c>
      <c r="C1015" s="10" t="inlineStr">
        <is>
          <t>THE NET-A-PORTER GROUP HONG KONG</t>
        </is>
      </c>
      <c r="D1015" s="10">
        <f>IFERROR(INDEX('Review Items'!$D:$D,MATCH(C1015,'Review Items'!$B:$B,0)),IFERROR(INDEX('Rule Updates'!$B:$B,MATCH(C1015,'Rule Updates'!$A:$A,0)),"Uncategorised"))</f>
        <v/>
      </c>
      <c r="E1015" s="10">
        <f>IFERROR(INDEX('Review Items'!$E:$E,MATCH(C1015,'Review Items'!$B:$B,0)),IFERROR(INDEX('Rule Updates'!$C:$C,MATCH(C1015,'Rule Updates'!$A:$A,0)),"Review"))</f>
        <v/>
      </c>
      <c r="F1015" s="10" t="n"/>
      <c r="G1015" s="12" t="n">
        <v>-1950</v>
      </c>
      <c r="H1015" s="10" t="n">
        <v>1</v>
      </c>
      <c r="I1015" s="10">
        <f>IF(OR(D1015="Uncategorised",E1015=""),"Check","")</f>
        <v/>
      </c>
    </row>
    <row r="1016">
      <c r="A1016" s="10" t="inlineStr">
        <is>
          <t>Amex Dec-2025</t>
        </is>
      </c>
      <c r="B1016" s="11" t="n">
        <v>45988</v>
      </c>
      <c r="C1016" s="10" t="inlineStr">
        <is>
          <t>THE NET-A-PORTER GROUP HONG KONG</t>
        </is>
      </c>
      <c r="D1016" s="10">
        <f>IFERROR(INDEX('Review Items'!$D:$D,MATCH(C1016,'Review Items'!$B:$B,0)),IFERROR(INDEX('Rule Updates'!$B:$B,MATCH(C1016,'Rule Updates'!$A:$A,0)),"Uncategorised"))</f>
        <v/>
      </c>
      <c r="E1016" s="10">
        <f>IFERROR(INDEX('Review Items'!$E:$E,MATCH(C1016,'Review Items'!$B:$B,0)),IFERROR(INDEX('Rule Updates'!$C:$C,MATCH(C1016,'Rule Updates'!$A:$A,0)),"Review"))</f>
        <v/>
      </c>
      <c r="F1016" s="10" t="n"/>
      <c r="G1016" s="12" t="n">
        <v>-2664</v>
      </c>
      <c r="H1016" s="10" t="n">
        <v>1</v>
      </c>
      <c r="I1016" s="10">
        <f>IF(OR(D1016="Uncategorised",E1016=""),"Check","")</f>
        <v/>
      </c>
    </row>
    <row r="1017">
      <c r="A1017" s="10" t="inlineStr">
        <is>
          <t>Amex Dec-2025</t>
        </is>
      </c>
      <c r="B1017" s="11" t="n">
        <v>45988</v>
      </c>
      <c r="C1017" s="10" t="inlineStr">
        <is>
          <t>THE NET-A-PORTER GROUP HONG KONG</t>
        </is>
      </c>
      <c r="D1017" s="10">
        <f>IFERROR(INDEX('Review Items'!$D:$D,MATCH(C1017,'Review Items'!$B:$B,0)),IFERROR(INDEX('Rule Updates'!$B:$B,MATCH(C1017,'Rule Updates'!$A:$A,0)),"Uncategorised"))</f>
        <v/>
      </c>
      <c r="E1017" s="10">
        <f>IFERROR(INDEX('Review Items'!$E:$E,MATCH(C1017,'Review Items'!$B:$B,0)),IFERROR(INDEX('Rule Updates'!$C:$C,MATCH(C1017,'Rule Updates'!$A:$A,0)),"Review"))</f>
        <v/>
      </c>
      <c r="F1017" s="10" t="n"/>
      <c r="G1017" s="12" t="n">
        <v>-11794</v>
      </c>
      <c r="H1017" s="10" t="n">
        <v>1</v>
      </c>
      <c r="I1017" s="10">
        <f>IF(OR(D1017="Uncategorised",E1017=""),"Check","")</f>
        <v/>
      </c>
    </row>
    <row r="1018">
      <c r="A1018" s="10" t="inlineStr">
        <is>
          <t>Amex Dec-2025</t>
        </is>
      </c>
      <c r="B1018" s="11" t="n">
        <v>45989</v>
      </c>
      <c r="C1018" s="10" t="inlineStr">
        <is>
          <t>HARVEY NICHOLS CENTRAL</t>
        </is>
      </c>
      <c r="D1018" s="10">
        <f>IFERROR(INDEX('Review Items'!$D:$D,MATCH(C1018,'Review Items'!$B:$B,0)),IFERROR(INDEX('Rule Updates'!$B:$B,MATCH(C1018,'Rule Updates'!$A:$A,0)),"Uncategorised"))</f>
        <v/>
      </c>
      <c r="E1018" s="10">
        <f>IFERROR(INDEX('Review Items'!$E:$E,MATCH(C1018,'Review Items'!$B:$B,0)),IFERROR(INDEX('Rule Updates'!$C:$C,MATCH(C1018,'Rule Updates'!$A:$A,0)),"Review"))</f>
        <v/>
      </c>
      <c r="F1018" s="10" t="n"/>
      <c r="G1018" s="12" t="n">
        <v>1105</v>
      </c>
      <c r="H1018" s="10" t="n">
        <v>1</v>
      </c>
      <c r="I1018" s="10">
        <f>IF(OR(D1018="Uncategorised",E1018=""),"Check","")</f>
        <v/>
      </c>
    </row>
    <row r="1019">
      <c r="A1019" s="10" t="inlineStr">
        <is>
          <t>Amex Dec-2025</t>
        </is>
      </c>
      <c r="B1019" s="11" t="n">
        <v>45991</v>
      </c>
      <c r="C1019" s="10" t="inlineStr">
        <is>
          <t>FORTRESS - 220 QUARRY BAY</t>
        </is>
      </c>
      <c r="D1019" s="10">
        <f>IFERROR(INDEX('Review Items'!$D:$D,MATCH(C1019,'Review Items'!$B:$B,0)),IFERROR(INDEX('Rule Updates'!$B:$B,MATCH(C1019,'Rule Updates'!$A:$A,0)),"Uncategorised"))</f>
        <v/>
      </c>
      <c r="E1019" s="10">
        <f>IFERROR(INDEX('Review Items'!$E:$E,MATCH(C1019,'Review Items'!$B:$B,0)),IFERROR(INDEX('Rule Updates'!$C:$C,MATCH(C1019,'Rule Updates'!$A:$A,0)),"Review"))</f>
        <v/>
      </c>
      <c r="F1019" s="10" t="n"/>
      <c r="G1019" s="12" t="n">
        <v>8406</v>
      </c>
      <c r="H1019" s="10" t="n">
        <v>2</v>
      </c>
      <c r="I1019" s="10">
        <f>IF(OR(D1019="Uncategorised",E1019=""),"Check","")</f>
        <v/>
      </c>
    </row>
    <row r="1020">
      <c r="A1020" s="10" t="inlineStr">
        <is>
          <t>Amex Dec-2025</t>
        </is>
      </c>
      <c r="B1020" s="11" t="n">
        <v>45991</v>
      </c>
      <c r="C1020" s="10" t="inlineStr">
        <is>
          <t>OCL * OCTOPUS AD 2500654 KO WLOON BAY</t>
        </is>
      </c>
      <c r="D1020" s="10">
        <f>IFERROR(INDEX('Review Items'!$D:$D,MATCH(C1020,'Review Items'!$B:$B,0)),IFERROR(INDEX('Rule Updates'!$B:$B,MATCH(C1020,'Rule Updates'!$A:$A,0)),"Uncategorised"))</f>
        <v/>
      </c>
      <c r="E1020" s="10">
        <f>IFERROR(INDEX('Review Items'!$E:$E,MATCH(C1020,'Review Items'!$B:$B,0)),IFERROR(INDEX('Rule Updates'!$C:$C,MATCH(C1020,'Rule Updates'!$A:$A,0)),"Review"))</f>
        <v/>
      </c>
      <c r="F1020" s="10" t="n"/>
      <c r="G1020" s="12" t="n">
        <v>1800</v>
      </c>
      <c r="H1020" s="10" t="n">
        <v>2</v>
      </c>
      <c r="I1020" s="10">
        <f>IF(OR(D1020="Uncategorised",E1020=""),"Check","")</f>
        <v/>
      </c>
    </row>
    <row r="1021">
      <c r="A1021" s="10" t="inlineStr">
        <is>
          <t>Amex Dec-2025</t>
        </is>
      </c>
      <c r="B1021" s="11" t="n">
        <v>45991</v>
      </c>
      <c r="C1021" s="10" t="inlineStr">
        <is>
          <t>THE DAIRY FARM - MANNIN QUARRY BAY</t>
        </is>
      </c>
      <c r="D1021" s="10">
        <f>IFERROR(INDEX('Review Items'!$D:$D,MATCH(C1021,'Review Items'!$B:$B,0)),IFERROR(INDEX('Rule Updates'!$B:$B,MATCH(C1021,'Rule Updates'!$A:$A,0)),"Uncategorised"))</f>
        <v/>
      </c>
      <c r="E1021" s="10">
        <f>IFERROR(INDEX('Review Items'!$E:$E,MATCH(C1021,'Review Items'!$B:$B,0)),IFERROR(INDEX('Rule Updates'!$C:$C,MATCH(C1021,'Rule Updates'!$A:$A,0)),"Review"))</f>
        <v/>
      </c>
      <c r="F1021" s="10" t="n"/>
      <c r="G1021" s="12" t="n">
        <v>1454.3</v>
      </c>
      <c r="H1021" s="10" t="n">
        <v>2</v>
      </c>
      <c r="I1021" s="10">
        <f>IF(OR(D1021="Uncategorised",E1021=""),"Check","")</f>
        <v/>
      </c>
    </row>
    <row r="1022">
      <c r="A1022" s="10" t="inlineStr">
        <is>
          <t>Amex Dec-2025</t>
        </is>
      </c>
      <c r="B1022" s="11" t="n">
        <v>45991</v>
      </c>
      <c r="C1022" s="10" t="inlineStr">
        <is>
          <t>THE NET-A-PORTER GROUP HONG KONG</t>
        </is>
      </c>
      <c r="D1022" s="10">
        <f>IFERROR(INDEX('Review Items'!$D:$D,MATCH(C1022,'Review Items'!$B:$B,0)),IFERROR(INDEX('Rule Updates'!$B:$B,MATCH(C1022,'Rule Updates'!$A:$A,0)),"Uncategorised"))</f>
        <v/>
      </c>
      <c r="E1022" s="10">
        <f>IFERROR(INDEX('Review Items'!$E:$E,MATCH(C1022,'Review Items'!$B:$B,0)),IFERROR(INDEX('Rule Updates'!$C:$C,MATCH(C1022,'Rule Updates'!$A:$A,0)),"Review"))</f>
        <v/>
      </c>
      <c r="F1022" s="10" t="n"/>
      <c r="G1022" s="12" t="n">
        <v>19852</v>
      </c>
      <c r="H1022" s="10" t="n">
        <v>2</v>
      </c>
      <c r="I1022" s="10">
        <f>IF(OR(D1022="Uncategorised",E1022=""),"Check","")</f>
        <v/>
      </c>
    </row>
    <row r="1023">
      <c r="A1023" s="10" t="inlineStr">
        <is>
          <t>Amex Dec-2025</t>
        </is>
      </c>
      <c r="B1023" s="11" t="n">
        <v>45991</v>
      </c>
      <c r="C1023" s="10" t="inlineStr">
        <is>
          <t>UNI QLO - HK 2045 TAIKOO SHING</t>
        </is>
      </c>
      <c r="D1023" s="10">
        <f>IFERROR(INDEX('Review Items'!$D:$D,MATCH(C1023,'Review Items'!$B:$B,0)),IFERROR(INDEX('Rule Updates'!$B:$B,MATCH(C1023,'Rule Updates'!$A:$A,0)),"Uncategorised"))</f>
        <v/>
      </c>
      <c r="E1023" s="10">
        <f>IFERROR(INDEX('Review Items'!$E:$E,MATCH(C1023,'Review Items'!$B:$B,0)),IFERROR(INDEX('Rule Updates'!$C:$C,MATCH(C1023,'Rule Updates'!$A:$A,0)),"Review"))</f>
        <v/>
      </c>
      <c r="F1023" s="10" t="n"/>
      <c r="G1023" s="12" t="n">
        <v>1631</v>
      </c>
      <c r="H1023" s="10" t="n">
        <v>2</v>
      </c>
      <c r="I1023" s="10">
        <f>IF(OR(D1023="Uncategorised",E1023=""),"Check","")</f>
        <v/>
      </c>
    </row>
    <row r="1024">
      <c r="A1024" s="10" t="inlineStr">
        <is>
          <t>Amex Dec-2025</t>
        </is>
      </c>
      <c r="B1024" s="11" t="n">
        <v>45992</v>
      </c>
      <c r="C1024" s="10" t="inlineStr">
        <is>
          <t>SP VIOLETGREYSTORE LOS ANGELES</t>
        </is>
      </c>
      <c r="D1024" s="10">
        <f>IFERROR(INDEX('Review Items'!$D:$D,MATCH(C1024,'Review Items'!$B:$B,0)),IFERROR(INDEX('Rule Updates'!$B:$B,MATCH(C1024,'Rule Updates'!$A:$A,0)),"Uncategorised"))</f>
        <v/>
      </c>
      <c r="E1024" s="10">
        <f>IFERROR(INDEX('Review Items'!$E:$E,MATCH(C1024,'Review Items'!$B:$B,0)),IFERROR(INDEX('Rule Updates'!$C:$C,MATCH(C1024,'Rule Updates'!$A:$A,0)),"Review"))</f>
        <v/>
      </c>
      <c r="F1024" s="12" t="n">
        <v>1422.1</v>
      </c>
      <c r="G1024" s="12" t="n">
        <v>11294.5</v>
      </c>
      <c r="H1024" s="10" t="n">
        <v>2</v>
      </c>
      <c r="I1024" s="10">
        <f>IF(OR(D1024="Uncategorised",E1024=""),"Check","")</f>
        <v/>
      </c>
    </row>
    <row r="1025">
      <c r="A1025" s="10" t="inlineStr">
        <is>
          <t>Amex Dec-2025</t>
        </is>
      </c>
      <c r="B1025" s="11" t="n">
        <v>45993</v>
      </c>
      <c r="C1025" s="10" t="inlineStr">
        <is>
          <t>CITY ' SUPER CENTRAL</t>
        </is>
      </c>
      <c r="D1025" s="10">
        <f>IFERROR(INDEX('Review Items'!$D:$D,MATCH(C1025,'Review Items'!$B:$B,0)),IFERROR(INDEX('Rule Updates'!$B:$B,MATCH(C1025,'Rule Updates'!$A:$A,0)),"Uncategorised"))</f>
        <v/>
      </c>
      <c r="E1025" s="10">
        <f>IFERROR(INDEX('Review Items'!$E:$E,MATCH(C1025,'Review Items'!$B:$B,0)),IFERROR(INDEX('Rule Updates'!$C:$C,MATCH(C1025,'Rule Updates'!$A:$A,0)),"Review"))</f>
        <v/>
      </c>
      <c r="F1025" s="10" t="n"/>
      <c r="G1025" s="12" t="n">
        <v>1077.5</v>
      </c>
      <c r="H1025" s="10" t="n">
        <v>2</v>
      </c>
      <c r="I1025" s="10">
        <f>IF(OR(D1025="Uncategorised",E1025=""),"Check","")</f>
        <v/>
      </c>
    </row>
    <row r="1026">
      <c r="A1026" s="10" t="inlineStr">
        <is>
          <t>Amex Dec-2025</t>
        </is>
      </c>
      <c r="B1026" s="11" t="n">
        <v>45993</v>
      </c>
      <c r="C1026" s="10" t="inlineStr">
        <is>
          <t>PATHLAB MEDICAL LA BORAT CENTRAL</t>
        </is>
      </c>
      <c r="D1026" s="10">
        <f>IFERROR(INDEX('Review Items'!$D:$D,MATCH(C1026,'Review Items'!$B:$B,0)),IFERROR(INDEX('Rule Updates'!$B:$B,MATCH(C1026,'Rule Updates'!$A:$A,0)),"Uncategorised"))</f>
        <v/>
      </c>
      <c r="E1026" s="10">
        <f>IFERROR(INDEX('Review Items'!$E:$E,MATCH(C1026,'Review Items'!$B:$B,0)),IFERROR(INDEX('Rule Updates'!$C:$C,MATCH(C1026,'Rule Updates'!$A:$A,0)),"Review"))</f>
        <v/>
      </c>
      <c r="F1026" s="10" t="n"/>
      <c r="G1026" s="12" t="n">
        <v>9850</v>
      </c>
      <c r="H1026" s="10" t="n">
        <v>2</v>
      </c>
      <c r="I1026" s="10">
        <f>IF(OR(D1026="Uncategorised",E1026=""),"Check","")</f>
        <v/>
      </c>
    </row>
    <row r="1027">
      <c r="A1027" s="10" t="inlineStr">
        <is>
          <t>Amex Dec-2025</t>
        </is>
      </c>
      <c r="B1027" s="11" t="n">
        <v>45993</v>
      </c>
      <c r="C1027" s="10" t="inlineStr">
        <is>
          <t>PONTI WINE CELLARS 0000 HONG KONG</t>
        </is>
      </c>
      <c r="D1027" s="10">
        <f>IFERROR(INDEX('Review Items'!$D:$D,MATCH(C1027,'Review Items'!$B:$B,0)),IFERROR(INDEX('Rule Updates'!$B:$B,MATCH(C1027,'Rule Updates'!$A:$A,0)),"Uncategorised"))</f>
        <v/>
      </c>
      <c r="E1027" s="10">
        <f>IFERROR(INDEX('Review Items'!$E:$E,MATCH(C1027,'Review Items'!$B:$B,0)),IFERROR(INDEX('Rule Updates'!$C:$C,MATCH(C1027,'Rule Updates'!$A:$A,0)),"Review"))</f>
        <v/>
      </c>
      <c r="F1027" s="10" t="n"/>
      <c r="G1027" s="12" t="n">
        <v>32508</v>
      </c>
      <c r="H1027" s="10" t="n">
        <v>2</v>
      </c>
      <c r="I1027" s="10">
        <f>IF(OR(D1027="Uncategorised",E1027=""),"Check","")</f>
        <v/>
      </c>
    </row>
    <row r="1028">
      <c r="A1028" s="10" t="inlineStr">
        <is>
          <t>Amex Dec-2025</t>
        </is>
      </c>
      <c r="B1028" s="11" t="n">
        <v>45994</v>
      </c>
      <c r="C1028" s="10" t="inlineStr">
        <is>
          <t>MYTHERESA APAC SERVICES ISLANDS</t>
        </is>
      </c>
      <c r="D1028" s="10">
        <f>IFERROR(INDEX('Review Items'!$D:$D,MATCH(C1028,'Review Items'!$B:$B,0)),IFERROR(INDEX('Rule Updates'!$B:$B,MATCH(C1028,'Rule Updates'!$A:$A,0)),"Uncategorised"))</f>
        <v/>
      </c>
      <c r="E1028" s="10">
        <f>IFERROR(INDEX('Review Items'!$E:$E,MATCH(C1028,'Review Items'!$B:$B,0)),IFERROR(INDEX('Rule Updates'!$C:$C,MATCH(C1028,'Rule Updates'!$A:$A,0)),"Review"))</f>
        <v/>
      </c>
      <c r="F1028" s="10" t="n"/>
      <c r="G1028" s="12" t="n">
        <v>-13690</v>
      </c>
      <c r="H1028" s="10" t="n">
        <v>2</v>
      </c>
      <c r="I1028" s="10">
        <f>IF(OR(D1028="Uncategorised",E1028=""),"Check","")</f>
        <v/>
      </c>
    </row>
    <row r="1029">
      <c r="A1029" s="10" t="inlineStr">
        <is>
          <t>Amex Dec-2025</t>
        </is>
      </c>
      <c r="B1029" s="11" t="n">
        <v>45994</v>
      </c>
      <c r="C1029" s="10" t="inlineStr">
        <is>
          <t>Ocea n payme nt * hype rs he ll HK</t>
        </is>
      </c>
      <c r="D1029" s="10">
        <f>IFERROR(INDEX('Review Items'!$D:$D,MATCH(C1029,'Review Items'!$B:$B,0)),IFERROR(INDEX('Rule Updates'!$B:$B,MATCH(C1029,'Rule Updates'!$A:$A,0)),"Uncategorised"))</f>
        <v/>
      </c>
      <c r="E1029" s="10">
        <f>IFERROR(INDEX('Review Items'!$E:$E,MATCH(C1029,'Review Items'!$B:$B,0)),IFERROR(INDEX('Rule Updates'!$C:$C,MATCH(C1029,'Rule Updates'!$A:$A,0)),"Review"))</f>
        <v/>
      </c>
      <c r="F1029" s="12" t="n">
        <v>1999</v>
      </c>
      <c r="G1029" s="12" t="n">
        <v>15881.61</v>
      </c>
      <c r="H1029" s="10" t="n">
        <v>2</v>
      </c>
      <c r="I1029" s="10">
        <f>IF(OR(D1029="Uncategorised",E1029=""),"Check","")</f>
        <v/>
      </c>
    </row>
    <row r="1030">
      <c r="A1030" s="10" t="inlineStr">
        <is>
          <t>Amex Dec-2025</t>
        </is>
      </c>
      <c r="B1030" s="11" t="n">
        <v>45994</v>
      </c>
      <c r="C1030" s="10" t="inlineStr">
        <is>
          <t>SP IPPODOTEAGLO BAL KYOUTOSHINAKAGY</t>
        </is>
      </c>
      <c r="D1030" s="10">
        <f>IFERROR(INDEX('Review Items'!$D:$D,MATCH(C1030,'Review Items'!$B:$B,0)),IFERROR(INDEX('Rule Updates'!$B:$B,MATCH(C1030,'Rule Updates'!$A:$A,0)),"Uncategorised"))</f>
        <v/>
      </c>
      <c r="E1030" s="10">
        <f>IFERROR(INDEX('Review Items'!$E:$E,MATCH(C1030,'Review Items'!$B:$B,0)),IFERROR(INDEX('Rule Updates'!$C:$C,MATCH(C1030,'Rule Updates'!$A:$A,0)),"Review"))</f>
        <v/>
      </c>
      <c r="F1030" s="12" t="n">
        <v>54965</v>
      </c>
      <c r="G1030" s="12" t="n">
        <v>2803.8</v>
      </c>
      <c r="H1030" s="10" t="n">
        <v>2</v>
      </c>
      <c r="I1030" s="10">
        <f>IF(OR(D1030="Uncategorised",E1030=""),"Check","")</f>
        <v/>
      </c>
    </row>
    <row r="1031">
      <c r="A1031" s="10" t="inlineStr">
        <is>
          <t>Amex Dec-2025</t>
        </is>
      </c>
      <c r="B1031" s="11" t="n">
        <v>45995</v>
      </c>
      <c r="C1031" s="10" t="inlineStr">
        <is>
          <t>PONTI WINE CELLARS 0000 HONG KONG</t>
        </is>
      </c>
      <c r="D1031" s="10">
        <f>IFERROR(INDEX('Review Items'!$D:$D,MATCH(C1031,'Review Items'!$B:$B,0)),IFERROR(INDEX('Rule Updates'!$B:$B,MATCH(C1031,'Rule Updates'!$A:$A,0)),"Uncategorised"))</f>
        <v/>
      </c>
      <c r="E1031" s="10">
        <f>IFERROR(INDEX('Review Items'!$E:$E,MATCH(C1031,'Review Items'!$B:$B,0)),IFERROR(INDEX('Rule Updates'!$C:$C,MATCH(C1031,'Rule Updates'!$A:$A,0)),"Review"))</f>
        <v/>
      </c>
      <c r="F1031" s="10" t="n"/>
      <c r="G1031" s="12" t="n">
        <v>48809</v>
      </c>
      <c r="H1031" s="10" t="n">
        <v>2</v>
      </c>
      <c r="I1031" s="10">
        <f>IF(OR(D1031="Uncategorised",E1031=""),"Check","")</f>
        <v/>
      </c>
    </row>
    <row r="1032">
      <c r="A1032" s="10" t="inlineStr">
        <is>
          <t>Amex Dec-2025</t>
        </is>
      </c>
      <c r="B1032" s="11" t="n">
        <v>45995</v>
      </c>
      <c r="C1032" s="10" t="inlineStr">
        <is>
          <t>THE MANDARIN SALON CENTRAL</t>
        </is>
      </c>
      <c r="D1032" s="10">
        <f>IFERROR(INDEX('Review Items'!$D:$D,MATCH(C1032,'Review Items'!$B:$B,0)),IFERROR(INDEX('Rule Updates'!$B:$B,MATCH(C1032,'Rule Updates'!$A:$A,0)),"Uncategorised"))</f>
        <v/>
      </c>
      <c r="E1032" s="10">
        <f>IFERROR(INDEX('Review Items'!$E:$E,MATCH(C1032,'Review Items'!$B:$B,0)),IFERROR(INDEX('Rule Updates'!$C:$C,MATCH(C1032,'Rule Updates'!$A:$A,0)),"Review"))</f>
        <v/>
      </c>
      <c r="F1032" s="10" t="n"/>
      <c r="G1032" s="12" t="n">
        <v>1881</v>
      </c>
      <c r="H1032" s="10" t="n">
        <v>2</v>
      </c>
      <c r="I1032" s="10">
        <f>IF(OR(D1032="Uncategorised",E1032=""),"Check","")</f>
        <v/>
      </c>
    </row>
    <row r="1033">
      <c r="A1033" s="10" t="inlineStr">
        <is>
          <t>Amex Dec-2025</t>
        </is>
      </c>
      <c r="B1033" s="11" t="n">
        <v>45996</v>
      </c>
      <c r="C1033" s="10" t="inlineStr">
        <is>
          <t>FORTRESS - 205 CENTRAL</t>
        </is>
      </c>
      <c r="D1033" s="10">
        <f>IFERROR(INDEX('Review Items'!$D:$D,MATCH(C1033,'Review Items'!$B:$B,0)),IFERROR(INDEX('Rule Updates'!$B:$B,MATCH(C1033,'Rule Updates'!$A:$A,0)),"Uncategorised"))</f>
        <v/>
      </c>
      <c r="E1033" s="10">
        <f>IFERROR(INDEX('Review Items'!$E:$E,MATCH(C1033,'Review Items'!$B:$B,0)),IFERROR(INDEX('Rule Updates'!$C:$C,MATCH(C1033,'Rule Updates'!$A:$A,0)),"Review"))</f>
        <v/>
      </c>
      <c r="F1033" s="10" t="n"/>
      <c r="G1033" s="12" t="n">
        <v>19339</v>
      </c>
      <c r="H1033" s="10" t="n">
        <v>3</v>
      </c>
      <c r="I1033" s="10">
        <f>IF(OR(D1033="Uncategorised",E1033=""),"Check","")</f>
        <v/>
      </c>
    </row>
    <row r="1034">
      <c r="A1034" s="10" t="inlineStr">
        <is>
          <t>Amex Dec-2025</t>
        </is>
      </c>
      <c r="B1034" s="11" t="n">
        <v>45996</v>
      </c>
      <c r="C1034" s="10" t="inlineStr">
        <is>
          <t>M A X I M SCATERERS LTD CHEUNG SHA WAN</t>
        </is>
      </c>
      <c r="D1034" s="10">
        <f>IFERROR(INDEX('Review Items'!$D:$D,MATCH(C1034,'Review Items'!$B:$B,0)),IFERROR(INDEX('Rule Updates'!$B:$B,MATCH(C1034,'Rule Updates'!$A:$A,0)),"Uncategorised"))</f>
        <v/>
      </c>
      <c r="E1034" s="10">
        <f>IFERROR(INDEX('Review Items'!$E:$E,MATCH(C1034,'Review Items'!$B:$B,0)),IFERROR(INDEX('Rule Updates'!$C:$C,MATCH(C1034,'Rule Updates'!$A:$A,0)),"Review"))</f>
        <v/>
      </c>
      <c r="F1034" s="10" t="n"/>
      <c r="G1034" s="12" t="n">
        <v>2000</v>
      </c>
      <c r="H1034" s="10" t="n">
        <v>3</v>
      </c>
      <c r="I1034" s="10">
        <f>IF(OR(D1034="Uncategorised",E1034=""),"Check","")</f>
        <v/>
      </c>
    </row>
    <row r="1035">
      <c r="A1035" s="10" t="inlineStr">
        <is>
          <t>Amex Dec-2025</t>
        </is>
      </c>
      <c r="B1035" s="11" t="n">
        <v>45996</v>
      </c>
      <c r="C1035" s="10" t="inlineStr">
        <is>
          <t>NEIGH BORHOOD CENTRAL</t>
        </is>
      </c>
      <c r="D1035" s="10">
        <f>IFERROR(INDEX('Review Items'!$D:$D,MATCH(C1035,'Review Items'!$B:$B,0)),IFERROR(INDEX('Rule Updates'!$B:$B,MATCH(C1035,'Rule Updates'!$A:$A,0)),"Uncategorised"))</f>
        <v/>
      </c>
      <c r="E1035" s="10">
        <f>IFERROR(INDEX('Review Items'!$E:$E,MATCH(C1035,'Review Items'!$B:$B,0)),IFERROR(INDEX('Rule Updates'!$C:$C,MATCH(C1035,'Rule Updates'!$A:$A,0)),"Review"))</f>
        <v/>
      </c>
      <c r="F1035" s="10" t="n"/>
      <c r="G1035" s="12" t="n">
        <v>3218</v>
      </c>
      <c r="H1035" s="10" t="n">
        <v>3</v>
      </c>
      <c r="I1035" s="10">
        <f>IF(OR(D1035="Uncategorised",E1035=""),"Check","")</f>
        <v/>
      </c>
    </row>
    <row r="1036">
      <c r="A1036" s="10" t="inlineStr">
        <is>
          <t>Amex Dec-2025</t>
        </is>
      </c>
      <c r="B1036" s="11" t="n">
        <v>45996</v>
      </c>
      <c r="C1036" s="10" t="inlineStr">
        <is>
          <t>UNI QLO HONG KONG LI MITE TSI MSHA TSUI</t>
        </is>
      </c>
      <c r="D1036" s="10">
        <f>IFERROR(INDEX('Review Items'!$D:$D,MATCH(C1036,'Review Items'!$B:$B,0)),IFERROR(INDEX('Rule Updates'!$B:$B,MATCH(C1036,'Rule Updates'!$A:$A,0)),"Uncategorised"))</f>
        <v/>
      </c>
      <c r="E1036" s="10">
        <f>IFERROR(INDEX('Review Items'!$E:$E,MATCH(C1036,'Review Items'!$B:$B,0)),IFERROR(INDEX('Rule Updates'!$C:$C,MATCH(C1036,'Rule Updates'!$A:$A,0)),"Review"))</f>
        <v/>
      </c>
      <c r="F1036" s="10" t="n"/>
      <c r="G1036" s="12" t="n">
        <v>1645</v>
      </c>
      <c r="H1036" s="10" t="n">
        <v>3</v>
      </c>
      <c r="I1036" s="10">
        <f>IF(OR(D1036="Uncategorised",E1036=""),"Check","")</f>
        <v/>
      </c>
    </row>
    <row r="1037">
      <c r="A1037" s="10" t="inlineStr">
        <is>
          <t>Amex Dec-2025</t>
        </is>
      </c>
      <c r="B1037" s="11" t="n">
        <v>45997</v>
      </c>
      <c r="C1037" s="10" t="inlineStr">
        <is>
          <t>ASIA TICKETING LI MITED HONG KONG</t>
        </is>
      </c>
      <c r="D1037" s="10">
        <f>IFERROR(INDEX('Review Items'!$D:$D,MATCH(C1037,'Review Items'!$B:$B,0)),IFERROR(INDEX('Rule Updates'!$B:$B,MATCH(C1037,'Rule Updates'!$A:$A,0)),"Uncategorised"))</f>
        <v/>
      </c>
      <c r="E1037" s="10">
        <f>IFERROR(INDEX('Review Items'!$E:$E,MATCH(C1037,'Review Items'!$B:$B,0)),IFERROR(INDEX('Rule Updates'!$C:$C,MATCH(C1037,'Rule Updates'!$A:$A,0)),"Review"))</f>
        <v/>
      </c>
      <c r="F1037" s="10" t="n"/>
      <c r="G1037" s="12" t="n">
        <v>1348</v>
      </c>
      <c r="H1037" s="10" t="n">
        <v>3</v>
      </c>
      <c r="I1037" s="10">
        <f>IF(OR(D1037="Uncategorised",E1037=""),"Check","")</f>
        <v/>
      </c>
    </row>
    <row r="1038">
      <c r="A1038" s="10" t="inlineStr">
        <is>
          <t>Amex Dec-2025</t>
        </is>
      </c>
      <c r="B1038" s="11" t="n">
        <v>45997</v>
      </c>
      <c r="C1038" s="10" t="inlineStr">
        <is>
          <t>FALCONE CENTRAL</t>
        </is>
      </c>
      <c r="D1038" s="10">
        <f>IFERROR(INDEX('Review Items'!$D:$D,MATCH(C1038,'Review Items'!$B:$B,0)),IFERROR(INDEX('Rule Updates'!$B:$B,MATCH(C1038,'Rule Updates'!$A:$A,0)),"Uncategorised"))</f>
        <v/>
      </c>
      <c r="E1038" s="10">
        <f>IFERROR(INDEX('Review Items'!$E:$E,MATCH(C1038,'Review Items'!$B:$B,0)),IFERROR(INDEX('Rule Updates'!$C:$C,MATCH(C1038,'Rule Updates'!$A:$A,0)),"Review"))</f>
        <v/>
      </c>
      <c r="F1038" s="10" t="n"/>
      <c r="G1038" s="12" t="n">
        <v>1044</v>
      </c>
      <c r="H1038" s="10" t="n">
        <v>3</v>
      </c>
      <c r="I1038" s="10">
        <f>IF(OR(D1038="Uncategorised",E1038=""),"Check","")</f>
        <v/>
      </c>
    </row>
    <row r="1039">
      <c r="A1039" s="10" t="inlineStr">
        <is>
          <t>Amex Dec-2025</t>
        </is>
      </c>
      <c r="B1039" s="11" t="n">
        <v>45997</v>
      </c>
      <c r="C1039" s="10" t="inlineStr">
        <is>
          <t>LA VACHE ! CENTRAL</t>
        </is>
      </c>
      <c r="D1039" s="10">
        <f>IFERROR(INDEX('Review Items'!$D:$D,MATCH(C1039,'Review Items'!$B:$B,0)),IFERROR(INDEX('Rule Updates'!$B:$B,MATCH(C1039,'Rule Updates'!$A:$A,0)),"Uncategorised"))</f>
        <v/>
      </c>
      <c r="E1039" s="10">
        <f>IFERROR(INDEX('Review Items'!$E:$E,MATCH(C1039,'Review Items'!$B:$B,0)),IFERROR(INDEX('Rule Updates'!$C:$C,MATCH(C1039,'Rule Updates'!$A:$A,0)),"Review"))</f>
        <v/>
      </c>
      <c r="F1039" s="10" t="n"/>
      <c r="G1039" s="12" t="n">
        <v>1488.4</v>
      </c>
      <c r="H1039" s="10" t="n">
        <v>3</v>
      </c>
      <c r="I1039" s="10">
        <f>IF(OR(D1039="Uncategorised",E1039=""),"Check","")</f>
        <v/>
      </c>
    </row>
    <row r="1040">
      <c r="A1040" s="10" t="inlineStr">
        <is>
          <t>Amex Dec-2025</t>
        </is>
      </c>
      <c r="B1040" s="11" t="n">
        <v>45999</v>
      </c>
      <c r="C1040" s="10" t="inlineStr">
        <is>
          <t>PAY MENT RECEIVED THROUGH AUTOPAY</t>
        </is>
      </c>
      <c r="D1040" s="10">
        <f>IFERROR(INDEX('Review Items'!$D:$D,MATCH(C1040,'Review Items'!$B:$B,0)),IFERROR(INDEX('Rule Updates'!$B:$B,MATCH(C1040,'Rule Updates'!$A:$A,0)),"Uncategorised"))</f>
        <v/>
      </c>
      <c r="E1040" s="10">
        <f>IFERROR(INDEX('Review Items'!$E:$E,MATCH(C1040,'Review Items'!$B:$B,0)),IFERROR(INDEX('Rule Updates'!$C:$C,MATCH(C1040,'Rule Updates'!$A:$A,0)),"Review"))</f>
        <v/>
      </c>
      <c r="F1040" s="10" t="n"/>
      <c r="G1040" s="12" t="n">
        <v>-486246.55</v>
      </c>
      <c r="H1040" s="10" t="n">
        <v>1</v>
      </c>
      <c r="I1040" s="10">
        <f>IF(OR(D1040="Uncategorised",E1040=""),"Check","")</f>
        <v/>
      </c>
    </row>
    <row r="1041">
      <c r="A1041" s="10" t="inlineStr">
        <is>
          <t>Amex Dec-2025</t>
        </is>
      </c>
      <c r="B1041" s="11" t="n">
        <v>45999</v>
      </c>
      <c r="C1041" s="10" t="inlineStr">
        <is>
          <t>SP BAR TI MES STORE BUNKYOUKU</t>
        </is>
      </c>
      <c r="D1041" s="10">
        <f>IFERROR(INDEX('Review Items'!$D:$D,MATCH(C1041,'Review Items'!$B:$B,0)),IFERROR(INDEX('Rule Updates'!$B:$B,MATCH(C1041,'Rule Updates'!$A:$A,0)),"Uncategorised"))</f>
        <v/>
      </c>
      <c r="E1041" s="10">
        <f>IFERROR(INDEX('Review Items'!$E:$E,MATCH(C1041,'Review Items'!$B:$B,0)),IFERROR(INDEX('Rule Updates'!$C:$C,MATCH(C1041,'Rule Updates'!$A:$A,0)),"Review"))</f>
        <v/>
      </c>
      <c r="F1041" s="12" t="n">
        <v>92050</v>
      </c>
      <c r="G1041" s="12" t="n">
        <v>4728.77</v>
      </c>
      <c r="H1041" s="10" t="n">
        <v>3</v>
      </c>
      <c r="I1041" s="10">
        <f>IF(OR(D1041="Uncategorised",E1041=""),"Check","")</f>
        <v/>
      </c>
    </row>
    <row r="1042">
      <c r="A1042" s="10" t="inlineStr">
        <is>
          <t>Amex Dec-2025</t>
        </is>
      </c>
      <c r="B1042" s="11" t="n">
        <v>45999</v>
      </c>
      <c r="C1042" s="10" t="inlineStr">
        <is>
          <t>WHALE CLU BHK</t>
        </is>
      </c>
      <c r="D1042" s="10">
        <f>IFERROR(INDEX('Review Items'!$D:$D,MATCH(C1042,'Review Items'!$B:$B,0)),IFERROR(INDEX('Rule Updates'!$B:$B,MATCH(C1042,'Rule Updates'!$A:$A,0)),"Uncategorised"))</f>
        <v/>
      </c>
      <c r="E1042" s="10">
        <f>IFERROR(INDEX('Review Items'!$E:$E,MATCH(C1042,'Review Items'!$B:$B,0)),IFERROR(INDEX('Rule Updates'!$C:$C,MATCH(C1042,'Rule Updates'!$A:$A,0)),"Review"))</f>
        <v/>
      </c>
      <c r="F1042" s="10" t="n"/>
      <c r="G1042" s="12" t="n">
        <v>10064</v>
      </c>
      <c r="H1042" s="10" t="n">
        <v>3</v>
      </c>
      <c r="I1042" s="10">
        <f>IF(OR(D1042="Uncategorised",E1042=""),"Check","")</f>
        <v/>
      </c>
    </row>
    <row r="1043">
      <c r="A1043" s="10" t="inlineStr">
        <is>
          <t>Amex Dec-2025</t>
        </is>
      </c>
      <c r="B1043" s="11" t="n">
        <v>46000</v>
      </c>
      <c r="C1043" s="10" t="inlineStr">
        <is>
          <t>LIU YUAN PAVILION WAN CHAI</t>
        </is>
      </c>
      <c r="D1043" s="10">
        <f>IFERROR(INDEX('Review Items'!$D:$D,MATCH(C1043,'Review Items'!$B:$B,0)),IFERROR(INDEX('Rule Updates'!$B:$B,MATCH(C1043,'Rule Updates'!$A:$A,0)),"Uncategorised"))</f>
        <v/>
      </c>
      <c r="E1043" s="10">
        <f>IFERROR(INDEX('Review Items'!$E:$E,MATCH(C1043,'Review Items'!$B:$B,0)),IFERROR(INDEX('Rule Updates'!$C:$C,MATCH(C1043,'Rule Updates'!$A:$A,0)),"Review"))</f>
        <v/>
      </c>
      <c r="F1043" s="10" t="n"/>
      <c r="G1043" s="12" t="n">
        <v>11598</v>
      </c>
      <c r="H1043" s="10" t="n">
        <v>3</v>
      </c>
      <c r="I1043" s="10">
        <f>IF(OR(D1043="Uncategorised",E1043=""),"Check","")</f>
        <v/>
      </c>
    </row>
    <row r="1044">
      <c r="A1044" s="10" t="inlineStr">
        <is>
          <t>Amex Dec-2025</t>
        </is>
      </c>
      <c r="B1044" s="11" t="n">
        <v>46001</v>
      </c>
      <c r="C1044" s="10" t="inlineStr">
        <is>
          <t>A M A ZON PRIM E *Z 91 T 85 HC 4 AMZN.CO.UK/P M</t>
        </is>
      </c>
      <c r="D1044" s="10">
        <f>IFERROR(INDEX('Review Items'!$D:$D,MATCH(C1044,'Review Items'!$B:$B,0)),IFERROR(INDEX('Rule Updates'!$B:$B,MATCH(C1044,'Rule Updates'!$A:$A,0)),"Uncategorised"))</f>
        <v/>
      </c>
      <c r="E1044" s="10">
        <f>IFERROR(INDEX('Review Items'!$E:$E,MATCH(C1044,'Review Items'!$B:$B,0)),IFERROR(INDEX('Rule Updates'!$C:$C,MATCH(C1044,'Rule Updates'!$A:$A,0)),"Review"))</f>
        <v/>
      </c>
      <c r="F1044" s="12" t="n">
        <v>8.99</v>
      </c>
      <c r="G1044" s="12" t="n">
        <v>95.33</v>
      </c>
      <c r="H1044" s="10" t="n">
        <v>3</v>
      </c>
      <c r="I1044" s="10">
        <f>IF(OR(D1044="Uncategorised",E1044=""),"Check","")</f>
        <v/>
      </c>
    </row>
    <row r="1045">
      <c r="A1045" s="10" t="inlineStr">
        <is>
          <t>Amex Dec-2025</t>
        </is>
      </c>
      <c r="B1045" s="11" t="n">
        <v>46001</v>
      </c>
      <c r="C1045" s="10" t="inlineStr">
        <is>
          <t>PEKING GARDEN - ALE XAND CENTRAL</t>
        </is>
      </c>
      <c r="D1045" s="10">
        <f>IFERROR(INDEX('Review Items'!$D:$D,MATCH(C1045,'Review Items'!$B:$B,0)),IFERROR(INDEX('Rule Updates'!$B:$B,MATCH(C1045,'Rule Updates'!$A:$A,0)),"Uncategorised"))</f>
        <v/>
      </c>
      <c r="E1045" s="10">
        <f>IFERROR(INDEX('Review Items'!$E:$E,MATCH(C1045,'Review Items'!$B:$B,0)),IFERROR(INDEX('Rule Updates'!$C:$C,MATCH(C1045,'Rule Updates'!$A:$A,0)),"Review"))</f>
        <v/>
      </c>
      <c r="F1045" s="10" t="n"/>
      <c r="G1045" s="12" t="n">
        <v>16944.3</v>
      </c>
      <c r="H1045" s="10" t="n">
        <v>3</v>
      </c>
      <c r="I1045" s="10">
        <f>IF(OR(D1045="Uncategorised",E1045=""),"Check","")</f>
        <v/>
      </c>
    </row>
    <row r="1046">
      <c r="A1046" s="10" t="inlineStr">
        <is>
          <t>Amex Dec-2025</t>
        </is>
      </c>
      <c r="B1046" s="11" t="n">
        <v>46001</v>
      </c>
      <c r="C1046" s="10" t="inlineStr">
        <is>
          <t>SAINT PETER PADDINGTON</t>
        </is>
      </c>
      <c r="D1046" s="10">
        <f>IFERROR(INDEX('Review Items'!$D:$D,MATCH(C1046,'Review Items'!$B:$B,0)),IFERROR(INDEX('Rule Updates'!$B:$B,MATCH(C1046,'Rule Updates'!$A:$A,0)),"Uncategorised"))</f>
        <v/>
      </c>
      <c r="E1046" s="10">
        <f>IFERROR(INDEX('Review Items'!$E:$E,MATCH(C1046,'Review Items'!$B:$B,0)),IFERROR(INDEX('Rule Updates'!$C:$C,MATCH(C1046,'Rule Updates'!$A:$A,0)),"Review"))</f>
        <v/>
      </c>
      <c r="F1046" s="12" t="n">
        <v>1500</v>
      </c>
      <c r="G1046" s="12" t="n">
        <v>7925.85</v>
      </c>
      <c r="H1046" s="10" t="n">
        <v>3</v>
      </c>
      <c r="I1046" s="10">
        <f>IF(OR(D1046="Uncategorised",E1046=""),"Check","")</f>
        <v/>
      </c>
    </row>
    <row r="1047">
      <c r="A1047" s="10" t="inlineStr">
        <is>
          <t>Amex Dec-2025</t>
        </is>
      </c>
      <c r="B1047" s="11" t="n">
        <v>46002</v>
      </c>
      <c r="C1047" s="10" t="inlineStr">
        <is>
          <t>REGENT HK STEAKHOUSE TSI MSHATSUI</t>
        </is>
      </c>
      <c r="D1047" s="10">
        <f>IFERROR(INDEX('Review Items'!$D:$D,MATCH(C1047,'Review Items'!$B:$B,0)),IFERROR(INDEX('Rule Updates'!$B:$B,MATCH(C1047,'Rule Updates'!$A:$A,0)),"Uncategorised"))</f>
        <v/>
      </c>
      <c r="E1047" s="10">
        <f>IFERROR(INDEX('Review Items'!$E:$E,MATCH(C1047,'Review Items'!$B:$B,0)),IFERROR(INDEX('Rule Updates'!$C:$C,MATCH(C1047,'Rule Updates'!$A:$A,0)),"Review"))</f>
        <v/>
      </c>
      <c r="F1047" s="10" t="n"/>
      <c r="G1047" s="12" t="n">
        <v>14677.3</v>
      </c>
      <c r="H1047" s="10" t="n">
        <v>3</v>
      </c>
      <c r="I1047" s="10">
        <f>IF(OR(D1047="Uncategorised",E1047=""),"Check","")</f>
        <v/>
      </c>
    </row>
    <row r="1048">
      <c r="A1048" s="10" t="inlineStr">
        <is>
          <t>Amex Dec-2025</t>
        </is>
      </c>
      <c r="B1048" s="11" t="n">
        <v>46003</v>
      </c>
      <c r="C1048" s="10" t="inlineStr">
        <is>
          <t>AUSTRALIANETA NORTH SYDNEY</t>
        </is>
      </c>
      <c r="D1048" s="10">
        <f>IFERROR(INDEX('Review Items'!$D:$D,MATCH(C1048,'Review Items'!$B:$B,0)),IFERROR(INDEX('Rule Updates'!$B:$B,MATCH(C1048,'Rule Updates'!$A:$A,0)),"Uncategorised"))</f>
        <v/>
      </c>
      <c r="E1048" s="10">
        <f>IFERROR(INDEX('Review Items'!$E:$E,MATCH(C1048,'Review Items'!$B:$B,0)),IFERROR(INDEX('Rule Updates'!$C:$C,MATCH(C1048,'Rule Updates'!$A:$A,0)),"Review"))</f>
        <v/>
      </c>
      <c r="F1048" s="12" t="n">
        <v>20</v>
      </c>
      <c r="G1048" s="12" t="n">
        <v>105.96</v>
      </c>
      <c r="H1048" s="10" t="n">
        <v>3</v>
      </c>
      <c r="I1048" s="10">
        <f>IF(OR(D1048="Uncategorised",E1048=""),"Check","")</f>
        <v/>
      </c>
    </row>
    <row r="1049">
      <c r="A1049" s="10" t="inlineStr">
        <is>
          <t>Amex Dec-2025</t>
        </is>
      </c>
      <c r="B1049" s="11" t="n">
        <v>46003</v>
      </c>
      <c r="C1049" s="10" t="inlineStr">
        <is>
          <t>BURGUNDY ETC CENTRAL</t>
        </is>
      </c>
      <c r="D1049" s="10">
        <f>IFERROR(INDEX('Review Items'!$D:$D,MATCH(C1049,'Review Items'!$B:$B,0)),IFERROR(INDEX('Rule Updates'!$B:$B,MATCH(C1049,'Rule Updates'!$A:$A,0)),"Uncategorised"))</f>
        <v/>
      </c>
      <c r="E1049" s="10">
        <f>IFERROR(INDEX('Review Items'!$E:$E,MATCH(C1049,'Review Items'!$B:$B,0)),IFERROR(INDEX('Rule Updates'!$C:$C,MATCH(C1049,'Rule Updates'!$A:$A,0)),"Review"))</f>
        <v/>
      </c>
      <c r="F1049" s="10" t="n"/>
      <c r="G1049" s="12" t="n">
        <v>15675</v>
      </c>
      <c r="H1049" s="10" t="n">
        <v>3</v>
      </c>
      <c r="I1049" s="10">
        <f>IF(OR(D1049="Uncategorised",E1049=""),"Check","")</f>
        <v/>
      </c>
    </row>
    <row r="1050">
      <c r="A1050" s="10" t="inlineStr">
        <is>
          <t>Amex Dec-2025</t>
        </is>
      </c>
      <c r="B1050" s="11" t="n">
        <v>46003</v>
      </c>
      <c r="C1050" s="10" t="inlineStr">
        <is>
          <t>J U MPSPEAK WIL MINGTON</t>
        </is>
      </c>
      <c r="D1050" s="10">
        <f>IFERROR(INDEX('Review Items'!$D:$D,MATCH(C1050,'Review Items'!$B:$B,0)),IFERROR(INDEX('Rule Updates'!$B:$B,MATCH(C1050,'Rule Updates'!$A:$A,0)),"Uncategorised"))</f>
        <v/>
      </c>
      <c r="E1050" s="10">
        <f>IFERROR(INDEX('Review Items'!$E:$E,MATCH(C1050,'Review Items'!$B:$B,0)),IFERROR(INDEX('Rule Updates'!$C:$C,MATCH(C1050,'Rule Updates'!$A:$A,0)),"Review"))</f>
        <v/>
      </c>
      <c r="F1050" s="12" t="n">
        <v>69</v>
      </c>
      <c r="G1050" s="12" t="n">
        <v>547.83</v>
      </c>
      <c r="H1050" s="10" t="n">
        <v>3</v>
      </c>
      <c r="I1050" s="10">
        <f>IF(OR(D1050="Uncategorised",E1050=""),"Check","")</f>
        <v/>
      </c>
    </row>
    <row r="1051">
      <c r="A1051" s="10" t="inlineStr">
        <is>
          <t>Amex Dec-2025</t>
        </is>
      </c>
      <c r="B1051" s="11" t="n">
        <v>46006</v>
      </c>
      <c r="C1051" s="10" t="inlineStr">
        <is>
          <t>ASIA MILES LI MITED HONG KONG</t>
        </is>
      </c>
      <c r="D1051" s="10">
        <f>IFERROR(INDEX('Review Items'!$D:$D,MATCH(C1051,'Review Items'!$B:$B,0)),IFERROR(INDEX('Rule Updates'!$B:$B,MATCH(C1051,'Rule Updates'!$A:$A,0)),"Uncategorised"))</f>
        <v/>
      </c>
      <c r="E1051" s="10">
        <f>IFERROR(INDEX('Review Items'!$E:$E,MATCH(C1051,'Review Items'!$B:$B,0)),IFERROR(INDEX('Rule Updates'!$C:$C,MATCH(C1051,'Rule Updates'!$A:$A,0)),"Review"))</f>
        <v/>
      </c>
      <c r="F1051" s="10" t="n"/>
      <c r="G1051" s="12" t="n">
        <v>1014</v>
      </c>
      <c r="H1051" s="10" t="n">
        <v>3</v>
      </c>
      <c r="I1051" s="10">
        <f>IF(OR(D1051="Uncategorised",E1051=""),"Check","")</f>
        <v/>
      </c>
    </row>
    <row r="1052">
      <c r="A1052" s="10" t="inlineStr">
        <is>
          <t>Amex Dec-2025</t>
        </is>
      </c>
      <c r="B1052" s="11" t="n">
        <v>46006</v>
      </c>
      <c r="C1052" s="10" t="inlineStr">
        <is>
          <t>CATHAY PACIFIC AIR WAYS HONG KONG</t>
        </is>
      </c>
      <c r="D1052" s="10">
        <f>IFERROR(INDEX('Review Items'!$D:$D,MATCH(C1052,'Review Items'!$B:$B,0)),IFERROR(INDEX('Rule Updates'!$B:$B,MATCH(C1052,'Rule Updates'!$A:$A,0)),"Uncategorised"))</f>
        <v/>
      </c>
      <c r="E1052" s="10">
        <f>IFERROR(INDEX('Review Items'!$E:$E,MATCH(C1052,'Review Items'!$B:$B,0)),IFERROR(INDEX('Rule Updates'!$C:$C,MATCH(C1052,'Rule Updates'!$A:$A,0)),"Review"))</f>
        <v/>
      </c>
      <c r="F1052" s="12" t="n">
        <v>470</v>
      </c>
      <c r="G1052" s="12" t="n">
        <v>-518.73</v>
      </c>
      <c r="H1052" s="10" t="n">
        <v>4</v>
      </c>
      <c r="I1052" s="10">
        <f>IF(OR(D1052="Uncategorised",E1052=""),"Check","")</f>
        <v/>
      </c>
    </row>
    <row r="1053">
      <c r="A1053" s="10" t="inlineStr">
        <is>
          <t>Amex Dec-2025</t>
        </is>
      </c>
      <c r="B1053" s="11" t="n">
        <v>46006</v>
      </c>
      <c r="C1053" s="10" t="inlineStr">
        <is>
          <t>IL COLPO PACIFIC PLACE AD MIRALTY</t>
        </is>
      </c>
      <c r="D1053" s="10">
        <f>IFERROR(INDEX('Review Items'!$D:$D,MATCH(C1053,'Review Items'!$B:$B,0)),IFERROR(INDEX('Rule Updates'!$B:$B,MATCH(C1053,'Rule Updates'!$A:$A,0)),"Uncategorised"))</f>
        <v/>
      </c>
      <c r="E1053" s="10">
        <f>IFERROR(INDEX('Review Items'!$E:$E,MATCH(C1053,'Review Items'!$B:$B,0)),IFERROR(INDEX('Rule Updates'!$C:$C,MATCH(C1053,'Rule Updates'!$A:$A,0)),"Review"))</f>
        <v/>
      </c>
      <c r="F1053" s="10" t="n"/>
      <c r="G1053" s="12" t="n">
        <v>8640</v>
      </c>
      <c r="H1053" s="10" t="n">
        <v>3</v>
      </c>
      <c r="I1053" s="10">
        <f>IF(OR(D1053="Uncategorised",E1053=""),"Check","")</f>
        <v/>
      </c>
    </row>
    <row r="1054">
      <c r="A1054" s="10" t="inlineStr">
        <is>
          <t>Amex Dec-2025</t>
        </is>
      </c>
      <c r="B1054" s="11" t="n">
        <v>46006</v>
      </c>
      <c r="C1054" s="10" t="inlineStr">
        <is>
          <t>ISLAND SHANGRI LA 00000 HONG KONG</t>
        </is>
      </c>
      <c r="D1054" s="10">
        <f>IFERROR(INDEX('Review Items'!$D:$D,MATCH(C1054,'Review Items'!$B:$B,0)),IFERROR(INDEX('Rule Updates'!$B:$B,MATCH(C1054,'Rule Updates'!$A:$A,0)),"Uncategorised"))</f>
        <v/>
      </c>
      <c r="E1054" s="10">
        <f>IFERROR(INDEX('Review Items'!$E:$E,MATCH(C1054,'Review Items'!$B:$B,0)),IFERROR(INDEX('Rule Updates'!$C:$C,MATCH(C1054,'Rule Updates'!$A:$A,0)),"Review"))</f>
        <v/>
      </c>
      <c r="F1054" s="10" t="n"/>
      <c r="G1054" s="12" t="n">
        <v>278</v>
      </c>
      <c r="H1054" s="10" t="n">
        <v>4</v>
      </c>
      <c r="I1054" s="10">
        <f>IF(OR(D1054="Uncategorised",E1054=""),"Check","")</f>
        <v/>
      </c>
    </row>
    <row r="1055">
      <c r="A1055" s="10" t="inlineStr">
        <is>
          <t>Amex Dec-2025</t>
        </is>
      </c>
      <c r="B1055" s="11" t="n">
        <v>46006</v>
      </c>
      <c r="C1055" s="10" t="inlineStr">
        <is>
          <t>LANE CRA WFORD ( FURNITUR AD MIRALTY</t>
        </is>
      </c>
      <c r="D1055" s="10">
        <f>IFERROR(INDEX('Review Items'!$D:$D,MATCH(C1055,'Review Items'!$B:$B,0)),IFERROR(INDEX('Rule Updates'!$B:$B,MATCH(C1055,'Rule Updates'!$A:$A,0)),"Uncategorised"))</f>
        <v/>
      </c>
      <c r="E1055" s="10">
        <f>IFERROR(INDEX('Review Items'!$E:$E,MATCH(C1055,'Review Items'!$B:$B,0)),IFERROR(INDEX('Rule Updates'!$C:$C,MATCH(C1055,'Rule Updates'!$A:$A,0)),"Review"))</f>
        <v/>
      </c>
      <c r="F1055" s="10" t="n"/>
      <c r="G1055" s="12" t="n">
        <v>2601</v>
      </c>
      <c r="H1055" s="10" t="n">
        <v>3</v>
      </c>
      <c r="I1055" s="10">
        <f>IF(OR(D1055="Uncategorised",E1055=""),"Check","")</f>
        <v/>
      </c>
    </row>
    <row r="1056">
      <c r="A1056" s="10" t="inlineStr">
        <is>
          <t>Amex Dec-2025</t>
        </is>
      </c>
      <c r="B1056" s="11" t="n">
        <v>46006</v>
      </c>
      <c r="C1056" s="10" t="inlineStr">
        <is>
          <t>LANE CRA WFORD ( FURNITUR AD MIRALTY</t>
        </is>
      </c>
      <c r="D1056" s="10">
        <f>IFERROR(INDEX('Review Items'!$D:$D,MATCH(C1056,'Review Items'!$B:$B,0)),IFERROR(INDEX('Rule Updates'!$B:$B,MATCH(C1056,'Rule Updates'!$A:$A,0)),"Uncategorised"))</f>
        <v/>
      </c>
      <c r="E1056" s="10">
        <f>IFERROR(INDEX('Review Items'!$E:$E,MATCH(C1056,'Review Items'!$B:$B,0)),IFERROR(INDEX('Rule Updates'!$C:$C,MATCH(C1056,'Rule Updates'!$A:$A,0)),"Review"))</f>
        <v/>
      </c>
      <c r="F1056" s="10" t="n"/>
      <c r="G1056" s="12" t="n">
        <v>4338</v>
      </c>
      <c r="H1056" s="10" t="n">
        <v>3</v>
      </c>
      <c r="I1056" s="10">
        <f>IF(OR(D1056="Uncategorised",E1056=""),"Check","")</f>
        <v/>
      </c>
    </row>
    <row r="1057">
      <c r="A1057" s="10" t="inlineStr">
        <is>
          <t>Amex Dec-2025</t>
        </is>
      </c>
      <c r="B1057" s="11" t="n">
        <v>46006</v>
      </c>
      <c r="C1057" s="10" t="inlineStr">
        <is>
          <t>O.N.SKAPOK AD MIRALTY</t>
        </is>
      </c>
      <c r="D1057" s="10">
        <f>IFERROR(INDEX('Review Items'!$D:$D,MATCH(C1057,'Review Items'!$B:$B,0)),IFERROR(INDEX('Rule Updates'!$B:$B,MATCH(C1057,'Rule Updates'!$A:$A,0)),"Uncategorised"))</f>
        <v/>
      </c>
      <c r="E1057" s="10">
        <f>IFERROR(INDEX('Review Items'!$E:$E,MATCH(C1057,'Review Items'!$B:$B,0)),IFERROR(INDEX('Rule Updates'!$C:$C,MATCH(C1057,'Rule Updates'!$A:$A,0)),"Review"))</f>
        <v/>
      </c>
      <c r="F1057" s="10" t="n"/>
      <c r="G1057" s="12" t="n">
        <v>5554</v>
      </c>
      <c r="H1057" s="10" t="n">
        <v>4</v>
      </c>
      <c r="I1057" s="10">
        <f>IF(OR(D1057="Uncategorised",E1057=""),"Check","")</f>
        <v/>
      </c>
    </row>
    <row r="1058">
      <c r="A1058" s="10" t="inlineStr">
        <is>
          <t>Amex Dec-2025</t>
        </is>
      </c>
      <c r="B1058" s="11" t="n">
        <v>46007</v>
      </c>
      <c r="C1058" s="10" t="inlineStr">
        <is>
          <t>KPAY * ASTA CLINIC LI MITE HONG KONG</t>
        </is>
      </c>
      <c r="D1058" s="10">
        <f>IFERROR(INDEX('Review Items'!$D:$D,MATCH(C1058,'Review Items'!$B:$B,0)),IFERROR(INDEX('Rule Updates'!$B:$B,MATCH(C1058,'Rule Updates'!$A:$A,0)),"Uncategorised"))</f>
        <v/>
      </c>
      <c r="E1058" s="10">
        <f>IFERROR(INDEX('Review Items'!$E:$E,MATCH(C1058,'Review Items'!$B:$B,0)),IFERROR(INDEX('Rule Updates'!$C:$C,MATCH(C1058,'Rule Updates'!$A:$A,0)),"Review"))</f>
        <v/>
      </c>
      <c r="F1058" s="10" t="n"/>
      <c r="G1058" s="12" t="n">
        <v>1600</v>
      </c>
      <c r="H1058" s="10" t="n">
        <v>4</v>
      </c>
      <c r="I1058" s="10">
        <f>IF(OR(D1058="Uncategorised",E1058=""),"Check","")</f>
        <v/>
      </c>
    </row>
    <row r="1059">
      <c r="A1059" s="10" t="inlineStr">
        <is>
          <t>Amex Dec-2025</t>
        </is>
      </c>
      <c r="B1059" s="11" t="n">
        <v>46008</v>
      </c>
      <c r="C1059" s="10" t="inlineStr">
        <is>
          <t>AP QUAY Sy d n ey</t>
        </is>
      </c>
      <c r="D1059" s="10">
        <f>IFERROR(INDEX('Review Items'!$D:$D,MATCH(C1059,'Review Items'!$B:$B,0)),IFERROR(INDEX('Rule Updates'!$B:$B,MATCH(C1059,'Rule Updates'!$A:$A,0)),"Uncategorised"))</f>
        <v/>
      </c>
      <c r="E1059" s="10">
        <f>IFERROR(INDEX('Review Items'!$E:$E,MATCH(C1059,'Review Items'!$B:$B,0)),IFERROR(INDEX('Rule Updates'!$C:$C,MATCH(C1059,'Rule Updates'!$A:$A,0)),"Review"))</f>
        <v/>
      </c>
      <c r="F1059" s="12" t="n">
        <v>56.56</v>
      </c>
      <c r="G1059" s="12" t="n">
        <v>299.1</v>
      </c>
      <c r="H1059" s="10" t="n">
        <v>4</v>
      </c>
      <c r="I1059" s="10">
        <f>IF(OR(D1059="Uncategorised",E1059=""),"Check","")</f>
        <v/>
      </c>
    </row>
    <row r="1060">
      <c r="A1060" s="10" t="inlineStr">
        <is>
          <t>Amex Dec-2025</t>
        </is>
      </c>
      <c r="B1060" s="11" t="n">
        <v>46008</v>
      </c>
      <c r="C1060" s="10" t="inlineStr">
        <is>
          <t>SKITTLE LANEC ir c u l a r Qu ay</t>
        </is>
      </c>
      <c r="D1060" s="10">
        <f>IFERROR(INDEX('Review Items'!$D:$D,MATCH(C1060,'Review Items'!$B:$B,0)),IFERROR(INDEX('Rule Updates'!$B:$B,MATCH(C1060,'Rule Updates'!$A:$A,0)),"Uncategorised"))</f>
        <v/>
      </c>
      <c r="E1060" s="10">
        <f>IFERROR(INDEX('Review Items'!$E:$E,MATCH(C1060,'Review Items'!$B:$B,0)),IFERROR(INDEX('Rule Updates'!$C:$C,MATCH(C1060,'Rule Updates'!$A:$A,0)),"Review"))</f>
        <v/>
      </c>
      <c r="F1060" s="12" t="n">
        <v>13.69</v>
      </c>
      <c r="G1060" s="12" t="n">
        <v>72.37</v>
      </c>
      <c r="H1060" s="10" t="n">
        <v>4</v>
      </c>
      <c r="I1060" s="10">
        <f>IF(OR(D1060="Uncategorised",E1060=""),"Check","")</f>
        <v/>
      </c>
    </row>
    <row r="1061">
      <c r="A1061" s="10" t="inlineStr">
        <is>
          <t>Amex Dec-2025</t>
        </is>
      </c>
      <c r="B1061" s="11" t="n">
        <v>46008</v>
      </c>
      <c r="C1061" s="10" t="inlineStr">
        <is>
          <t>SKITTLE LANEC ir c u l a r Qu ay</t>
        </is>
      </c>
      <c r="D1061" s="10">
        <f>IFERROR(INDEX('Review Items'!$D:$D,MATCH(C1061,'Review Items'!$B:$B,0)),IFERROR(INDEX('Rule Updates'!$B:$B,MATCH(C1061,'Rule Updates'!$A:$A,0)),"Uncategorised"))</f>
        <v/>
      </c>
      <c r="E1061" s="10">
        <f>IFERROR(INDEX('Review Items'!$E:$E,MATCH(C1061,'Review Items'!$B:$B,0)),IFERROR(INDEX('Rule Updates'!$C:$C,MATCH(C1061,'Rule Updates'!$A:$A,0)),"Review"))</f>
        <v/>
      </c>
      <c r="F1061" s="12" t="n">
        <v>27.38</v>
      </c>
      <c r="G1061" s="12" t="n">
        <v>144.74</v>
      </c>
      <c r="H1061" s="10" t="n">
        <v>4</v>
      </c>
      <c r="I1061" s="10">
        <f>IF(OR(D1061="Uncategorised",E1061=""),"Check","")</f>
        <v/>
      </c>
    </row>
    <row r="1062">
      <c r="A1062" s="10" t="inlineStr">
        <is>
          <t>Amex Dec-2025</t>
        </is>
      </c>
      <c r="B1062" s="11" t="n">
        <v>46008</v>
      </c>
      <c r="C1062" s="10" t="inlineStr">
        <is>
          <t>THE DAIRY FARM MANNINGSK WUN TONG</t>
        </is>
      </c>
      <c r="D1062" s="10">
        <f>IFERROR(INDEX('Review Items'!$D:$D,MATCH(C1062,'Review Items'!$B:$B,0)),IFERROR(INDEX('Rule Updates'!$B:$B,MATCH(C1062,'Rule Updates'!$A:$A,0)),"Uncategorised"))</f>
        <v/>
      </c>
      <c r="E1062" s="10">
        <f>IFERROR(INDEX('Review Items'!$E:$E,MATCH(C1062,'Review Items'!$B:$B,0)),IFERROR(INDEX('Rule Updates'!$C:$C,MATCH(C1062,'Rule Updates'!$A:$A,0)),"Review"))</f>
        <v/>
      </c>
      <c r="F1062" s="10" t="n"/>
      <c r="G1062" s="12" t="n">
        <v>1178</v>
      </c>
      <c r="H1062" s="10" t="n">
        <v>4</v>
      </c>
      <c r="I1062" s="10">
        <f>IF(OR(D1062="Uncategorised",E1062=""),"Check","")</f>
        <v/>
      </c>
    </row>
    <row r="1063">
      <c r="A1063" s="10" t="inlineStr">
        <is>
          <t>Amex Dec-2025</t>
        </is>
      </c>
      <c r="B1063" s="11" t="n">
        <v>46008</v>
      </c>
      <c r="C1063" s="10" t="inlineStr">
        <is>
          <t>U BER TRIP HTTPS : //HELP.U B</t>
        </is>
      </c>
      <c r="D1063" s="10">
        <f>IFERROR(INDEX('Review Items'!$D:$D,MATCH(C1063,'Review Items'!$B:$B,0)),IFERROR(INDEX('Rule Updates'!$B:$B,MATCH(C1063,'Rule Updates'!$A:$A,0)),"Uncategorised"))</f>
        <v/>
      </c>
      <c r="E1063" s="10">
        <f>IFERROR(INDEX('Review Items'!$E:$E,MATCH(C1063,'Review Items'!$B:$B,0)),IFERROR(INDEX('Rule Updates'!$C:$C,MATCH(C1063,'Rule Updates'!$A:$A,0)),"Review"))</f>
        <v/>
      </c>
      <c r="F1063" s="10" t="n"/>
      <c r="G1063" s="12" t="n">
        <v>10</v>
      </c>
      <c r="H1063" s="10" t="n">
        <v>4</v>
      </c>
      <c r="I1063" s="10">
        <f>IF(OR(D1063="Uncategorised",E1063=""),"Check","")</f>
        <v/>
      </c>
    </row>
    <row r="1064">
      <c r="A1064" s="10" t="inlineStr">
        <is>
          <t>Amex Dec-2025</t>
        </is>
      </c>
      <c r="B1064" s="11" t="n">
        <v>46009</v>
      </c>
      <c r="C1064" s="10" t="inlineStr">
        <is>
          <t>11 BARRACK PTY LTD SYDNEY</t>
        </is>
      </c>
      <c r="D1064" s="10">
        <f>IFERROR(INDEX('Review Items'!$D:$D,MATCH(C1064,'Review Items'!$B:$B,0)),IFERROR(INDEX('Rule Updates'!$B:$B,MATCH(C1064,'Rule Updates'!$A:$A,0)),"Uncategorised"))</f>
        <v/>
      </c>
      <c r="E1064" s="10">
        <f>IFERROR(INDEX('Review Items'!$E:$E,MATCH(C1064,'Review Items'!$B:$B,0)),IFERROR(INDEX('Rule Updates'!$C:$C,MATCH(C1064,'Rule Updates'!$A:$A,0)),"Review"))</f>
        <v/>
      </c>
      <c r="F1064" s="12" t="n">
        <v>1979.24</v>
      </c>
      <c r="G1064" s="12" t="n">
        <v>10420.37</v>
      </c>
      <c r="H1064" s="10" t="n">
        <v>4</v>
      </c>
      <c r="I1064" s="10">
        <f>IF(OR(D1064="Uncategorised",E1064=""),"Check","")</f>
        <v/>
      </c>
    </row>
    <row r="1065">
      <c r="A1065" s="10" t="inlineStr">
        <is>
          <t>Amex Dec-2025</t>
        </is>
      </c>
      <c r="B1065" s="11" t="n">
        <v>46009</v>
      </c>
      <c r="C1065" s="10" t="inlineStr">
        <is>
          <t>BASSIKE RETAIL PTY LTD DOU BLE BAY</t>
        </is>
      </c>
      <c r="D1065" s="10">
        <f>IFERROR(INDEX('Review Items'!$D:$D,MATCH(C1065,'Review Items'!$B:$B,0)),IFERROR(INDEX('Rule Updates'!$B:$B,MATCH(C1065,'Rule Updates'!$A:$A,0)),"Uncategorised"))</f>
        <v/>
      </c>
      <c r="E1065" s="10">
        <f>IFERROR(INDEX('Review Items'!$E:$E,MATCH(C1065,'Review Items'!$B:$B,0)),IFERROR(INDEX('Rule Updates'!$C:$C,MATCH(C1065,'Rule Updates'!$A:$A,0)),"Review"))</f>
        <v/>
      </c>
      <c r="F1065" s="12" t="n">
        <v>330</v>
      </c>
      <c r="G1065" s="12" t="n">
        <v>1736.2</v>
      </c>
      <c r="H1065" s="10" t="n">
        <v>4</v>
      </c>
      <c r="I1065" s="10">
        <f>IF(OR(D1065="Uncategorised",E1065=""),"Check","")</f>
        <v/>
      </c>
    </row>
    <row r="1066">
      <c r="A1066" s="10" t="inlineStr">
        <is>
          <t>Amex Dec-2025</t>
        </is>
      </c>
      <c r="B1066" s="11" t="n">
        <v>46009</v>
      </c>
      <c r="C1066" s="10" t="inlineStr">
        <is>
          <t>COM O METROPOLITAN SINGA SINGAPORE</t>
        </is>
      </c>
      <c r="D1066" s="10">
        <f>IFERROR(INDEX('Review Items'!$D:$D,MATCH(C1066,'Review Items'!$B:$B,0)),IFERROR(INDEX('Rule Updates'!$B:$B,MATCH(C1066,'Rule Updates'!$A:$A,0)),"Uncategorised"))</f>
        <v/>
      </c>
      <c r="E1066" s="10">
        <f>IFERROR(INDEX('Review Items'!$E:$E,MATCH(C1066,'Review Items'!$B:$B,0)),IFERROR(INDEX('Rule Updates'!$C:$C,MATCH(C1066,'Rule Updates'!$A:$A,0)),"Review"))</f>
        <v/>
      </c>
      <c r="F1066" s="12" t="n">
        <v>280.79</v>
      </c>
      <c r="G1066" s="12" t="n">
        <v>1727.79</v>
      </c>
      <c r="H1066" s="10" t="n">
        <v>8</v>
      </c>
      <c r="I1066" s="10">
        <f>IF(OR(D1066="Uncategorised",E1066=""),"Check","")</f>
        <v/>
      </c>
    </row>
    <row r="1067">
      <c r="A1067" s="10" t="inlineStr">
        <is>
          <t>Amex Dec-2025</t>
        </is>
      </c>
      <c r="B1067" s="11" t="n">
        <v>46009</v>
      </c>
      <c r="C1067" s="10" t="inlineStr">
        <is>
          <t>HOUSE OF PHAR MACY 14456 DOU BLE BAY</t>
        </is>
      </c>
      <c r="D1067" s="10">
        <f>IFERROR(INDEX('Review Items'!$D:$D,MATCH(C1067,'Review Items'!$B:$B,0)),IFERROR(INDEX('Rule Updates'!$B:$B,MATCH(C1067,'Rule Updates'!$A:$A,0)),"Uncategorised"))</f>
        <v/>
      </c>
      <c r="E1067" s="10">
        <f>IFERROR(INDEX('Review Items'!$E:$E,MATCH(C1067,'Review Items'!$B:$B,0)),IFERROR(INDEX('Rule Updates'!$C:$C,MATCH(C1067,'Rule Updates'!$A:$A,0)),"Review"))</f>
        <v/>
      </c>
      <c r="F1067" s="12" t="n">
        <v>60.97</v>
      </c>
      <c r="G1067" s="12" t="n">
        <v>320.74</v>
      </c>
      <c r="H1067" s="10" t="n">
        <v>4</v>
      </c>
      <c r="I1067" s="10">
        <f>IF(OR(D1067="Uncategorised",E1067=""),"Check","")</f>
        <v/>
      </c>
    </row>
    <row r="1068">
      <c r="A1068" s="10" t="inlineStr">
        <is>
          <t>Amex Dec-2025</t>
        </is>
      </c>
      <c r="B1068" s="11" t="n">
        <v>46009</v>
      </c>
      <c r="C1068" s="10" t="inlineStr">
        <is>
          <t>HUM BLE COFFEE&amp; BAKERY 74 SURRY HILLS</t>
        </is>
      </c>
      <c r="D1068" s="10">
        <f>IFERROR(INDEX('Review Items'!$D:$D,MATCH(C1068,'Review Items'!$B:$B,0)),IFERROR(INDEX('Rule Updates'!$B:$B,MATCH(C1068,'Rule Updates'!$A:$A,0)),"Uncategorised"))</f>
        <v/>
      </c>
      <c r="E1068" s="10">
        <f>IFERROR(INDEX('Review Items'!$E:$E,MATCH(C1068,'Review Items'!$B:$B,0)),IFERROR(INDEX('Rule Updates'!$C:$C,MATCH(C1068,'Rule Updates'!$A:$A,0)),"Review"))</f>
        <v/>
      </c>
      <c r="F1068" s="12" t="n">
        <v>15.45</v>
      </c>
      <c r="G1068" s="12" t="n">
        <v>81.34999999999999</v>
      </c>
      <c r="H1068" s="10" t="n">
        <v>4</v>
      </c>
      <c r="I1068" s="10">
        <f>IF(OR(D1068="Uncategorised",E1068=""),"Check","")</f>
        <v/>
      </c>
    </row>
    <row r="1069">
      <c r="A1069" s="10" t="inlineStr">
        <is>
          <t>Amex Dec-2025</t>
        </is>
      </c>
      <c r="B1069" s="11" t="n">
        <v>46009</v>
      </c>
      <c r="C1069" s="10" t="inlineStr">
        <is>
          <t>IGA QUAY QUARTER SYDNEY</t>
        </is>
      </c>
      <c r="D1069" s="10">
        <f>IFERROR(INDEX('Review Items'!$D:$D,MATCH(C1069,'Review Items'!$B:$B,0)),IFERROR(INDEX('Rule Updates'!$B:$B,MATCH(C1069,'Rule Updates'!$A:$A,0)),"Uncategorised"))</f>
        <v/>
      </c>
      <c r="E1069" s="10">
        <f>IFERROR(INDEX('Review Items'!$E:$E,MATCH(C1069,'Review Items'!$B:$B,0)),IFERROR(INDEX('Rule Updates'!$C:$C,MATCH(C1069,'Rule Updates'!$A:$A,0)),"Review"))</f>
        <v/>
      </c>
      <c r="F1069" s="12" t="n">
        <v>39.1</v>
      </c>
      <c r="G1069" s="12" t="n">
        <v>205.69</v>
      </c>
      <c r="H1069" s="10" t="n">
        <v>4</v>
      </c>
      <c r="I1069" s="10">
        <f>IF(OR(D1069="Uncategorised",E1069=""),"Check","")</f>
        <v/>
      </c>
    </row>
    <row r="1070">
      <c r="A1070" s="10" t="inlineStr">
        <is>
          <t>Amex Dec-2025</t>
        </is>
      </c>
      <c r="B1070" s="11" t="n">
        <v>46009</v>
      </c>
      <c r="C1070" s="10" t="inlineStr">
        <is>
          <t>TAX I 1 PTY LTD BOTANY</t>
        </is>
      </c>
      <c r="D1070" s="10">
        <f>IFERROR(INDEX('Review Items'!$D:$D,MATCH(C1070,'Review Items'!$B:$B,0)),IFERROR(INDEX('Rule Updates'!$B:$B,MATCH(C1070,'Rule Updates'!$A:$A,0)),"Uncategorised"))</f>
        <v/>
      </c>
      <c r="E1070" s="10">
        <f>IFERROR(INDEX('Review Items'!$E:$E,MATCH(C1070,'Review Items'!$B:$B,0)),IFERROR(INDEX('Rule Updates'!$C:$C,MATCH(C1070,'Rule Updates'!$A:$A,0)),"Review"))</f>
        <v/>
      </c>
      <c r="F1070" s="12" t="n">
        <v>15.14</v>
      </c>
      <c r="G1070" s="12" t="n">
        <v>79.69</v>
      </c>
      <c r="H1070" s="10" t="n">
        <v>4</v>
      </c>
      <c r="I1070" s="10">
        <f>IF(OR(D1070="Uncategorised",E1070=""),"Check","")</f>
        <v/>
      </c>
    </row>
    <row r="1071">
      <c r="A1071" s="10" t="inlineStr">
        <is>
          <t>Amex Dec-2025</t>
        </is>
      </c>
      <c r="B1071" s="11" t="n">
        <v>46010</v>
      </c>
      <c r="C1071" s="10" t="inlineStr">
        <is>
          <t>PINA EATERY POTT POINT</t>
        </is>
      </c>
      <c r="D1071" s="10">
        <f>IFERROR(INDEX('Review Items'!$D:$D,MATCH(C1071,'Review Items'!$B:$B,0)),IFERROR(INDEX('Rule Updates'!$B:$B,MATCH(C1071,'Rule Updates'!$A:$A,0)),"Uncategorised"))</f>
        <v/>
      </c>
      <c r="E1071" s="10">
        <f>IFERROR(INDEX('Review Items'!$E:$E,MATCH(C1071,'Review Items'!$B:$B,0)),IFERROR(INDEX('Rule Updates'!$C:$C,MATCH(C1071,'Rule Updates'!$A:$A,0)),"Review"))</f>
        <v/>
      </c>
      <c r="F1071" s="12" t="n">
        <v>76.84</v>
      </c>
      <c r="G1071" s="12" t="n">
        <v>404.56</v>
      </c>
      <c r="H1071" s="10" t="n">
        <v>4</v>
      </c>
      <c r="I1071" s="10">
        <f>IF(OR(D1071="Uncategorised",E1071=""),"Check","")</f>
        <v/>
      </c>
    </row>
    <row r="1072">
      <c r="A1072" s="10" t="inlineStr">
        <is>
          <t>Amex Dec-2025</t>
        </is>
      </c>
      <c r="B1072" s="11" t="n">
        <v>46010</v>
      </c>
      <c r="C1072" s="10" t="inlineStr">
        <is>
          <t>THE POTTS POINT BOOK SELIZ A BETH BAY</t>
        </is>
      </c>
      <c r="D1072" s="10">
        <f>IFERROR(INDEX('Review Items'!$D:$D,MATCH(C1072,'Review Items'!$B:$B,0)),IFERROR(INDEX('Rule Updates'!$B:$B,MATCH(C1072,'Rule Updates'!$A:$A,0)),"Uncategorised"))</f>
        <v/>
      </c>
      <c r="E1072" s="10">
        <f>IFERROR(INDEX('Review Items'!$E:$E,MATCH(C1072,'Review Items'!$B:$B,0)),IFERROR(INDEX('Rule Updates'!$C:$C,MATCH(C1072,'Rule Updates'!$A:$A,0)),"Review"))</f>
        <v/>
      </c>
      <c r="F1072" s="12" t="n">
        <v>578</v>
      </c>
      <c r="G1072" s="12" t="n">
        <v>3043.09</v>
      </c>
      <c r="H1072" s="10" t="n">
        <v>5</v>
      </c>
      <c r="I1072" s="10">
        <f>IF(OR(D1072="Uncategorised",E1072=""),"Check","")</f>
        <v/>
      </c>
    </row>
    <row r="1073">
      <c r="A1073" s="10" t="inlineStr">
        <is>
          <t>Amex Dec-2025</t>
        </is>
      </c>
      <c r="B1073" s="11" t="n">
        <v>46010</v>
      </c>
      <c r="C1073" s="10" t="inlineStr">
        <is>
          <t>U BER TRIP HELP.U BER.COM</t>
        </is>
      </c>
      <c r="D1073" s="10">
        <f>IFERROR(INDEX('Review Items'!$D:$D,MATCH(C1073,'Review Items'!$B:$B,0)),IFERROR(INDEX('Rule Updates'!$B:$B,MATCH(C1073,'Rule Updates'!$A:$A,0)),"Uncategorised"))</f>
        <v/>
      </c>
      <c r="E1073" s="10">
        <f>IFERROR(INDEX('Review Items'!$E:$E,MATCH(C1073,'Review Items'!$B:$B,0)),IFERROR(INDEX('Rule Updates'!$C:$C,MATCH(C1073,'Rule Updates'!$A:$A,0)),"Review"))</f>
        <v/>
      </c>
      <c r="F1073" s="12" t="n">
        <v>50.03</v>
      </c>
      <c r="G1073" s="12" t="n">
        <v>263.11</v>
      </c>
      <c r="H1073" s="10" t="n">
        <v>5</v>
      </c>
      <c r="I1073" s="10">
        <f>IF(OR(D1073="Uncategorised",E1073=""),"Check","")</f>
        <v/>
      </c>
    </row>
    <row r="1074">
      <c r="A1074" s="10" t="inlineStr">
        <is>
          <t>Amex Dec-2025</t>
        </is>
      </c>
      <c r="B1074" s="11" t="n">
        <v>46010</v>
      </c>
      <c r="C1074" s="10" t="inlineStr">
        <is>
          <t>U BER TRIP HELP.U BER.COM</t>
        </is>
      </c>
      <c r="D1074" s="10">
        <f>IFERROR(INDEX('Review Items'!$D:$D,MATCH(C1074,'Review Items'!$B:$B,0)),IFERROR(INDEX('Rule Updates'!$B:$B,MATCH(C1074,'Rule Updates'!$A:$A,0)),"Uncategorised"))</f>
        <v/>
      </c>
      <c r="E1074" s="10">
        <f>IFERROR(INDEX('Review Items'!$E:$E,MATCH(C1074,'Review Items'!$B:$B,0)),IFERROR(INDEX('Rule Updates'!$C:$C,MATCH(C1074,'Rule Updates'!$A:$A,0)),"Review"))</f>
        <v/>
      </c>
      <c r="F1074" s="12" t="n">
        <v>38.45</v>
      </c>
      <c r="G1074" s="12" t="n">
        <v>202.39</v>
      </c>
      <c r="H1074" s="10" t="n">
        <v>5</v>
      </c>
      <c r="I1074" s="10">
        <f>IF(OR(D1074="Uncategorised",E1074=""),"Check","")</f>
        <v/>
      </c>
    </row>
    <row r="1075">
      <c r="A1075" s="10" t="inlineStr">
        <is>
          <t>Amex Dec-2025</t>
        </is>
      </c>
      <c r="B1075" s="11" t="n">
        <v>46010</v>
      </c>
      <c r="C1075" s="10" t="inlineStr">
        <is>
          <t>U BER TRIP HELP.U BER.COM</t>
        </is>
      </c>
      <c r="D1075" s="10">
        <f>IFERROR(INDEX('Review Items'!$D:$D,MATCH(C1075,'Review Items'!$B:$B,0)),IFERROR(INDEX('Rule Updates'!$B:$B,MATCH(C1075,'Rule Updates'!$A:$A,0)),"Uncategorised"))</f>
        <v/>
      </c>
      <c r="E1075" s="10">
        <f>IFERROR(INDEX('Review Items'!$E:$E,MATCH(C1075,'Review Items'!$B:$B,0)),IFERROR(INDEX('Rule Updates'!$C:$C,MATCH(C1075,'Rule Updates'!$A:$A,0)),"Review"))</f>
        <v/>
      </c>
      <c r="F1075" s="12" t="n">
        <v>26.56</v>
      </c>
      <c r="G1075" s="12" t="n">
        <v>139.85</v>
      </c>
      <c r="H1075" s="10" t="n">
        <v>5</v>
      </c>
      <c r="I1075" s="10">
        <f>IF(OR(D1075="Uncategorised",E1075=""),"Check","")</f>
        <v/>
      </c>
    </row>
    <row r="1076">
      <c r="A1076" s="10" t="inlineStr">
        <is>
          <t>Amex Dec-2025</t>
        </is>
      </c>
      <c r="B1076" s="11" t="n">
        <v>46010</v>
      </c>
      <c r="C1076" s="10" t="inlineStr">
        <is>
          <t>WATER MANS TAVERN PTY LT BARANGAROO</t>
        </is>
      </c>
      <c r="D1076" s="10">
        <f>IFERROR(INDEX('Review Items'!$D:$D,MATCH(C1076,'Review Items'!$B:$B,0)),IFERROR(INDEX('Rule Updates'!$B:$B,MATCH(C1076,'Rule Updates'!$A:$A,0)),"Uncategorised"))</f>
        <v/>
      </c>
      <c r="E1076" s="10">
        <f>IFERROR(INDEX('Review Items'!$E:$E,MATCH(C1076,'Review Items'!$B:$B,0)),IFERROR(INDEX('Rule Updates'!$C:$C,MATCH(C1076,'Rule Updates'!$A:$A,0)),"Review"))</f>
        <v/>
      </c>
      <c r="F1076" s="12" t="n">
        <v>710.09</v>
      </c>
      <c r="G1076" s="12" t="n">
        <v>3735.1</v>
      </c>
      <c r="H1076" s="10" t="n">
        <v>5</v>
      </c>
      <c r="I1076" s="10">
        <f>IF(OR(D1076="Uncategorised",E1076=""),"Check","")</f>
        <v/>
      </c>
    </row>
    <row r="1077">
      <c r="A1077" s="10" t="inlineStr">
        <is>
          <t>Amex Dec-2025</t>
        </is>
      </c>
      <c r="B1077" s="11" t="n">
        <v>46011</v>
      </c>
      <c r="C1077" s="10" t="inlineStr">
        <is>
          <t>AESOP PADDINGTON MEL BOURNE</t>
        </is>
      </c>
      <c r="D1077" s="10">
        <f>IFERROR(INDEX('Review Items'!$D:$D,MATCH(C1077,'Review Items'!$B:$B,0)),IFERROR(INDEX('Rule Updates'!$B:$B,MATCH(C1077,'Rule Updates'!$A:$A,0)),"Uncategorised"))</f>
        <v/>
      </c>
      <c r="E1077" s="10">
        <f>IFERROR(INDEX('Review Items'!$E:$E,MATCH(C1077,'Review Items'!$B:$B,0)),IFERROR(INDEX('Rule Updates'!$C:$C,MATCH(C1077,'Rule Updates'!$A:$A,0)),"Review"))</f>
        <v/>
      </c>
      <c r="F1077" s="12" t="n">
        <v>245</v>
      </c>
      <c r="G1077" s="12" t="n">
        <v>1288.68</v>
      </c>
      <c r="H1077" s="10" t="n">
        <v>5</v>
      </c>
      <c r="I1077" s="10">
        <f>IF(OR(D1077="Uncategorised",E1077=""),"Check","")</f>
        <v/>
      </c>
    </row>
    <row r="1078">
      <c r="A1078" s="10" t="inlineStr">
        <is>
          <t>Amex Dec-2025</t>
        </is>
      </c>
      <c r="B1078" s="11" t="n">
        <v>46011</v>
      </c>
      <c r="C1078" s="10" t="inlineStr">
        <is>
          <t>FINELINE GLO BAL BRANDS WOOLLAHRA</t>
        </is>
      </c>
      <c r="D1078" s="10">
        <f>IFERROR(INDEX('Review Items'!$D:$D,MATCH(C1078,'Review Items'!$B:$B,0)),IFERROR(INDEX('Rule Updates'!$B:$B,MATCH(C1078,'Rule Updates'!$A:$A,0)),"Uncategorised"))</f>
        <v/>
      </c>
      <c r="E1078" s="10">
        <f>IFERROR(INDEX('Review Items'!$E:$E,MATCH(C1078,'Review Items'!$B:$B,0)),IFERROR(INDEX('Rule Updates'!$C:$C,MATCH(C1078,'Rule Updates'!$A:$A,0)),"Review"))</f>
        <v/>
      </c>
      <c r="F1078" s="12" t="n">
        <v>182</v>
      </c>
      <c r="G1078" s="12" t="n">
        <v>957.3099999999999</v>
      </c>
      <c r="H1078" s="10" t="n">
        <v>5</v>
      </c>
      <c r="I1078" s="10">
        <f>IF(OR(D1078="Uncategorised",E1078=""),"Check","")</f>
        <v/>
      </c>
    </row>
    <row r="1079">
      <c r="A1079" s="10" t="inlineStr">
        <is>
          <t>Amex Dec-2025</t>
        </is>
      </c>
      <c r="B1079" s="11" t="n">
        <v>46011</v>
      </c>
      <c r="C1079" s="10" t="inlineStr">
        <is>
          <t>ROOM 10 POTTS POINT</t>
        </is>
      </c>
      <c r="D1079" s="10">
        <f>IFERROR(INDEX('Review Items'!$D:$D,MATCH(C1079,'Review Items'!$B:$B,0)),IFERROR(INDEX('Rule Updates'!$B:$B,MATCH(C1079,'Rule Updates'!$A:$A,0)),"Uncategorised"))</f>
        <v/>
      </c>
      <c r="E1079" s="10">
        <f>IFERROR(INDEX('Review Items'!$E:$E,MATCH(C1079,'Review Items'!$B:$B,0)),IFERROR(INDEX('Rule Updates'!$C:$C,MATCH(C1079,'Rule Updates'!$A:$A,0)),"Review"))</f>
        <v/>
      </c>
      <c r="F1079" s="12" t="n">
        <v>105.24</v>
      </c>
      <c r="G1079" s="12" t="n">
        <v>553.54</v>
      </c>
      <c r="H1079" s="10" t="n">
        <v>5</v>
      </c>
      <c r="I1079" s="10">
        <f>IF(OR(D1079="Uncategorised",E1079=""),"Check","")</f>
        <v/>
      </c>
    </row>
    <row r="1080">
      <c r="A1080" s="10" t="inlineStr">
        <is>
          <t>Amex Dec-2025</t>
        </is>
      </c>
      <c r="B1080" s="11" t="n">
        <v>46011</v>
      </c>
      <c r="C1080" s="10" t="inlineStr">
        <is>
          <t>SENSO WOOCO MM ERCES u rr y H ills</t>
        </is>
      </c>
      <c r="D1080" s="10">
        <f>IFERROR(INDEX('Review Items'!$D:$D,MATCH(C1080,'Review Items'!$B:$B,0)),IFERROR(INDEX('Rule Updates'!$B:$B,MATCH(C1080,'Rule Updates'!$A:$A,0)),"Uncategorised"))</f>
        <v/>
      </c>
      <c r="E1080" s="10">
        <f>IFERROR(INDEX('Review Items'!$E:$E,MATCH(C1080,'Review Items'!$B:$B,0)),IFERROR(INDEX('Rule Updates'!$C:$C,MATCH(C1080,'Rule Updates'!$A:$A,0)),"Review"))</f>
        <v/>
      </c>
      <c r="F1080" s="12" t="n">
        <v>229</v>
      </c>
      <c r="G1080" s="12" t="n">
        <v>1204.55</v>
      </c>
      <c r="H1080" s="10" t="n">
        <v>5</v>
      </c>
      <c r="I1080" s="10">
        <f>IF(OR(D1080="Uncategorised",E1080=""),"Check","")</f>
        <v/>
      </c>
    </row>
    <row r="1081">
      <c r="A1081" s="10" t="inlineStr">
        <is>
          <t>Amex Dec-2025</t>
        </is>
      </c>
      <c r="B1081" s="11" t="n">
        <v>46011</v>
      </c>
      <c r="C1081" s="10" t="inlineStr">
        <is>
          <t>SI MON JOHNSON WOOL WOOLLAHRA</t>
        </is>
      </c>
      <c r="D1081" s="10">
        <f>IFERROR(INDEX('Review Items'!$D:$D,MATCH(C1081,'Review Items'!$B:$B,0)),IFERROR(INDEX('Rule Updates'!$B:$B,MATCH(C1081,'Rule Updates'!$A:$A,0)),"Uncategorised"))</f>
        <v/>
      </c>
      <c r="E1081" s="10">
        <f>IFERROR(INDEX('Review Items'!$E:$E,MATCH(C1081,'Review Items'!$B:$B,0)),IFERROR(INDEX('Rule Updates'!$C:$C,MATCH(C1081,'Rule Updates'!$A:$A,0)),"Review"))</f>
        <v/>
      </c>
      <c r="F1081" s="12" t="n">
        <v>63.2</v>
      </c>
      <c r="G1081" s="12" t="n">
        <v>332.4</v>
      </c>
      <c r="H1081" s="10" t="n">
        <v>5</v>
      </c>
      <c r="I1081" s="10">
        <f>IF(OR(D1081="Uncategorised",E1081=""),"Check","")</f>
        <v/>
      </c>
    </row>
    <row r="1082">
      <c r="A1082" s="10" t="inlineStr">
        <is>
          <t>Amex Dec-2025</t>
        </is>
      </c>
      <c r="B1082" s="11" t="n">
        <v>46011</v>
      </c>
      <c r="C1082" s="10" t="inlineStr">
        <is>
          <t>SILB I JIP SILB I JIP \ CSYDNEY</t>
        </is>
      </c>
      <c r="D1082" s="10">
        <f>IFERROR(INDEX('Review Items'!$D:$D,MATCH(C1082,'Review Items'!$B:$B,0)),IFERROR(INDEX('Rule Updates'!$B:$B,MATCH(C1082,'Rule Updates'!$A:$A,0)),"Uncategorised"))</f>
        <v/>
      </c>
      <c r="E1082" s="10">
        <f>IFERROR(INDEX('Review Items'!$E:$E,MATCH(C1082,'Review Items'!$B:$B,0)),IFERROR(INDEX('Rule Updates'!$C:$C,MATCH(C1082,'Rule Updates'!$A:$A,0)),"Review"))</f>
        <v/>
      </c>
      <c r="F1082" s="12" t="n">
        <v>58.87</v>
      </c>
      <c r="G1082" s="12" t="n">
        <v>309.63</v>
      </c>
      <c r="H1082" s="10" t="n">
        <v>5</v>
      </c>
      <c r="I1082" s="10">
        <f>IF(OR(D1082="Uncategorised",E1082=""),"Check","")</f>
        <v/>
      </c>
    </row>
    <row r="1083">
      <c r="A1083" s="10" t="inlineStr">
        <is>
          <t>Amex Dec-2025</t>
        </is>
      </c>
      <c r="B1083" s="11" t="n">
        <v>46011</v>
      </c>
      <c r="C1083" s="10" t="inlineStr">
        <is>
          <t>SP VENROY PADDINGTON</t>
        </is>
      </c>
      <c r="D1083" s="10">
        <f>IFERROR(INDEX('Review Items'!$D:$D,MATCH(C1083,'Review Items'!$B:$B,0)),IFERROR(INDEX('Rule Updates'!$B:$B,MATCH(C1083,'Rule Updates'!$A:$A,0)),"Uncategorised"))</f>
        <v/>
      </c>
      <c r="E1083" s="10">
        <f>IFERROR(INDEX('Review Items'!$E:$E,MATCH(C1083,'Review Items'!$B:$B,0)),IFERROR(INDEX('Rule Updates'!$C:$C,MATCH(C1083,'Rule Updates'!$A:$A,0)),"Review"))</f>
        <v/>
      </c>
      <c r="F1083" s="12" t="n">
        <v>160</v>
      </c>
      <c r="G1083" s="12" t="n">
        <v>841.58</v>
      </c>
      <c r="H1083" s="10" t="n">
        <v>5</v>
      </c>
      <c r="I1083" s="10">
        <f>IF(OR(D1083="Uncategorised",E1083=""),"Check","")</f>
        <v/>
      </c>
    </row>
    <row r="1084">
      <c r="A1084" s="10" t="inlineStr">
        <is>
          <t>Amex Dec-2025</t>
        </is>
      </c>
      <c r="B1084" s="11" t="n">
        <v>46011</v>
      </c>
      <c r="C1084" s="10" t="inlineStr">
        <is>
          <t>VICTOR CHURCHILL WOOLLAHRA</t>
        </is>
      </c>
      <c r="D1084" s="10">
        <f>IFERROR(INDEX('Review Items'!$D:$D,MATCH(C1084,'Review Items'!$B:$B,0)),IFERROR(INDEX('Rule Updates'!$B:$B,MATCH(C1084,'Rule Updates'!$A:$A,0)),"Uncategorised"))</f>
        <v/>
      </c>
      <c r="E1084" s="10">
        <f>IFERROR(INDEX('Review Items'!$E:$E,MATCH(C1084,'Review Items'!$B:$B,0)),IFERROR(INDEX('Rule Updates'!$C:$C,MATCH(C1084,'Rule Updates'!$A:$A,0)),"Review"))</f>
        <v/>
      </c>
      <c r="F1084" s="12" t="n">
        <v>329.88</v>
      </c>
      <c r="G1084" s="12" t="n">
        <v>1735.16</v>
      </c>
      <c r="H1084" s="10" t="n">
        <v>5</v>
      </c>
      <c r="I1084" s="10">
        <f>IF(OR(D1084="Uncategorised",E1084=""),"Check","")</f>
        <v/>
      </c>
    </row>
    <row r="1085">
      <c r="A1085" s="10" t="inlineStr">
        <is>
          <t>Amex Dec-2025</t>
        </is>
      </c>
      <c r="B1085" s="11" t="n">
        <v>46011</v>
      </c>
      <c r="C1085" s="10" t="inlineStr">
        <is>
          <t>WHOLE FOODS HOUSE WOOLLAHRA</t>
        </is>
      </c>
      <c r="D1085" s="10">
        <f>IFERROR(INDEX('Review Items'!$D:$D,MATCH(C1085,'Review Items'!$B:$B,0)),IFERROR(INDEX('Rule Updates'!$B:$B,MATCH(C1085,'Rule Updates'!$A:$A,0)),"Uncategorised"))</f>
        <v/>
      </c>
      <c r="E1085" s="10">
        <f>IFERROR(INDEX('Review Items'!$E:$E,MATCH(C1085,'Review Items'!$B:$B,0)),IFERROR(INDEX('Rule Updates'!$C:$C,MATCH(C1085,'Rule Updates'!$A:$A,0)),"Review"))</f>
        <v/>
      </c>
      <c r="F1085" s="12" t="n">
        <v>16.88</v>
      </c>
      <c r="G1085" s="12" t="n">
        <v>88.81999999999999</v>
      </c>
      <c r="H1085" s="10" t="n">
        <v>5</v>
      </c>
      <c r="I1085" s="10">
        <f>IF(OR(D1085="Uncategorised",E1085=""),"Check","")</f>
        <v/>
      </c>
    </row>
    <row r="1086">
      <c r="A1086" s="10" t="inlineStr">
        <is>
          <t>Amex Dec-2025</t>
        </is>
      </c>
      <c r="B1086" s="11" t="n">
        <v>46012</v>
      </c>
      <c r="C1086" s="10" t="inlineStr">
        <is>
          <t>DY MOCKS PTY LTD SYDNEY SYDNEY</t>
        </is>
      </c>
      <c r="D1086" s="10">
        <f>IFERROR(INDEX('Review Items'!$D:$D,MATCH(C1086,'Review Items'!$B:$B,0)),IFERROR(INDEX('Rule Updates'!$B:$B,MATCH(C1086,'Rule Updates'!$A:$A,0)),"Uncategorised"))</f>
        <v/>
      </c>
      <c r="E1086" s="10">
        <f>IFERROR(INDEX('Review Items'!$E:$E,MATCH(C1086,'Review Items'!$B:$B,0)),IFERROR(INDEX('Rule Updates'!$C:$C,MATCH(C1086,'Rule Updates'!$A:$A,0)),"Review"))</f>
        <v/>
      </c>
      <c r="F1086" s="12" t="n">
        <v>89.97</v>
      </c>
      <c r="G1086" s="12" t="n">
        <v>473.21</v>
      </c>
      <c r="H1086" s="10" t="n">
        <v>5</v>
      </c>
      <c r="I1086" s="10">
        <f>IF(OR(D1086="Uncategorised",E1086=""),"Check","")</f>
        <v/>
      </c>
    </row>
    <row r="1087">
      <c r="A1087" s="10" t="inlineStr">
        <is>
          <t>Amex Dec-2025</t>
        </is>
      </c>
      <c r="B1087" s="11" t="n">
        <v>46012</v>
      </c>
      <c r="C1087" s="10" t="inlineStr">
        <is>
          <t>DY MOCKS PTY LTD SYDNEY SYDNEY</t>
        </is>
      </c>
      <c r="D1087" s="10">
        <f>IFERROR(INDEX('Review Items'!$D:$D,MATCH(C1087,'Review Items'!$B:$B,0)),IFERROR(INDEX('Rule Updates'!$B:$B,MATCH(C1087,'Rule Updates'!$A:$A,0)),"Uncategorised"))</f>
        <v/>
      </c>
      <c r="E1087" s="10">
        <f>IFERROR(INDEX('Review Items'!$E:$E,MATCH(C1087,'Review Items'!$B:$B,0)),IFERROR(INDEX('Rule Updates'!$C:$C,MATCH(C1087,'Rule Updates'!$A:$A,0)),"Review"))</f>
        <v/>
      </c>
      <c r="F1087" s="12" t="n">
        <v>89.97</v>
      </c>
      <c r="G1087" s="12" t="n">
        <v>-463.94</v>
      </c>
      <c r="H1087" s="10" t="n">
        <v>6</v>
      </c>
      <c r="I1087" s="10">
        <f>IF(OR(D1087="Uncategorised",E1087=""),"Check","")</f>
        <v/>
      </c>
    </row>
    <row r="1088">
      <c r="A1088" s="10" t="inlineStr">
        <is>
          <t>Amex Dec-2025</t>
        </is>
      </c>
      <c r="B1088" s="11" t="n">
        <v>46012</v>
      </c>
      <c r="C1088" s="10" t="inlineStr">
        <is>
          <t>GAR MIN ( EUROPE ) LI MITED SOUTHA MPTON</t>
        </is>
      </c>
      <c r="D1088" s="10">
        <f>IFERROR(INDEX('Review Items'!$D:$D,MATCH(C1088,'Review Items'!$B:$B,0)),IFERROR(INDEX('Rule Updates'!$B:$B,MATCH(C1088,'Rule Updates'!$A:$A,0)),"Uncategorised"))</f>
        <v/>
      </c>
      <c r="E1088" s="10">
        <f>IFERROR(INDEX('Review Items'!$E:$E,MATCH(C1088,'Review Items'!$B:$B,0)),IFERROR(INDEX('Rule Updates'!$C:$C,MATCH(C1088,'Rule Updates'!$A:$A,0)),"Review"))</f>
        <v/>
      </c>
      <c r="F1088" s="10" t="n"/>
      <c r="G1088" s="12" t="n">
        <v>89</v>
      </c>
      <c r="H1088" s="10" t="n">
        <v>5</v>
      </c>
      <c r="I1088" s="10">
        <f>IF(OR(D1088="Uncategorised",E1088=""),"Check","")</f>
        <v/>
      </c>
    </row>
    <row r="1089">
      <c r="A1089" s="10" t="inlineStr">
        <is>
          <t>Amex Dec-2025</t>
        </is>
      </c>
      <c r="B1089" s="11" t="n">
        <v>46012</v>
      </c>
      <c r="C1089" s="10" t="inlineStr">
        <is>
          <t>PINA EATERY POTT POINT</t>
        </is>
      </c>
      <c r="D1089" s="10">
        <f>IFERROR(INDEX('Review Items'!$D:$D,MATCH(C1089,'Review Items'!$B:$B,0)),IFERROR(INDEX('Rule Updates'!$B:$B,MATCH(C1089,'Rule Updates'!$A:$A,0)),"Uncategorised"))</f>
        <v/>
      </c>
      <c r="E1089" s="10">
        <f>IFERROR(INDEX('Review Items'!$E:$E,MATCH(C1089,'Review Items'!$B:$B,0)),IFERROR(INDEX('Rule Updates'!$C:$C,MATCH(C1089,'Rule Updates'!$A:$A,0)),"Review"))</f>
        <v/>
      </c>
      <c r="F1089" s="12" t="n">
        <v>6.12</v>
      </c>
      <c r="G1089" s="12" t="n">
        <v>32.22</v>
      </c>
      <c r="H1089" s="10" t="n">
        <v>5</v>
      </c>
      <c r="I1089" s="10">
        <f>IF(OR(D1089="Uncategorised",E1089=""),"Check","")</f>
        <v/>
      </c>
    </row>
    <row r="1090">
      <c r="A1090" s="10" t="inlineStr">
        <is>
          <t>Amex Dec-2025</t>
        </is>
      </c>
      <c r="B1090" s="11" t="n">
        <v>46012</v>
      </c>
      <c r="C1090" s="10" t="inlineStr">
        <is>
          <t>SP IKKARI SURRY HILLS</t>
        </is>
      </c>
      <c r="D1090" s="10">
        <f>IFERROR(INDEX('Review Items'!$D:$D,MATCH(C1090,'Review Items'!$B:$B,0)),IFERROR(INDEX('Rule Updates'!$B:$B,MATCH(C1090,'Rule Updates'!$A:$A,0)),"Uncategorised"))</f>
        <v/>
      </c>
      <c r="E1090" s="10">
        <f>IFERROR(INDEX('Review Items'!$E:$E,MATCH(C1090,'Review Items'!$B:$B,0)),IFERROR(INDEX('Rule Updates'!$C:$C,MATCH(C1090,'Rule Updates'!$A:$A,0)),"Review"))</f>
        <v/>
      </c>
      <c r="F1090" s="12" t="n">
        <v>187</v>
      </c>
      <c r="G1090" s="12" t="n">
        <v>983.58</v>
      </c>
      <c r="H1090" s="10" t="n">
        <v>6</v>
      </c>
      <c r="I1090" s="10">
        <f>IF(OR(D1090="Uncategorised",E1090=""),"Check","")</f>
        <v/>
      </c>
    </row>
    <row r="1091">
      <c r="A1091" s="10" t="inlineStr">
        <is>
          <t>Amex Dec-2025</t>
        </is>
      </c>
      <c r="B1091" s="11" t="n">
        <v>46013</v>
      </c>
      <c r="C1091" s="10" t="inlineStr">
        <is>
          <t>A MONGE QUALS BRONTE</t>
        </is>
      </c>
      <c r="D1091" s="10">
        <f>IFERROR(INDEX('Review Items'!$D:$D,MATCH(C1091,'Review Items'!$B:$B,0)),IFERROR(INDEX('Rule Updates'!$B:$B,MATCH(C1091,'Rule Updates'!$A:$A,0)),"Uncategorised"))</f>
        <v/>
      </c>
      <c r="E1091" s="10">
        <f>IFERROR(INDEX('Review Items'!$E:$E,MATCH(C1091,'Review Items'!$B:$B,0)),IFERROR(INDEX('Rule Updates'!$C:$C,MATCH(C1091,'Rule Updates'!$A:$A,0)),"Review"))</f>
        <v/>
      </c>
      <c r="F1091" s="12" t="n">
        <v>1420</v>
      </c>
      <c r="G1091" s="12" t="n">
        <v>7469.17</v>
      </c>
      <c r="H1091" s="10" t="n">
        <v>6</v>
      </c>
      <c r="I1091" s="10">
        <f>IF(OR(D1091="Uncategorised",E1091=""),"Check","")</f>
        <v/>
      </c>
    </row>
    <row r="1092">
      <c r="A1092" s="10" t="inlineStr">
        <is>
          <t>Amex Dec-2025</t>
        </is>
      </c>
      <c r="B1092" s="11" t="n">
        <v>46013</v>
      </c>
      <c r="C1092" s="10" t="inlineStr">
        <is>
          <t>AP QUAY Sy d n ey</t>
        </is>
      </c>
      <c r="D1092" s="10">
        <f>IFERROR(INDEX('Review Items'!$D:$D,MATCH(C1092,'Review Items'!$B:$B,0)),IFERROR(INDEX('Rule Updates'!$B:$B,MATCH(C1092,'Rule Updates'!$A:$A,0)),"Uncategorised"))</f>
        <v/>
      </c>
      <c r="E1092" s="10">
        <f>IFERROR(INDEX('Review Items'!$E:$E,MATCH(C1092,'Review Items'!$B:$B,0)),IFERROR(INDEX('Rule Updates'!$C:$C,MATCH(C1092,'Rule Updates'!$A:$A,0)),"Review"))</f>
        <v/>
      </c>
      <c r="F1092" s="12" t="n">
        <v>21.72</v>
      </c>
      <c r="G1092" s="12" t="n">
        <v>114.21</v>
      </c>
      <c r="H1092" s="10" t="n">
        <v>6</v>
      </c>
      <c r="I1092" s="10">
        <f>IF(OR(D1092="Uncategorised",E1092=""),"Check","")</f>
        <v/>
      </c>
    </row>
    <row r="1093">
      <c r="A1093" s="10" t="inlineStr">
        <is>
          <t>Amex Dec-2025</t>
        </is>
      </c>
      <c r="B1093" s="11" t="n">
        <v>46013</v>
      </c>
      <c r="C1093" s="10" t="inlineStr">
        <is>
          <t>FLOUR AND STONE ANNEX E W oo ll oomoo l oo</t>
        </is>
      </c>
      <c r="D1093" s="10">
        <f>IFERROR(INDEX('Review Items'!$D:$D,MATCH(C1093,'Review Items'!$B:$B,0)),IFERROR(INDEX('Rule Updates'!$B:$B,MATCH(C1093,'Rule Updates'!$A:$A,0)),"Uncategorised"))</f>
        <v/>
      </c>
      <c r="E1093" s="10">
        <f>IFERROR(INDEX('Review Items'!$E:$E,MATCH(C1093,'Review Items'!$B:$B,0)),IFERROR(INDEX('Rule Updates'!$C:$C,MATCH(C1093,'Rule Updates'!$A:$A,0)),"Review"))</f>
        <v/>
      </c>
      <c r="F1093" s="12" t="n">
        <v>292.68</v>
      </c>
      <c r="G1093" s="12" t="n">
        <v>1539.5</v>
      </c>
      <c r="H1093" s="10" t="n">
        <v>6</v>
      </c>
      <c r="I1093" s="10">
        <f>IF(OR(D1093="Uncategorised",E1093=""),"Check","")</f>
        <v/>
      </c>
    </row>
    <row r="1094">
      <c r="A1094" s="10" t="inlineStr">
        <is>
          <t>Amex Dec-2025</t>
        </is>
      </c>
      <c r="B1094" s="11" t="n">
        <v>46013</v>
      </c>
      <c r="C1094" s="10" t="inlineStr">
        <is>
          <t>FLOUR AND STONE PANTRYW oo ll oomoo l oo</t>
        </is>
      </c>
      <c r="D1094" s="10">
        <f>IFERROR(INDEX('Review Items'!$D:$D,MATCH(C1094,'Review Items'!$B:$B,0)),IFERROR(INDEX('Rule Updates'!$B:$B,MATCH(C1094,'Rule Updates'!$A:$A,0)),"Uncategorised"))</f>
        <v/>
      </c>
      <c r="E1094" s="10">
        <f>IFERROR(INDEX('Review Items'!$E:$E,MATCH(C1094,'Review Items'!$B:$B,0)),IFERROR(INDEX('Rule Updates'!$C:$C,MATCH(C1094,'Rule Updates'!$A:$A,0)),"Review"))</f>
        <v/>
      </c>
      <c r="F1094" s="12" t="n">
        <v>28.86</v>
      </c>
      <c r="G1094" s="12" t="n">
        <v>151.83</v>
      </c>
      <c r="H1094" s="10" t="n">
        <v>6</v>
      </c>
      <c r="I1094" s="10">
        <f>IF(OR(D1094="Uncategorised",E1094=""),"Check","")</f>
        <v/>
      </c>
    </row>
    <row r="1095">
      <c r="A1095" s="10" t="inlineStr">
        <is>
          <t>Amex Dec-2025</t>
        </is>
      </c>
      <c r="B1095" s="11" t="n">
        <v>46013</v>
      </c>
      <c r="C1095" s="10" t="inlineStr">
        <is>
          <t>LS SAINT PETER PADDINGTON</t>
        </is>
      </c>
      <c r="D1095" s="10">
        <f>IFERROR(INDEX('Review Items'!$D:$D,MATCH(C1095,'Review Items'!$B:$B,0)),IFERROR(INDEX('Rule Updates'!$B:$B,MATCH(C1095,'Rule Updates'!$A:$A,0)),"Uncategorised"))</f>
        <v/>
      </c>
      <c r="E1095" s="10">
        <f>IFERROR(INDEX('Review Items'!$E:$E,MATCH(C1095,'Review Items'!$B:$B,0)),IFERROR(INDEX('Rule Updates'!$C:$C,MATCH(C1095,'Rule Updates'!$A:$A,0)),"Review"))</f>
        <v/>
      </c>
      <c r="F1095" s="12" t="n">
        <v>5951.92</v>
      </c>
      <c r="G1095" s="12" t="n">
        <v>31307.14</v>
      </c>
      <c r="H1095" s="10" t="n">
        <v>6</v>
      </c>
      <c r="I1095" s="10">
        <f>IF(OR(D1095="Uncategorised",E1095=""),"Check","")</f>
        <v/>
      </c>
    </row>
    <row r="1096">
      <c r="A1096" s="10" t="inlineStr">
        <is>
          <t>Amex Dec-2025</t>
        </is>
      </c>
      <c r="B1096" s="11" t="n">
        <v>46013</v>
      </c>
      <c r="C1096" s="10" t="inlineStr">
        <is>
          <t>SKITTLE LANEC ir c u l a r Qu ay</t>
        </is>
      </c>
      <c r="D1096" s="10">
        <f>IFERROR(INDEX('Review Items'!$D:$D,MATCH(C1096,'Review Items'!$B:$B,0)),IFERROR(INDEX('Rule Updates'!$B:$B,MATCH(C1096,'Rule Updates'!$A:$A,0)),"Uncategorised"))</f>
        <v/>
      </c>
      <c r="E1096" s="10">
        <f>IFERROR(INDEX('Review Items'!$E:$E,MATCH(C1096,'Review Items'!$B:$B,0)),IFERROR(INDEX('Rule Updates'!$C:$C,MATCH(C1096,'Rule Updates'!$A:$A,0)),"Review"))</f>
        <v/>
      </c>
      <c r="F1096" s="12" t="n">
        <v>177.96</v>
      </c>
      <c r="G1096" s="12" t="n">
        <v>936.03</v>
      </c>
      <c r="H1096" s="10" t="n">
        <v>6</v>
      </c>
      <c r="I1096" s="10">
        <f>IF(OR(D1096="Uncategorised",E1096=""),"Check","")</f>
        <v/>
      </c>
    </row>
    <row r="1097">
      <c r="A1097" s="10" t="inlineStr">
        <is>
          <t>Amex Dec-2025</t>
        </is>
      </c>
      <c r="B1097" s="11" t="n">
        <v>46013</v>
      </c>
      <c r="C1097" s="10" t="inlineStr">
        <is>
          <t>SKITTLE LANEC ir c u l a r Qu ay</t>
        </is>
      </c>
      <c r="D1097" s="10">
        <f>IFERROR(INDEX('Review Items'!$D:$D,MATCH(C1097,'Review Items'!$B:$B,0)),IFERROR(INDEX('Rule Updates'!$B:$B,MATCH(C1097,'Rule Updates'!$A:$A,0)),"Uncategorised"))</f>
        <v/>
      </c>
      <c r="E1097" s="10">
        <f>IFERROR(INDEX('Review Items'!$E:$E,MATCH(C1097,'Review Items'!$B:$B,0)),IFERROR(INDEX('Rule Updates'!$C:$C,MATCH(C1097,'Rule Updates'!$A:$A,0)),"Review"))</f>
        <v/>
      </c>
      <c r="F1097" s="12" t="n">
        <v>32.45</v>
      </c>
      <c r="G1097" s="12" t="n">
        <v>170.64</v>
      </c>
      <c r="H1097" s="10" t="n">
        <v>6</v>
      </c>
      <c r="I1097" s="10">
        <f>IF(OR(D1097="Uncategorised",E1097=""),"Check","")</f>
        <v/>
      </c>
    </row>
    <row r="1098">
      <c r="A1098" s="10" t="inlineStr">
        <is>
          <t>Amex Dec-2025</t>
        </is>
      </c>
      <c r="B1098" s="11" t="n">
        <v>46013</v>
      </c>
      <c r="C1098" s="10" t="inlineStr">
        <is>
          <t>SP SIRTHELA BEL.CO MTA MARAM A</t>
        </is>
      </c>
      <c r="D1098" s="10">
        <f>IFERROR(INDEX('Review Items'!$D:$D,MATCH(C1098,'Review Items'!$B:$B,0)),IFERROR(INDEX('Rule Updates'!$B:$B,MATCH(C1098,'Rule Updates'!$A:$A,0)),"Uncategorised"))</f>
        <v/>
      </c>
      <c r="E1098" s="10">
        <f>IFERROR(INDEX('Review Items'!$E:$E,MATCH(C1098,'Review Items'!$B:$B,0)),IFERROR(INDEX('Rule Updates'!$C:$C,MATCH(C1098,'Rule Updates'!$A:$A,0)),"Review"))</f>
        <v/>
      </c>
      <c r="F1098" s="12" t="n">
        <v>1940</v>
      </c>
      <c r="G1098" s="12" t="n">
        <v>10204.42</v>
      </c>
      <c r="H1098" s="10" t="n">
        <v>6</v>
      </c>
      <c r="I1098" s="10">
        <f>IF(OR(D1098="Uncategorised",E1098=""),"Check","")</f>
        <v/>
      </c>
    </row>
    <row r="1099">
      <c r="A1099" s="10" t="inlineStr">
        <is>
          <t>Amex Dec-2025</t>
        </is>
      </c>
      <c r="B1099" s="11" t="n">
        <v>46013</v>
      </c>
      <c r="C1099" s="10" t="inlineStr">
        <is>
          <t>STUDIO AL MPTY LTD WOOLLAHRA</t>
        </is>
      </c>
      <c r="D1099" s="10">
        <f>IFERROR(INDEX('Review Items'!$D:$D,MATCH(C1099,'Review Items'!$B:$B,0)),IFERROR(INDEX('Rule Updates'!$B:$B,MATCH(C1099,'Rule Updates'!$A:$A,0)),"Uncategorised"))</f>
        <v/>
      </c>
      <c r="E1099" s="10">
        <f>IFERROR(INDEX('Review Items'!$E:$E,MATCH(C1099,'Review Items'!$B:$B,0)),IFERROR(INDEX('Rule Updates'!$C:$C,MATCH(C1099,'Rule Updates'!$A:$A,0)),"Review"))</f>
        <v/>
      </c>
      <c r="F1099" s="12" t="n">
        <v>1900</v>
      </c>
      <c r="G1099" s="12" t="n">
        <v>9994.01</v>
      </c>
      <c r="H1099" s="10" t="n">
        <v>6</v>
      </c>
      <c r="I1099" s="10">
        <f>IF(OR(D1099="Uncategorised",E1099=""),"Check","")</f>
        <v/>
      </c>
    </row>
    <row r="1100">
      <c r="A1100" s="10" t="inlineStr">
        <is>
          <t>Amex Dec-2025</t>
        </is>
      </c>
      <c r="B1100" s="11" t="n">
        <v>46013</v>
      </c>
      <c r="C1100" s="10" t="inlineStr">
        <is>
          <t>THE NET-A-PORTER GROUP HONG KONG</t>
        </is>
      </c>
      <c r="D1100" s="10">
        <f>IFERROR(INDEX('Review Items'!$D:$D,MATCH(C1100,'Review Items'!$B:$B,0)),IFERROR(INDEX('Rule Updates'!$B:$B,MATCH(C1100,'Rule Updates'!$A:$A,0)),"Uncategorised"))</f>
        <v/>
      </c>
      <c r="E1100" s="10">
        <f>IFERROR(INDEX('Review Items'!$E:$E,MATCH(C1100,'Review Items'!$B:$B,0)),IFERROR(INDEX('Rule Updates'!$C:$C,MATCH(C1100,'Rule Updates'!$A:$A,0)),"Review"))</f>
        <v/>
      </c>
      <c r="F1100" s="10" t="n"/>
      <c r="G1100" s="12" t="n">
        <v>-13973</v>
      </c>
      <c r="H1100" s="10" t="n">
        <v>6</v>
      </c>
      <c r="I1100" s="10">
        <f>IF(OR(D1100="Uncategorised",E1100=""),"Check","")</f>
        <v/>
      </c>
    </row>
    <row r="1101">
      <c r="A1101" s="10" t="inlineStr">
        <is>
          <t>Amex Dec-2025</t>
        </is>
      </c>
      <c r="B1101" s="11" t="n">
        <v>46014</v>
      </c>
      <c r="C1101" s="10" t="inlineStr">
        <is>
          <t>FLOUR AND STONE ANNEX E W oo ll oomoo l oo</t>
        </is>
      </c>
      <c r="D1101" s="10">
        <f>IFERROR(INDEX('Review Items'!$D:$D,MATCH(C1101,'Review Items'!$B:$B,0)),IFERROR(INDEX('Rule Updates'!$B:$B,MATCH(C1101,'Rule Updates'!$A:$A,0)),"Uncategorised"))</f>
        <v/>
      </c>
      <c r="E1101" s="10">
        <f>IFERROR(INDEX('Review Items'!$E:$E,MATCH(C1101,'Review Items'!$B:$B,0)),IFERROR(INDEX('Rule Updates'!$C:$C,MATCH(C1101,'Rule Updates'!$A:$A,0)),"Review"))</f>
        <v/>
      </c>
      <c r="F1101" s="12" t="n">
        <v>12.66</v>
      </c>
      <c r="G1101" s="12" t="n">
        <v>66.59</v>
      </c>
      <c r="H1101" s="10" t="n">
        <v>6</v>
      </c>
      <c r="I1101" s="10">
        <f>IF(OR(D1101="Uncategorised",E1101=""),"Check","")</f>
        <v/>
      </c>
    </row>
    <row r="1102">
      <c r="A1102" s="10" t="inlineStr">
        <is>
          <t>Amex Dec-2025</t>
        </is>
      </c>
      <c r="B1102" s="11" t="n">
        <v>46014</v>
      </c>
      <c r="C1102" s="10" t="inlineStr">
        <is>
          <t>QUEEN STREET PHAR MACY WOOLLAHRA</t>
        </is>
      </c>
      <c r="D1102" s="10">
        <f>IFERROR(INDEX('Review Items'!$D:$D,MATCH(C1102,'Review Items'!$B:$B,0)),IFERROR(INDEX('Rule Updates'!$B:$B,MATCH(C1102,'Rule Updates'!$A:$A,0)),"Uncategorised"))</f>
        <v/>
      </c>
      <c r="E1102" s="10">
        <f>IFERROR(INDEX('Review Items'!$E:$E,MATCH(C1102,'Review Items'!$B:$B,0)),IFERROR(INDEX('Rule Updates'!$C:$C,MATCH(C1102,'Rule Updates'!$A:$A,0)),"Review"))</f>
        <v/>
      </c>
      <c r="F1102" s="12" t="n">
        <v>19.45</v>
      </c>
      <c r="G1102" s="12" t="n">
        <v>102.75</v>
      </c>
      <c r="H1102" s="10" t="n">
        <v>6</v>
      </c>
      <c r="I1102" s="10">
        <f>IF(OR(D1102="Uncategorised",E1102=""),"Check","")</f>
        <v/>
      </c>
    </row>
    <row r="1103">
      <c r="A1103" s="10" t="inlineStr">
        <is>
          <t>Amex Dec-2025</t>
        </is>
      </c>
      <c r="B1103" s="11" t="n">
        <v>46014</v>
      </c>
      <c r="C1103" s="10" t="inlineStr">
        <is>
          <t>SI MON JOHNSON WOOL WOOLLAHRA</t>
        </is>
      </c>
      <c r="D1103" s="10">
        <f>IFERROR(INDEX('Review Items'!$D:$D,MATCH(C1103,'Review Items'!$B:$B,0)),IFERROR(INDEX('Rule Updates'!$B:$B,MATCH(C1103,'Rule Updates'!$A:$A,0)),"Uncategorised"))</f>
        <v/>
      </c>
      <c r="E1103" s="10">
        <f>IFERROR(INDEX('Review Items'!$E:$E,MATCH(C1103,'Review Items'!$B:$B,0)),IFERROR(INDEX('Rule Updates'!$C:$C,MATCH(C1103,'Rule Updates'!$A:$A,0)),"Review"))</f>
        <v/>
      </c>
      <c r="F1103" s="12" t="n">
        <v>168.2</v>
      </c>
      <c r="G1103" s="12" t="n">
        <v>894.51</v>
      </c>
      <c r="H1103" s="10" t="n">
        <v>7</v>
      </c>
      <c r="I1103" s="10">
        <f>IF(OR(D1103="Uncategorised",E1103=""),"Check","")</f>
        <v/>
      </c>
    </row>
    <row r="1104">
      <c r="A1104" s="10" t="inlineStr">
        <is>
          <t>Amex Dec-2025</t>
        </is>
      </c>
      <c r="B1104" s="11" t="n">
        <v>46014</v>
      </c>
      <c r="C1104" s="10" t="inlineStr">
        <is>
          <t>VICTOR CHURCHILL WOOLLAHRA</t>
        </is>
      </c>
      <c r="D1104" s="10">
        <f>IFERROR(INDEX('Review Items'!$D:$D,MATCH(C1104,'Review Items'!$B:$B,0)),IFERROR(INDEX('Rule Updates'!$B:$B,MATCH(C1104,'Rule Updates'!$A:$A,0)),"Uncategorised"))</f>
        <v/>
      </c>
      <c r="E1104" s="10">
        <f>IFERROR(INDEX('Review Items'!$E:$E,MATCH(C1104,'Review Items'!$B:$B,0)),IFERROR(INDEX('Rule Updates'!$C:$C,MATCH(C1104,'Rule Updates'!$A:$A,0)),"Review"))</f>
        <v/>
      </c>
      <c r="F1104" s="12" t="n">
        <v>228.01</v>
      </c>
      <c r="G1104" s="12" t="n">
        <v>1204.74</v>
      </c>
      <c r="H1104" s="10" t="n">
        <v>6</v>
      </c>
      <c r="I1104" s="10">
        <f>IF(OR(D1104="Uncategorised",E1104=""),"Check","")</f>
        <v/>
      </c>
    </row>
    <row r="1105">
      <c r="A1105" s="10" t="inlineStr">
        <is>
          <t>Amex Dec-2025</t>
        </is>
      </c>
      <c r="B1105" s="11" t="n">
        <v>46014</v>
      </c>
      <c r="C1105" s="10" t="inlineStr">
        <is>
          <t>ZLR * PINA PINA POTTS POINT</t>
        </is>
      </c>
      <c r="D1105" s="10">
        <f>IFERROR(INDEX('Review Items'!$D:$D,MATCH(C1105,'Review Items'!$B:$B,0)),IFERROR(INDEX('Rule Updates'!$B:$B,MATCH(C1105,'Rule Updates'!$A:$A,0)),"Uncategorised"))</f>
        <v/>
      </c>
      <c r="E1105" s="10">
        <f>IFERROR(INDEX('Review Items'!$E:$E,MATCH(C1105,'Review Items'!$B:$B,0)),IFERROR(INDEX('Rule Updates'!$C:$C,MATCH(C1105,'Rule Updates'!$A:$A,0)),"Review"))</f>
        <v/>
      </c>
      <c r="F1105" s="12" t="n">
        <v>52.07</v>
      </c>
      <c r="G1105" s="12" t="n">
        <v>275.09</v>
      </c>
      <c r="H1105" s="10" t="n">
        <v>7</v>
      </c>
      <c r="I1105" s="10">
        <f>IF(OR(D1105="Uncategorised",E1105=""),"Check","")</f>
        <v/>
      </c>
    </row>
    <row r="1106">
      <c r="A1106" s="10" t="inlineStr">
        <is>
          <t>Amex Dec-2025</t>
        </is>
      </c>
      <c r="B1106" s="11" t="n">
        <v>46014</v>
      </c>
      <c r="C1106" s="10" t="inlineStr">
        <is>
          <t>ZLR *QUAY QUARTER PHARM ASYDNEY</t>
        </is>
      </c>
      <c r="D1106" s="10">
        <f>IFERROR(INDEX('Review Items'!$D:$D,MATCH(C1106,'Review Items'!$B:$B,0)),IFERROR(INDEX('Rule Updates'!$B:$B,MATCH(C1106,'Rule Updates'!$A:$A,0)),"Uncategorised"))</f>
        <v/>
      </c>
      <c r="E1106" s="10">
        <f>IFERROR(INDEX('Review Items'!$E:$E,MATCH(C1106,'Review Items'!$B:$B,0)),IFERROR(INDEX('Rule Updates'!$C:$C,MATCH(C1106,'Rule Updates'!$A:$A,0)),"Review"))</f>
        <v/>
      </c>
      <c r="F1106" s="12" t="n">
        <v>51</v>
      </c>
      <c r="G1106" s="12" t="n">
        <v>268.28</v>
      </c>
      <c r="H1106" s="10" t="n">
        <v>6</v>
      </c>
      <c r="I1106" s="10">
        <f>IF(OR(D1106="Uncategorised",E1106=""),"Check","")</f>
        <v/>
      </c>
    </row>
    <row r="1107">
      <c r="A1107" s="10" t="inlineStr">
        <is>
          <t>Amex Dec-2025</t>
        </is>
      </c>
      <c r="B1107" s="11" t="n">
        <v>46015</v>
      </c>
      <c r="C1107" s="10" t="inlineStr">
        <is>
          <t>11 BARRACK PTY LTD SYDNEY</t>
        </is>
      </c>
      <c r="D1107" s="10">
        <f>IFERROR(INDEX('Review Items'!$D:$D,MATCH(C1107,'Review Items'!$B:$B,0)),IFERROR(INDEX('Rule Updates'!$B:$B,MATCH(C1107,'Rule Updates'!$A:$A,0)),"Uncategorised"))</f>
        <v/>
      </c>
      <c r="E1107" s="10">
        <f>IFERROR(INDEX('Review Items'!$E:$E,MATCH(C1107,'Review Items'!$B:$B,0)),IFERROR(INDEX('Rule Updates'!$C:$C,MATCH(C1107,'Rule Updates'!$A:$A,0)),"Review"))</f>
        <v/>
      </c>
      <c r="F1107" s="12" t="n">
        <v>5573.56</v>
      </c>
      <c r="G1107" s="12" t="n">
        <v>29693.7</v>
      </c>
      <c r="H1107" s="10" t="n">
        <v>7</v>
      </c>
      <c r="I1107" s="10">
        <f>IF(OR(D1107="Uncategorised",E1107=""),"Check","")</f>
        <v/>
      </c>
    </row>
    <row r="1108">
      <c r="A1108" s="10" t="inlineStr">
        <is>
          <t>Amex Dec-2025</t>
        </is>
      </c>
      <c r="B1108" s="11" t="n">
        <v>46015</v>
      </c>
      <c r="C1108" s="10" t="inlineStr">
        <is>
          <t>AP QUAY Sy d n ey</t>
        </is>
      </c>
      <c r="D1108" s="10">
        <f>IFERROR(INDEX('Review Items'!$D:$D,MATCH(C1108,'Review Items'!$B:$B,0)),IFERROR(INDEX('Rule Updates'!$B:$B,MATCH(C1108,'Rule Updates'!$A:$A,0)),"Uncategorised"))</f>
        <v/>
      </c>
      <c r="E1108" s="10">
        <f>IFERROR(INDEX('Review Items'!$E:$E,MATCH(C1108,'Review Items'!$B:$B,0)),IFERROR(INDEX('Rule Updates'!$C:$C,MATCH(C1108,'Rule Updates'!$A:$A,0)),"Review"))</f>
        <v/>
      </c>
      <c r="F1108" s="12" t="n">
        <v>26.26</v>
      </c>
      <c r="G1108" s="12" t="n">
        <v>138.78</v>
      </c>
      <c r="H1108" s="10" t="n">
        <v>7</v>
      </c>
      <c r="I1108" s="10">
        <f>IF(OR(D1108="Uncategorised",E1108=""),"Check","")</f>
        <v/>
      </c>
    </row>
    <row r="1109">
      <c r="A1109" s="10" t="inlineStr">
        <is>
          <t>Amex Dec-2025</t>
        </is>
      </c>
      <c r="B1109" s="11" t="n">
        <v>46015</v>
      </c>
      <c r="C1109" s="10" t="inlineStr">
        <is>
          <t>BASSIKE RETAIL PTY LTD PADDINGTON</t>
        </is>
      </c>
      <c r="D1109" s="10">
        <f>IFERROR(INDEX('Review Items'!$D:$D,MATCH(C1109,'Review Items'!$B:$B,0)),IFERROR(INDEX('Rule Updates'!$B:$B,MATCH(C1109,'Rule Updates'!$A:$A,0)),"Uncategorised"))</f>
        <v/>
      </c>
      <c r="E1109" s="10">
        <f>IFERROR(INDEX('Review Items'!$E:$E,MATCH(C1109,'Review Items'!$B:$B,0)),IFERROR(INDEX('Rule Updates'!$C:$C,MATCH(C1109,'Rule Updates'!$A:$A,0)),"Review"))</f>
        <v/>
      </c>
      <c r="F1109" s="12" t="n">
        <v>220</v>
      </c>
      <c r="G1109" s="12" t="n">
        <v>1170.08</v>
      </c>
      <c r="H1109" s="10" t="n">
        <v>7</v>
      </c>
      <c r="I1109" s="10">
        <f>IF(OR(D1109="Uncategorised",E1109=""),"Check","")</f>
        <v/>
      </c>
    </row>
    <row r="1110">
      <c r="A1110" s="10" t="inlineStr">
        <is>
          <t>Amex Dec-2025</t>
        </is>
      </c>
      <c r="B1110" s="11" t="n">
        <v>46015</v>
      </c>
      <c r="C1110" s="10" t="inlineStr">
        <is>
          <t>BASSIKE RETAIL PTY LTD PADDINGTON</t>
        </is>
      </c>
      <c r="D1110" s="10">
        <f>IFERROR(INDEX('Review Items'!$D:$D,MATCH(C1110,'Review Items'!$B:$B,0)),IFERROR(INDEX('Rule Updates'!$B:$B,MATCH(C1110,'Rule Updates'!$A:$A,0)),"Uncategorised"))</f>
        <v/>
      </c>
      <c r="E1110" s="10">
        <f>IFERROR(INDEX('Review Items'!$E:$E,MATCH(C1110,'Review Items'!$B:$B,0)),IFERROR(INDEX('Rule Updates'!$C:$C,MATCH(C1110,'Rule Updates'!$A:$A,0)),"Review"))</f>
        <v/>
      </c>
      <c r="F1110" s="12" t="n">
        <v>2480</v>
      </c>
      <c r="G1110" s="12" t="n">
        <v>13189.63</v>
      </c>
      <c r="H1110" s="10" t="n">
        <v>7</v>
      </c>
      <c r="I1110" s="10">
        <f>IF(OR(D1110="Uncategorised",E1110=""),"Check","")</f>
        <v/>
      </c>
    </row>
    <row r="1111">
      <c r="A1111" s="10" t="inlineStr">
        <is>
          <t>Amex Dec-2025</t>
        </is>
      </c>
      <c r="B1111" s="11" t="n">
        <v>46016</v>
      </c>
      <c r="C1111" s="10" t="inlineStr">
        <is>
          <t>JIHOSYDNEY SYDNEY</t>
        </is>
      </c>
      <c r="D1111" s="10">
        <f>IFERROR(INDEX('Review Items'!$D:$D,MATCH(C1111,'Review Items'!$B:$B,0)),IFERROR(INDEX('Rule Updates'!$B:$B,MATCH(C1111,'Rule Updates'!$A:$A,0)),"Uncategorised"))</f>
        <v/>
      </c>
      <c r="E1111" s="10">
        <f>IFERROR(INDEX('Review Items'!$E:$E,MATCH(C1111,'Review Items'!$B:$B,0)),IFERROR(INDEX('Rule Updates'!$C:$C,MATCH(C1111,'Rule Updates'!$A:$A,0)),"Review"))</f>
        <v/>
      </c>
      <c r="F1111" s="12" t="n">
        <v>237.51</v>
      </c>
      <c r="G1111" s="12" t="n">
        <v>1265.39</v>
      </c>
      <c r="H1111" s="10" t="n">
        <v>7</v>
      </c>
      <c r="I1111" s="10">
        <f>IF(OR(D1111="Uncategorised",E1111=""),"Check","")</f>
        <v/>
      </c>
    </row>
    <row r="1112">
      <c r="A1112" s="10" t="inlineStr">
        <is>
          <t>Amex Jan-2026</t>
        </is>
      </c>
      <c r="B1112" s="11" t="n">
        <v>46017</v>
      </c>
      <c r="C1112" s="10" t="inlineStr">
        <is>
          <t>JUMPSPEAK # W3 MNJ 4 FR WILMINGTON</t>
        </is>
      </c>
      <c r="D1112" s="10">
        <f>IFERROR(INDEX('Review Items'!$D:$D,MATCH(C1112,'Review Items'!$B:$B,0)),IFERROR(INDEX('Rule Updates'!$B:$B,MATCH(C1112,'Rule Updates'!$A:$A,0)),"Uncategorised"))</f>
        <v/>
      </c>
      <c r="E1112" s="10">
        <f>IFERROR(INDEX('Review Items'!$E:$E,MATCH(C1112,'Review Items'!$B:$B,0)),IFERROR(INDEX('Rule Updates'!$C:$C,MATCH(C1112,'Rule Updates'!$A:$A,0)),"Review"))</f>
        <v/>
      </c>
      <c r="F1112" s="12" t="n">
        <v>179</v>
      </c>
      <c r="G1112" s="12" t="n">
        <v>1420.03</v>
      </c>
      <c r="H1112" s="10" t="n">
        <v>1</v>
      </c>
      <c r="I1112" s="10">
        <f>IF(OR(D1112="Uncategorised",E1112=""),"Check","")</f>
        <v/>
      </c>
    </row>
    <row r="1113">
      <c r="A1113" s="10" t="inlineStr">
        <is>
          <t>Amex Jan-2026</t>
        </is>
      </c>
      <c r="B1113" s="11" t="n">
        <v>46027</v>
      </c>
      <c r="C1113" s="10" t="inlineStr">
        <is>
          <t>KANGAROO VALLEY FINE WKANGAROO VALL</t>
        </is>
      </c>
      <c r="D1113" s="10">
        <f>IFERROR(INDEX('Review Items'!$D:$D,MATCH(C1113,'Review Items'!$B:$B,0)),IFERROR(INDEX('Rule Updates'!$B:$B,MATCH(C1113,'Rule Updates'!$A:$A,0)),"Uncategorised"))</f>
        <v/>
      </c>
      <c r="E1113" s="10">
        <f>IFERROR(INDEX('Review Items'!$E:$E,MATCH(C1113,'Review Items'!$B:$B,0)),IFERROR(INDEX('Rule Updates'!$C:$C,MATCH(C1113,'Rule Updates'!$A:$A,0)),"Review"))</f>
        <v/>
      </c>
      <c r="F1113" s="12" t="n">
        <v>49.99</v>
      </c>
      <c r="G1113" s="12" t="n">
        <v>266.5</v>
      </c>
      <c r="H1113" s="10" t="n">
        <v>1</v>
      </c>
      <c r="I1113" s="10">
        <f>IF(OR(D1113="Uncategorised",E1113=""),"Check","")</f>
        <v/>
      </c>
    </row>
    <row r="1114">
      <c r="A1114" s="10" t="inlineStr">
        <is>
          <t>Amex Jan-2026</t>
        </is>
      </c>
      <c r="B1114" s="11" t="n">
        <v>46027</v>
      </c>
      <c r="C1114" s="10" t="inlineStr">
        <is>
          <t>PAYMENT RECEIVED THROUGH AUTOPAY</t>
        </is>
      </c>
      <c r="D1114" s="10">
        <f>IFERROR(INDEX('Review Items'!$D:$D,MATCH(C1114,'Review Items'!$B:$B,0)),IFERROR(INDEX('Rule Updates'!$B:$B,MATCH(C1114,'Rule Updates'!$A:$A,0)),"Uncategorised"))</f>
        <v/>
      </c>
      <c r="E1114" s="10">
        <f>IFERROR(INDEX('Review Items'!$E:$E,MATCH(C1114,'Review Items'!$B:$B,0)),IFERROR(INDEX('Rule Updates'!$C:$C,MATCH(C1114,'Rule Updates'!$A:$A,0)),"Review"))</f>
        <v/>
      </c>
      <c r="F1114" s="10" t="n"/>
      <c r="G1114" s="12" t="n">
        <v>-379196.3</v>
      </c>
      <c r="H1114" s="10" t="n">
        <v>1</v>
      </c>
      <c r="I1114" s="10">
        <f>IF(OR(D1114="Uncategorised",E1114=""),"Check","")</f>
        <v/>
      </c>
    </row>
    <row r="1115">
      <c r="A1115" s="10" t="inlineStr">
        <is>
          <t>Amex Jan-2026</t>
        </is>
      </c>
      <c r="B1115" s="11" t="n">
        <v>46029</v>
      </c>
      <c r="C1115" s="10" t="inlineStr">
        <is>
          <t>HARRIS FARM MARKETS PTY BONDI BEACH</t>
        </is>
      </c>
      <c r="D1115" s="10">
        <f>IFERROR(INDEX('Review Items'!$D:$D,MATCH(C1115,'Review Items'!$B:$B,0)),IFERROR(INDEX('Rule Updates'!$B:$B,MATCH(C1115,'Rule Updates'!$A:$A,0)),"Uncategorised"))</f>
        <v/>
      </c>
      <c r="E1115" s="10">
        <f>IFERROR(INDEX('Review Items'!$E:$E,MATCH(C1115,'Review Items'!$B:$B,0)),IFERROR(INDEX('Rule Updates'!$C:$C,MATCH(C1115,'Rule Updates'!$A:$A,0)),"Review"))</f>
        <v/>
      </c>
      <c r="F1115" s="12" t="n">
        <v>124.69</v>
      </c>
      <c r="G1115" s="12" t="n">
        <v>667.5700000000001</v>
      </c>
      <c r="H1115" s="10" t="n">
        <v>1</v>
      </c>
      <c r="I1115" s="10">
        <f>IF(OR(D1115="Uncategorised",E1115=""),"Check","")</f>
        <v/>
      </c>
    </row>
    <row r="1116">
      <c r="A1116" s="10" t="inlineStr">
        <is>
          <t>Amex Jan-2026</t>
        </is>
      </c>
      <c r="B1116" s="11" t="n">
        <v>46029</v>
      </c>
      <c r="C1116" s="10" t="inlineStr">
        <is>
          <t>ICE BERGS DINING SYDNEY</t>
        </is>
      </c>
      <c r="D1116" s="10">
        <f>IFERROR(INDEX('Review Items'!$D:$D,MATCH(C1116,'Review Items'!$B:$B,0)),IFERROR(INDEX('Rule Updates'!$B:$B,MATCH(C1116,'Rule Updates'!$A:$A,0)),"Uncategorised"))</f>
        <v/>
      </c>
      <c r="E1116" s="10">
        <f>IFERROR(INDEX('Review Items'!$E:$E,MATCH(C1116,'Review Items'!$B:$B,0)),IFERROR(INDEX('Rule Updates'!$C:$C,MATCH(C1116,'Rule Updates'!$A:$A,0)),"Review"))</f>
        <v/>
      </c>
      <c r="F1116" s="12" t="n">
        <v>138.19</v>
      </c>
      <c r="G1116" s="12" t="n">
        <v>739.87</v>
      </c>
      <c r="H1116" s="10" t="n">
        <v>1</v>
      </c>
      <c r="I1116" s="10">
        <f>IF(OR(D1116="Uncategorised",E1116=""),"Check","")</f>
        <v/>
      </c>
    </row>
    <row r="1117">
      <c r="A1117" s="10" t="inlineStr">
        <is>
          <t>Amex Jan-2026</t>
        </is>
      </c>
      <c r="B1117" s="11" t="n">
        <v>46029</v>
      </c>
      <c r="C1117" s="10" t="inlineStr">
        <is>
          <t>SP LUCYFOLKJ E WELLERY MEL BOURNE</t>
        </is>
      </c>
      <c r="D1117" s="10">
        <f>IFERROR(INDEX('Review Items'!$D:$D,MATCH(C1117,'Review Items'!$B:$B,0)),IFERROR(INDEX('Rule Updates'!$B:$B,MATCH(C1117,'Rule Updates'!$A:$A,0)),"Uncategorised"))</f>
        <v/>
      </c>
      <c r="E1117" s="10">
        <f>IFERROR(INDEX('Review Items'!$E:$E,MATCH(C1117,'Review Items'!$B:$B,0)),IFERROR(INDEX('Rule Updates'!$C:$C,MATCH(C1117,'Rule Updates'!$A:$A,0)),"Review"))</f>
        <v/>
      </c>
      <c r="F1117" s="12" t="n">
        <v>150</v>
      </c>
      <c r="G1117" s="12" t="n">
        <v>803.11</v>
      </c>
      <c r="H1117" s="10" t="n">
        <v>2</v>
      </c>
      <c r="I1117" s="10">
        <f>IF(OR(D1117="Uncategorised",E1117=""),"Check","")</f>
        <v/>
      </c>
    </row>
    <row r="1118">
      <c r="A1118" s="10" t="inlineStr">
        <is>
          <t>Amex Jan-2026</t>
        </is>
      </c>
      <c r="B1118" s="11" t="n">
        <v>46029</v>
      </c>
      <c r="C1118" s="10" t="inlineStr">
        <is>
          <t>SP SIRTHELA BEL.COM TAMARAMA</t>
        </is>
      </c>
      <c r="D1118" s="10">
        <f>IFERROR(INDEX('Review Items'!$D:$D,MATCH(C1118,'Review Items'!$B:$B,0)),IFERROR(INDEX('Rule Updates'!$B:$B,MATCH(C1118,'Rule Updates'!$A:$A,0)),"Uncategorised"))</f>
        <v/>
      </c>
      <c r="E1118" s="10">
        <f>IFERROR(INDEX('Review Items'!$E:$E,MATCH(C1118,'Review Items'!$B:$B,0)),IFERROR(INDEX('Rule Updates'!$C:$C,MATCH(C1118,'Rule Updates'!$A:$A,0)),"Review"))</f>
        <v/>
      </c>
      <c r="F1118" s="12" t="n">
        <v>320</v>
      </c>
      <c r="G1118" s="12" t="n">
        <v>1713.24</v>
      </c>
      <c r="H1118" s="10" t="n">
        <v>1</v>
      </c>
      <c r="I1118" s="10">
        <f>IF(OR(D1118="Uncategorised",E1118=""),"Check","")</f>
        <v/>
      </c>
    </row>
    <row r="1119">
      <c r="A1119" s="10" t="inlineStr">
        <is>
          <t>Amex Jan-2026</t>
        </is>
      </c>
      <c r="B1119" s="11" t="n">
        <v>46030</v>
      </c>
      <c r="C1119" s="10" t="inlineStr">
        <is>
          <t>SYDNEY INTERNATIONAL PI MASCOT</t>
        </is>
      </c>
      <c r="D1119" s="10">
        <f>IFERROR(INDEX('Review Items'!$D:$D,MATCH(C1119,'Review Items'!$B:$B,0)),IFERROR(INDEX('Rule Updates'!$B:$B,MATCH(C1119,'Rule Updates'!$A:$A,0)),"Uncategorised"))</f>
        <v/>
      </c>
      <c r="E1119" s="10">
        <f>IFERROR(INDEX('Review Items'!$E:$E,MATCH(C1119,'Review Items'!$B:$B,0)),IFERROR(INDEX('Rule Updates'!$C:$C,MATCH(C1119,'Rule Updates'!$A:$A,0)),"Review"))</f>
        <v/>
      </c>
      <c r="F1119" s="12" t="n">
        <v>146.9</v>
      </c>
      <c r="G1119" s="12" t="n">
        <v>787.37</v>
      </c>
      <c r="H1119" s="10" t="n">
        <v>2</v>
      </c>
      <c r="I1119" s="10">
        <f>IF(OR(D1119="Uncategorised",E1119=""),"Check","")</f>
        <v/>
      </c>
    </row>
    <row r="1120">
      <c r="A1120" s="10" t="inlineStr">
        <is>
          <t>Amex Jan-2026</t>
        </is>
      </c>
      <c r="B1120" s="11" t="n">
        <v>46030</v>
      </c>
      <c r="C1120" s="10" t="inlineStr">
        <is>
          <t>SYDNEY INTERNATIONAL PI MASCOT</t>
        </is>
      </c>
      <c r="D1120" s="10">
        <f>IFERROR(INDEX('Review Items'!$D:$D,MATCH(C1120,'Review Items'!$B:$B,0)),IFERROR(INDEX('Rule Updates'!$B:$B,MATCH(C1120,'Rule Updates'!$A:$A,0)),"Uncategorised"))</f>
        <v/>
      </c>
      <c r="E1120" s="10">
        <f>IFERROR(INDEX('Review Items'!$E:$E,MATCH(C1120,'Review Items'!$B:$B,0)),IFERROR(INDEX('Rule Updates'!$C:$C,MATCH(C1120,'Rule Updates'!$A:$A,0)),"Review"))</f>
        <v/>
      </c>
      <c r="F1120" s="12" t="n">
        <v>13.12</v>
      </c>
      <c r="G1120" s="12" t="n">
        <v>70.29000000000001</v>
      </c>
      <c r="H1120" s="10" t="n">
        <v>2</v>
      </c>
      <c r="I1120" s="10">
        <f>IF(OR(D1120="Uncategorised",E1120=""),"Check","")</f>
        <v/>
      </c>
    </row>
    <row r="1121">
      <c r="A1121" s="10" t="inlineStr">
        <is>
          <t>Amex Jan-2026</t>
        </is>
      </c>
      <c r="B1121" s="11" t="n">
        <v>46032</v>
      </c>
      <c r="C1121" s="10" t="inlineStr">
        <is>
          <t>SHSSFSCYGLY XGS s ha n g ha i</t>
        </is>
      </c>
      <c r="D1121" s="10">
        <f>IFERROR(INDEX('Review Items'!$D:$D,MATCH(C1121,'Review Items'!$B:$B,0)),IFERROR(INDEX('Rule Updates'!$B:$B,MATCH(C1121,'Rule Updates'!$A:$A,0)),"Uncategorised"))</f>
        <v/>
      </c>
      <c r="E1121" s="10">
        <f>IFERROR(INDEX('Review Items'!$E:$E,MATCH(C1121,'Review Items'!$B:$B,0)),IFERROR(INDEX('Rule Updates'!$C:$C,MATCH(C1121,'Rule Updates'!$A:$A,0)),"Review"))</f>
        <v/>
      </c>
      <c r="F1121" s="12" t="n">
        <v>5000</v>
      </c>
      <c r="G1121" s="12" t="n">
        <v>5698.47</v>
      </c>
      <c r="H1121" s="10" t="n">
        <v>4</v>
      </c>
      <c r="I1121" s="10">
        <f>IF(OR(D1121="Uncategorised",E1121=""),"Check","")</f>
        <v/>
      </c>
    </row>
    <row r="1122">
      <c r="A1122" s="10" t="inlineStr">
        <is>
          <t>Amex Jan-2026</t>
        </is>
      </c>
      <c r="B1122" s="11" t="n">
        <v>46032</v>
      </c>
      <c r="C1122" s="10" t="inlineStr">
        <is>
          <t>SHSSFSCYGLY XGS s ha n g ha i</t>
        </is>
      </c>
      <c r="D1122" s="10">
        <f>IFERROR(INDEX('Review Items'!$D:$D,MATCH(C1122,'Review Items'!$B:$B,0)),IFERROR(INDEX('Rule Updates'!$B:$B,MATCH(C1122,'Rule Updates'!$A:$A,0)),"Uncategorised"))</f>
        <v/>
      </c>
      <c r="E1122" s="10">
        <f>IFERROR(INDEX('Review Items'!$E:$E,MATCH(C1122,'Review Items'!$B:$B,0)),IFERROR(INDEX('Rule Updates'!$C:$C,MATCH(C1122,'Rule Updates'!$A:$A,0)),"Review"))</f>
        <v/>
      </c>
      <c r="F1122" s="12" t="n">
        <v>5000</v>
      </c>
      <c r="G1122" s="12" t="n">
        <v>5698.47</v>
      </c>
      <c r="H1122" s="10" t="n">
        <v>4</v>
      </c>
      <c r="I1122" s="10">
        <f>IF(OR(D1122="Uncategorised",E1122=""),"Check","")</f>
        <v/>
      </c>
    </row>
    <row r="1123">
      <c r="A1123" s="10" t="inlineStr">
        <is>
          <t>Amex Jan-2026</t>
        </is>
      </c>
      <c r="B1123" s="11" t="n">
        <v>46033</v>
      </c>
      <c r="C1123" s="10" t="inlineStr">
        <is>
          <t>LIYUAN s ha n gha is h i</t>
        </is>
      </c>
      <c r="D1123" s="10">
        <f>IFERROR(INDEX('Review Items'!$D:$D,MATCH(C1123,'Review Items'!$B:$B,0)),IFERROR(INDEX('Rule Updates'!$B:$B,MATCH(C1123,'Rule Updates'!$A:$A,0)),"Uncategorised"))</f>
        <v/>
      </c>
      <c r="E1123" s="10">
        <f>IFERROR(INDEX('Review Items'!$E:$E,MATCH(C1123,'Review Items'!$B:$B,0)),IFERROR(INDEX('Rule Updates'!$C:$C,MATCH(C1123,'Rule Updates'!$A:$A,0)),"Review"))</f>
        <v/>
      </c>
      <c r="F1123" s="12" t="n">
        <v>7849</v>
      </c>
      <c r="G1123" s="12" t="n">
        <v>8945.469999999999</v>
      </c>
      <c r="H1123" s="10" t="n">
        <v>4</v>
      </c>
      <c r="I1123" s="10">
        <f>IF(OR(D1123="Uncategorised",E1123=""),"Check","")</f>
        <v/>
      </c>
    </row>
    <row r="1124">
      <c r="A1124" s="10" t="inlineStr">
        <is>
          <t>Amex Jan-2026</t>
        </is>
      </c>
      <c r="B1124" s="11" t="n">
        <v>46033</v>
      </c>
      <c r="C1124" s="10" t="inlineStr">
        <is>
          <t>XIAN JING FU YUAN CAN YSHANGHAI</t>
        </is>
      </c>
      <c r="D1124" s="10">
        <f>IFERROR(INDEX('Review Items'!$D:$D,MATCH(C1124,'Review Items'!$B:$B,0)),IFERROR(INDEX('Rule Updates'!$B:$B,MATCH(C1124,'Rule Updates'!$A:$A,0)),"Uncategorised"))</f>
        <v/>
      </c>
      <c r="E1124" s="10">
        <f>IFERROR(INDEX('Review Items'!$E:$E,MATCH(C1124,'Review Items'!$B:$B,0)),IFERROR(INDEX('Rule Updates'!$C:$C,MATCH(C1124,'Rule Updates'!$A:$A,0)),"Review"))</f>
        <v/>
      </c>
      <c r="F1124" s="12" t="n">
        <v>10575</v>
      </c>
      <c r="G1124" s="12" t="n">
        <v>12052.27</v>
      </c>
      <c r="H1124" s="10" t="n">
        <v>4</v>
      </c>
      <c r="I1124" s="10">
        <f>IF(OR(D1124="Uncategorised",E1124=""),"Check","")</f>
        <v/>
      </c>
    </row>
    <row r="1125">
      <c r="A1125" s="10" t="inlineStr">
        <is>
          <t>Amex Jan-2026</t>
        </is>
      </c>
      <c r="B1125" s="11" t="n">
        <v>46034</v>
      </c>
      <c r="C1125" s="10" t="inlineStr">
        <is>
          <t>Le Cafe Lo uis V uitt o n Sha n gha i</t>
        </is>
      </c>
      <c r="D1125" s="10">
        <f>IFERROR(INDEX('Review Items'!$D:$D,MATCH(C1125,'Review Items'!$B:$B,0)),IFERROR(INDEX('Rule Updates'!$B:$B,MATCH(C1125,'Rule Updates'!$A:$A,0)),"Uncategorised"))</f>
        <v/>
      </c>
      <c r="E1125" s="10">
        <f>IFERROR(INDEX('Review Items'!$E:$E,MATCH(C1125,'Review Items'!$B:$B,0)),IFERROR(INDEX('Rule Updates'!$C:$C,MATCH(C1125,'Rule Updates'!$A:$A,0)),"Review"))</f>
        <v/>
      </c>
      <c r="F1125" s="12" t="n">
        <v>3485</v>
      </c>
      <c r="G1125" s="12" t="n">
        <v>3971.81</v>
      </c>
      <c r="H1125" s="10" t="n">
        <v>4</v>
      </c>
      <c r="I1125" s="10">
        <f>IF(OR(D1125="Uncategorised",E1125=""),"Check","")</f>
        <v/>
      </c>
    </row>
    <row r="1126">
      <c r="A1126" s="10" t="inlineStr">
        <is>
          <t>Amex Jan-2026</t>
        </is>
      </c>
      <c r="B1126" s="11" t="n">
        <v>46034</v>
      </c>
      <c r="C1126" s="10" t="inlineStr">
        <is>
          <t>USCUSTOMS ESTA APPL PMT INDIANAPOLIS</t>
        </is>
      </c>
      <c r="D1126" s="10">
        <f>IFERROR(INDEX('Review Items'!$D:$D,MATCH(C1126,'Review Items'!$B:$B,0)),IFERROR(INDEX('Rule Updates'!$B:$B,MATCH(C1126,'Rule Updates'!$A:$A,0)),"Uncategorised"))</f>
        <v/>
      </c>
      <c r="E1126" s="10">
        <f>IFERROR(INDEX('Review Items'!$E:$E,MATCH(C1126,'Review Items'!$B:$B,0)),IFERROR(INDEX('Rule Updates'!$C:$C,MATCH(C1126,'Rule Updates'!$A:$A,0)),"Review"))</f>
        <v/>
      </c>
      <c r="F1126" s="12" t="n">
        <v>40.27</v>
      </c>
      <c r="G1126" s="12" t="n">
        <v>320.31</v>
      </c>
      <c r="H1126" s="10" t="n">
        <v>4</v>
      </c>
      <c r="I1126" s="10">
        <f>IF(OR(D1126="Uncategorised",E1126=""),"Check","")</f>
        <v/>
      </c>
    </row>
    <row r="1127">
      <c r="A1127" s="10" t="inlineStr">
        <is>
          <t>Amex Jan-2026</t>
        </is>
      </c>
      <c r="B1127" s="11" t="n">
        <v>46035</v>
      </c>
      <c r="C1127" s="10" t="inlineStr">
        <is>
          <t>AMV , PACIFIC PLACE ADMIRALTY</t>
        </is>
      </c>
      <c r="D1127" s="10">
        <f>IFERROR(INDEX('Review Items'!$D:$D,MATCH(C1127,'Review Items'!$B:$B,0)),IFERROR(INDEX('Rule Updates'!$B:$B,MATCH(C1127,'Rule Updates'!$A:$A,0)),"Uncategorised"))</f>
        <v/>
      </c>
      <c r="E1127" s="10">
        <f>IFERROR(INDEX('Review Items'!$E:$E,MATCH(C1127,'Review Items'!$B:$B,0)),IFERROR(INDEX('Rule Updates'!$C:$C,MATCH(C1127,'Rule Updates'!$A:$A,0)),"Review"))</f>
        <v/>
      </c>
      <c r="F1127" s="10" t="n"/>
      <c r="G1127" s="12" t="n">
        <v>1875</v>
      </c>
      <c r="H1127" s="10" t="n">
        <v>2</v>
      </c>
      <c r="I1127" s="10">
        <f>IF(OR(D1127="Uncategorised",E1127=""),"Check","")</f>
        <v/>
      </c>
    </row>
    <row r="1128">
      <c r="A1128" s="10" t="inlineStr">
        <is>
          <t>Amex Jan-2026</t>
        </is>
      </c>
      <c r="B1128" s="11" t="n">
        <v>46035</v>
      </c>
      <c r="C1128" s="10" t="inlineStr">
        <is>
          <t>IL COLPO PACIFIC PLACE ADMIRALTY</t>
        </is>
      </c>
      <c r="D1128" s="10">
        <f>IFERROR(INDEX('Review Items'!$D:$D,MATCH(C1128,'Review Items'!$B:$B,0)),IFERROR(INDEX('Rule Updates'!$B:$B,MATCH(C1128,'Rule Updates'!$A:$A,0)),"Uncategorised"))</f>
        <v/>
      </c>
      <c r="E1128" s="10">
        <f>IFERROR(INDEX('Review Items'!$E:$E,MATCH(C1128,'Review Items'!$B:$B,0)),IFERROR(INDEX('Rule Updates'!$C:$C,MATCH(C1128,'Rule Updates'!$A:$A,0)),"Review"))</f>
        <v/>
      </c>
      <c r="F1128" s="10" t="n"/>
      <c r="G1128" s="12" t="n">
        <v>8640</v>
      </c>
      <c r="H1128" s="10" t="n">
        <v>2</v>
      </c>
      <c r="I1128" s="10">
        <f>IF(OR(D1128="Uncategorised",E1128=""),"Check","")</f>
        <v/>
      </c>
    </row>
    <row r="1129">
      <c r="A1129" s="10" t="inlineStr">
        <is>
          <t>Amex Jan-2026</t>
        </is>
      </c>
      <c r="B1129" s="11" t="n">
        <v>46035</v>
      </c>
      <c r="C1129" s="10" t="inlineStr">
        <is>
          <t>UNI QLO HONG KONG LIMITE TSIM SHA TSUI</t>
        </is>
      </c>
      <c r="D1129" s="10">
        <f>IFERROR(INDEX('Review Items'!$D:$D,MATCH(C1129,'Review Items'!$B:$B,0)),IFERROR(INDEX('Rule Updates'!$B:$B,MATCH(C1129,'Rule Updates'!$A:$A,0)),"Uncategorised"))</f>
        <v/>
      </c>
      <c r="E1129" s="10">
        <f>IFERROR(INDEX('Review Items'!$E:$E,MATCH(C1129,'Review Items'!$B:$B,0)),IFERROR(INDEX('Rule Updates'!$C:$C,MATCH(C1129,'Rule Updates'!$A:$A,0)),"Review"))</f>
        <v/>
      </c>
      <c r="F1129" s="10" t="n"/>
      <c r="G1129" s="12" t="n">
        <v>496</v>
      </c>
      <c r="H1129" s="10" t="n">
        <v>2</v>
      </c>
      <c r="I1129" s="10">
        <f>IF(OR(D1129="Uncategorised",E1129=""),"Check","")</f>
        <v/>
      </c>
    </row>
    <row r="1130">
      <c r="A1130" s="10" t="inlineStr">
        <is>
          <t>Amex Jan-2026</t>
        </is>
      </c>
      <c r="B1130" s="11" t="n">
        <v>46035</v>
      </c>
      <c r="C1130" s="10" t="inlineStr">
        <is>
          <t>UNI QLO HONG KONG LIMITE TSIM SHA TSUI</t>
        </is>
      </c>
      <c r="D1130" s="10">
        <f>IFERROR(INDEX('Review Items'!$D:$D,MATCH(C1130,'Review Items'!$B:$B,0)),IFERROR(INDEX('Rule Updates'!$B:$B,MATCH(C1130,'Rule Updates'!$A:$A,0)),"Uncategorised"))</f>
        <v/>
      </c>
      <c r="E1130" s="10">
        <f>IFERROR(INDEX('Review Items'!$E:$E,MATCH(C1130,'Review Items'!$B:$B,0)),IFERROR(INDEX('Rule Updates'!$C:$C,MATCH(C1130,'Rule Updates'!$A:$A,0)),"Review"))</f>
        <v/>
      </c>
      <c r="F1130" s="10" t="n"/>
      <c r="G1130" s="12" t="n">
        <v>946</v>
      </c>
      <c r="H1130" s="10" t="n">
        <v>2</v>
      </c>
      <c r="I1130" s="10">
        <f>IF(OR(D1130="Uncategorised",E1130=""),"Check","")</f>
        <v/>
      </c>
    </row>
    <row r="1131">
      <c r="A1131" s="10" t="inlineStr">
        <is>
          <t>Amex Jan-2026</t>
        </is>
      </c>
      <c r="B1131" s="11" t="n">
        <v>46036</v>
      </c>
      <c r="C1131" s="10" t="inlineStr">
        <is>
          <t>WHALE CLU BHK</t>
        </is>
      </c>
      <c r="D1131" s="10">
        <f>IFERROR(INDEX('Review Items'!$D:$D,MATCH(C1131,'Review Items'!$B:$B,0)),IFERROR(INDEX('Rule Updates'!$B:$B,MATCH(C1131,'Rule Updates'!$A:$A,0)),"Uncategorised"))</f>
        <v/>
      </c>
      <c r="E1131" s="10">
        <f>IFERROR(INDEX('Review Items'!$E:$E,MATCH(C1131,'Review Items'!$B:$B,0)),IFERROR(INDEX('Rule Updates'!$C:$C,MATCH(C1131,'Rule Updates'!$A:$A,0)),"Review"))</f>
        <v/>
      </c>
      <c r="F1131" s="10" t="n"/>
      <c r="G1131" s="12" t="n">
        <v>1752</v>
      </c>
      <c r="H1131" s="10" t="n">
        <v>2</v>
      </c>
      <c r="I1131" s="10">
        <f>IF(OR(D1131="Uncategorised",E1131=""),"Check","")</f>
        <v/>
      </c>
    </row>
    <row r="1132">
      <c r="A1132" s="10" t="inlineStr">
        <is>
          <t>Amex Jan-2026</t>
        </is>
      </c>
      <c r="B1132" s="11" t="n">
        <v>46037</v>
      </c>
      <c r="C1132" s="10" t="inlineStr">
        <is>
          <t>KPAY * ASTA CLINIC LIMITE HONG KONG</t>
        </is>
      </c>
      <c r="D1132" s="10">
        <f>IFERROR(INDEX('Review Items'!$D:$D,MATCH(C1132,'Review Items'!$B:$B,0)),IFERROR(INDEX('Rule Updates'!$B:$B,MATCH(C1132,'Rule Updates'!$A:$A,0)),"Uncategorised"))</f>
        <v/>
      </c>
      <c r="E1132" s="10">
        <f>IFERROR(INDEX('Review Items'!$E:$E,MATCH(C1132,'Review Items'!$B:$B,0)),IFERROR(INDEX('Rule Updates'!$C:$C,MATCH(C1132,'Rule Updates'!$A:$A,0)),"Review"))</f>
        <v/>
      </c>
      <c r="F1132" s="10" t="n"/>
      <c r="G1132" s="12" t="n">
        <v>9500</v>
      </c>
      <c r="H1132" s="10" t="n">
        <v>2</v>
      </c>
      <c r="I1132" s="10">
        <f>IF(OR(D1132="Uncategorised",E1132=""),"Check","")</f>
        <v/>
      </c>
    </row>
    <row r="1133">
      <c r="A1133" s="10" t="inlineStr">
        <is>
          <t>Amex Jan-2026</t>
        </is>
      </c>
      <c r="B1133" s="11" t="n">
        <v>46037</v>
      </c>
      <c r="C1133" s="10" t="inlineStr">
        <is>
          <t>THE DAIRY FARM - MANNIN CENTRAL</t>
        </is>
      </c>
      <c r="D1133" s="10">
        <f>IFERROR(INDEX('Review Items'!$D:$D,MATCH(C1133,'Review Items'!$B:$B,0)),IFERROR(INDEX('Rule Updates'!$B:$B,MATCH(C1133,'Rule Updates'!$A:$A,0)),"Uncategorised"))</f>
        <v/>
      </c>
      <c r="E1133" s="10">
        <f>IFERROR(INDEX('Review Items'!$E:$E,MATCH(C1133,'Review Items'!$B:$B,0)),IFERROR(INDEX('Rule Updates'!$C:$C,MATCH(C1133,'Rule Updates'!$A:$A,0)),"Review"))</f>
        <v/>
      </c>
      <c r="F1133" s="10" t="n"/>
      <c r="G1133" s="12" t="n">
        <v>2020.9</v>
      </c>
      <c r="H1133" s="10" t="n">
        <v>2</v>
      </c>
      <c r="I1133" s="10">
        <f>IF(OR(D1133="Uncategorised",E1133=""),"Check","")</f>
        <v/>
      </c>
    </row>
    <row r="1134">
      <c r="A1134" s="10" t="inlineStr">
        <is>
          <t>Amex Jan-2026</t>
        </is>
      </c>
      <c r="B1134" s="11" t="n">
        <v>46039</v>
      </c>
      <c r="C1134" s="10" t="inlineStr">
        <is>
          <t>THE DAIRY FARM - MANNIN LANTAU</t>
        </is>
      </c>
      <c r="D1134" s="10">
        <f>IFERROR(INDEX('Review Items'!$D:$D,MATCH(C1134,'Review Items'!$B:$B,0)),IFERROR(INDEX('Rule Updates'!$B:$B,MATCH(C1134,'Rule Updates'!$A:$A,0)),"Uncategorised"))</f>
        <v/>
      </c>
      <c r="E1134" s="10">
        <f>IFERROR(INDEX('Review Items'!$E:$E,MATCH(C1134,'Review Items'!$B:$B,0)),IFERROR(INDEX('Rule Updates'!$C:$C,MATCH(C1134,'Rule Updates'!$A:$A,0)),"Review"))</f>
        <v/>
      </c>
      <c r="F1134" s="10" t="n"/>
      <c r="G1134" s="12" t="n">
        <v>704.9</v>
      </c>
      <c r="H1134" s="10" t="n">
        <v>2</v>
      </c>
      <c r="I1134" s="10">
        <f>IF(OR(D1134="Uncategorised",E1134=""),"Check","")</f>
        <v/>
      </c>
    </row>
    <row r="1135">
      <c r="A1135" s="10" t="inlineStr">
        <is>
          <t>Amex Jan-2026</t>
        </is>
      </c>
      <c r="B1135" s="11" t="n">
        <v>46039</v>
      </c>
      <c r="C1135" s="10" t="inlineStr">
        <is>
          <t>THE DOLDER GRANDZ Ü RICH</t>
        </is>
      </c>
      <c r="D1135" s="10">
        <f>IFERROR(INDEX('Review Items'!$D:$D,MATCH(C1135,'Review Items'!$B:$B,0)),IFERROR(INDEX('Rule Updates'!$B:$B,MATCH(C1135,'Rule Updates'!$A:$A,0)),"Uncategorised"))</f>
        <v/>
      </c>
      <c r="E1135" s="10">
        <f>IFERROR(INDEX('Review Items'!$E:$E,MATCH(C1135,'Review Items'!$B:$B,0)),IFERROR(INDEX('Rule Updates'!$C:$C,MATCH(C1135,'Rule Updates'!$A:$A,0)),"Review"))</f>
        <v/>
      </c>
      <c r="F1135" s="12" t="n">
        <v>2900</v>
      </c>
      <c r="G1135" s="12" t="n">
        <v>28826.84</v>
      </c>
      <c r="H1135" s="10" t="n">
        <v>4</v>
      </c>
      <c r="I1135" s="10">
        <f>IF(OR(D1135="Uncategorised",E1135=""),"Check","")</f>
        <v/>
      </c>
    </row>
    <row r="1136">
      <c r="A1136" s="10" t="inlineStr">
        <is>
          <t>Amex Jan-2026</t>
        </is>
      </c>
      <c r="B1136" s="11" t="n">
        <v>46040</v>
      </c>
      <c r="C1136" s="10" t="inlineStr">
        <is>
          <t>APPLE STORER 335 R 335 BATH</t>
        </is>
      </c>
      <c r="D1136" s="10">
        <f>IFERROR(INDEX('Review Items'!$D:$D,MATCH(C1136,'Review Items'!$B:$B,0)),IFERROR(INDEX('Rule Updates'!$B:$B,MATCH(C1136,'Rule Updates'!$A:$A,0)),"Uncategorised"))</f>
        <v/>
      </c>
      <c r="E1136" s="10">
        <f>IFERROR(INDEX('Review Items'!$E:$E,MATCH(C1136,'Review Items'!$B:$B,0)),IFERROR(INDEX('Rule Updates'!$C:$C,MATCH(C1136,'Rule Updates'!$A:$A,0)),"Review"))</f>
        <v/>
      </c>
      <c r="F1136" s="12" t="n">
        <v>99</v>
      </c>
      <c r="G1136" s="12" t="n">
        <v>1056.82</v>
      </c>
      <c r="H1136" s="10" t="n">
        <v>2</v>
      </c>
      <c r="I1136" s="10">
        <f>IF(OR(D1136="Uncategorised",E1136=""),"Check","")</f>
        <v/>
      </c>
    </row>
    <row r="1137">
      <c r="A1137" s="10" t="inlineStr">
        <is>
          <t>Amex Jan-2026</t>
        </is>
      </c>
      <c r="B1137" s="11" t="n">
        <v>46041</v>
      </c>
      <c r="C1137" s="10" t="inlineStr">
        <is>
          <t>SP SUSANNE KAUFMANNB E ZAU</t>
        </is>
      </c>
      <c r="D1137" s="10">
        <f>IFERROR(INDEX('Review Items'!$D:$D,MATCH(C1137,'Review Items'!$B:$B,0)),IFERROR(INDEX('Rule Updates'!$B:$B,MATCH(C1137,'Rule Updates'!$A:$A,0)),"Uncategorised"))</f>
        <v/>
      </c>
      <c r="E1137" s="10">
        <f>IFERROR(INDEX('Review Items'!$E:$E,MATCH(C1137,'Review Items'!$B:$B,0)),IFERROR(INDEX('Rule Updates'!$C:$C,MATCH(C1137,'Rule Updates'!$A:$A,0)),"Review"))</f>
        <v/>
      </c>
      <c r="F1137" s="12" t="n">
        <v>190</v>
      </c>
      <c r="G1137" s="12" t="n">
        <v>2028.19</v>
      </c>
      <c r="H1137" s="10" t="n">
        <v>2</v>
      </c>
      <c r="I1137" s="10">
        <f>IF(OR(D1137="Uncategorised",E1137=""),"Check","")</f>
        <v/>
      </c>
    </row>
    <row r="1138">
      <c r="A1138" s="10" t="inlineStr">
        <is>
          <t>Amex Jan-2026</t>
        </is>
      </c>
      <c r="B1138" s="11" t="n">
        <v>46043</v>
      </c>
      <c r="C1138" s="10" t="inlineStr">
        <is>
          <t>GARMIN ( EUROPE ) LIMITED SOUTHAMPTON</t>
        </is>
      </c>
      <c r="D1138" s="10">
        <f>IFERROR(INDEX('Review Items'!$D:$D,MATCH(C1138,'Review Items'!$B:$B,0)),IFERROR(INDEX('Rule Updates'!$B:$B,MATCH(C1138,'Rule Updates'!$A:$A,0)),"Uncategorised"))</f>
        <v/>
      </c>
      <c r="E1138" s="10">
        <f>IFERROR(INDEX('Review Items'!$E:$E,MATCH(C1138,'Review Items'!$B:$B,0)),IFERROR(INDEX('Rule Updates'!$C:$C,MATCH(C1138,'Rule Updates'!$A:$A,0)),"Review"))</f>
        <v/>
      </c>
      <c r="F1138" s="10" t="n"/>
      <c r="G1138" s="12" t="n">
        <v>36.82</v>
      </c>
      <c r="H1138" s="10" t="n">
        <v>3</v>
      </c>
      <c r="I1138" s="10">
        <f>IF(OR(D1138="Uncategorised",E1138=""),"Check","")</f>
        <v/>
      </c>
    </row>
    <row r="1139">
      <c r="A1139" s="10" t="inlineStr">
        <is>
          <t>Amex Jan-2026</t>
        </is>
      </c>
      <c r="B1139" s="11" t="n">
        <v>46043</v>
      </c>
      <c r="C1139" s="10" t="inlineStr">
        <is>
          <t>TA BERNA MEIA PORTA TAB ELIS BOA</t>
        </is>
      </c>
      <c r="D1139" s="10">
        <f>IFERROR(INDEX('Review Items'!$D:$D,MATCH(C1139,'Review Items'!$B:$B,0)),IFERROR(INDEX('Rule Updates'!$B:$B,MATCH(C1139,'Rule Updates'!$A:$A,0)),"Uncategorised"))</f>
        <v/>
      </c>
      <c r="E1139" s="10">
        <f>IFERROR(INDEX('Review Items'!$E:$E,MATCH(C1139,'Review Items'!$B:$B,0)),IFERROR(INDEX('Rule Updates'!$C:$C,MATCH(C1139,'Rule Updates'!$A:$A,0)),"Review"))</f>
        <v/>
      </c>
      <c r="F1139" s="12" t="n">
        <v>18600</v>
      </c>
      <c r="G1139" s="12" t="n">
        <v>1737.3</v>
      </c>
      <c r="H1139" s="10" t="n">
        <v>3</v>
      </c>
      <c r="I1139" s="10">
        <f>IF(OR(D1139="Uncategorised",E1139=""),"Check","")</f>
        <v/>
      </c>
    </row>
    <row r="1140">
      <c r="A1140" s="10" t="inlineStr">
        <is>
          <t>Amex Jan-2026</t>
        </is>
      </c>
      <c r="B1140" s="11" t="n">
        <v>46043</v>
      </c>
      <c r="C1140" s="10" t="inlineStr">
        <is>
          <t>THE VERSE LIS BOA</t>
        </is>
      </c>
      <c r="D1140" s="10">
        <f>IFERROR(INDEX('Review Items'!$D:$D,MATCH(C1140,'Review Items'!$B:$B,0)),IFERROR(INDEX('Rule Updates'!$B:$B,MATCH(C1140,'Rule Updates'!$A:$A,0)),"Uncategorised"))</f>
        <v/>
      </c>
      <c r="E1140" s="10">
        <f>IFERROR(INDEX('Review Items'!$E:$E,MATCH(C1140,'Review Items'!$B:$B,0)),IFERROR(INDEX('Rule Updates'!$C:$C,MATCH(C1140,'Rule Updates'!$A:$A,0)),"Review"))</f>
        <v/>
      </c>
      <c r="F1140" s="12" t="n">
        <v>6.275</v>
      </c>
      <c r="G1140" s="12" t="n">
        <v>58748.41</v>
      </c>
      <c r="H1140" s="10" t="n">
        <v>3</v>
      </c>
      <c r="I1140" s="10">
        <f>IF(OR(D1140="Uncategorised",E1140=""),"Check","")</f>
        <v/>
      </c>
    </row>
    <row r="1141">
      <c r="A1141" s="10" t="inlineStr">
        <is>
          <t>Amex Jan-2026</t>
        </is>
      </c>
      <c r="B1141" s="11" t="n">
        <v>46044</v>
      </c>
      <c r="C1141" s="10" t="inlineStr">
        <is>
          <t>APPLE STORER 335 R 335 BATH</t>
        </is>
      </c>
      <c r="D1141" s="10">
        <f>IFERROR(INDEX('Review Items'!$D:$D,MATCH(C1141,'Review Items'!$B:$B,0)),IFERROR(INDEX('Rule Updates'!$B:$B,MATCH(C1141,'Rule Updates'!$A:$A,0)),"Uncategorised"))</f>
        <v/>
      </c>
      <c r="E1141" s="10">
        <f>IFERROR(INDEX('Review Items'!$E:$E,MATCH(C1141,'Review Items'!$B:$B,0)),IFERROR(INDEX('Rule Updates'!$C:$C,MATCH(C1141,'Rule Updates'!$A:$A,0)),"Review"))</f>
        <v/>
      </c>
      <c r="F1141" s="12" t="n">
        <v>99</v>
      </c>
      <c r="G1141" s="12" t="n">
        <v>-1039.15</v>
      </c>
      <c r="H1141" s="10" t="n">
        <v>3</v>
      </c>
      <c r="I1141" s="10">
        <f>IF(OR(D1141="Uncategorised",E1141=""),"Check","")</f>
        <v/>
      </c>
    </row>
    <row r="1142">
      <c r="A1142" s="10" t="inlineStr">
        <is>
          <t>Amex Jan-2026</t>
        </is>
      </c>
      <c r="B1142" s="11" t="n">
        <v>46044</v>
      </c>
      <c r="C1142" s="10" t="inlineStr">
        <is>
          <t>FDR.C.SANCHES II LIS BOA</t>
        </is>
      </c>
      <c r="D1142" s="10">
        <f>IFERROR(INDEX('Review Items'!$D:$D,MATCH(C1142,'Review Items'!$B:$B,0)),IFERROR(INDEX('Rule Updates'!$B:$B,MATCH(C1142,'Rule Updates'!$A:$A,0)),"Uncategorised"))</f>
        <v/>
      </c>
      <c r="E1142" s="10">
        <f>IFERROR(INDEX('Review Items'!$E:$E,MATCH(C1142,'Review Items'!$B:$B,0)),IFERROR(INDEX('Rule Updates'!$C:$C,MATCH(C1142,'Rule Updates'!$A:$A,0)),"Review"))</f>
        <v/>
      </c>
      <c r="F1142" s="12" t="n">
        <v>50536</v>
      </c>
      <c r="G1142" s="12" t="n">
        <v>4717.47</v>
      </c>
      <c r="H1142" s="10" t="n">
        <v>4</v>
      </c>
      <c r="I1142" s="10">
        <f>IF(OR(D1142="Uncategorised",E1142=""),"Check","")</f>
        <v/>
      </c>
    </row>
    <row r="1143">
      <c r="A1143" s="10" t="inlineStr">
        <is>
          <t>Amex Jan-2026</t>
        </is>
      </c>
      <c r="B1143" s="11" t="n">
        <v>46044</v>
      </c>
      <c r="C1143" s="10" t="inlineStr">
        <is>
          <t>U BER TRIP HTTPS : //HELP.U B</t>
        </is>
      </c>
      <c r="D1143" s="10">
        <f>IFERROR(INDEX('Review Items'!$D:$D,MATCH(C1143,'Review Items'!$B:$B,0)),IFERROR(INDEX('Rule Updates'!$B:$B,MATCH(C1143,'Rule Updates'!$A:$A,0)),"Uncategorised"))</f>
        <v/>
      </c>
      <c r="E1143" s="10">
        <f>IFERROR(INDEX('Review Items'!$E:$E,MATCH(C1143,'Review Items'!$B:$B,0)),IFERROR(INDEX('Rule Updates'!$C:$C,MATCH(C1143,'Rule Updates'!$A:$A,0)),"Review"))</f>
        <v/>
      </c>
      <c r="F1143" s="12" t="n">
        <v>1398</v>
      </c>
      <c r="G1143" s="12" t="n">
        <v>130.59</v>
      </c>
      <c r="H1143" s="10" t="n">
        <v>3</v>
      </c>
      <c r="I1143" s="10">
        <f>IF(OR(D1143="Uncategorised",E1143=""),"Check","")</f>
        <v/>
      </c>
    </row>
    <row r="1144">
      <c r="A1144" s="10" t="inlineStr">
        <is>
          <t>Amex Jan-2026</t>
        </is>
      </c>
      <c r="B1144" s="11" t="n">
        <v>46044</v>
      </c>
      <c r="C1144" s="10" t="inlineStr">
        <is>
          <t>U BER TRIP HTTPS : //HELP.U B</t>
        </is>
      </c>
      <c r="D1144" s="10">
        <f>IFERROR(INDEX('Review Items'!$D:$D,MATCH(C1144,'Review Items'!$B:$B,0)),IFERROR(INDEX('Rule Updates'!$B:$B,MATCH(C1144,'Rule Updates'!$A:$A,0)),"Uncategorised"))</f>
        <v/>
      </c>
      <c r="E1144" s="10">
        <f>IFERROR(INDEX('Review Items'!$E:$E,MATCH(C1144,'Review Items'!$B:$B,0)),IFERROR(INDEX('Rule Updates'!$C:$C,MATCH(C1144,'Rule Updates'!$A:$A,0)),"Review"))</f>
        <v/>
      </c>
      <c r="F1144" s="12" t="n">
        <v>100</v>
      </c>
      <c r="G1144" s="12" t="n">
        <v>9.300000000000001</v>
      </c>
      <c r="H1144" s="10" t="n">
        <v>3</v>
      </c>
      <c r="I1144" s="10">
        <f>IF(OR(D1144="Uncategorised",E1144=""),"Check","")</f>
        <v/>
      </c>
    </row>
    <row r="1145">
      <c r="A1145" s="10" t="inlineStr">
        <is>
          <t>Amex Jan-2026</t>
        </is>
      </c>
      <c r="B1145" s="11" t="n">
        <v>46045</v>
      </c>
      <c r="C1145" s="10" t="inlineStr">
        <is>
          <t>351 LIS BOA LIS BOA</t>
        </is>
      </c>
      <c r="D1145" s="10">
        <f>IFERROR(INDEX('Review Items'!$D:$D,MATCH(C1145,'Review Items'!$B:$B,0)),IFERROR(INDEX('Rule Updates'!$B:$B,MATCH(C1145,'Rule Updates'!$A:$A,0)),"Uncategorised"))</f>
        <v/>
      </c>
      <c r="E1145" s="10">
        <f>IFERROR(INDEX('Review Items'!$E:$E,MATCH(C1145,'Review Items'!$B:$B,0)),IFERROR(INDEX('Rule Updates'!$C:$C,MATCH(C1145,'Rule Updates'!$A:$A,0)),"Review"))</f>
        <v/>
      </c>
      <c r="F1145" s="12" t="n">
        <v>99800</v>
      </c>
      <c r="G1145" s="12" t="n">
        <v>9316.190000000001</v>
      </c>
      <c r="H1145" s="10" t="n">
        <v>4</v>
      </c>
      <c r="I1145" s="10">
        <f>IF(OR(D1145="Uncategorised",E1145=""),"Check","")</f>
        <v/>
      </c>
    </row>
    <row r="1146">
      <c r="A1146" s="10" t="inlineStr">
        <is>
          <t>Amex Jan-2026</t>
        </is>
      </c>
      <c r="B1146" s="11" t="n">
        <v>46045</v>
      </c>
      <c r="C1146" s="10" t="inlineStr">
        <is>
          <t>U BER TRIP HTTPS : //HELP.U B</t>
        </is>
      </c>
      <c r="D1146" s="10">
        <f>IFERROR(INDEX('Review Items'!$D:$D,MATCH(C1146,'Review Items'!$B:$B,0)),IFERROR(INDEX('Rule Updates'!$B:$B,MATCH(C1146,'Rule Updates'!$A:$A,0)),"Uncategorised"))</f>
        <v/>
      </c>
      <c r="E1146" s="10">
        <f>IFERROR(INDEX('Review Items'!$E:$E,MATCH(C1146,'Review Items'!$B:$B,0)),IFERROR(INDEX('Rule Updates'!$C:$C,MATCH(C1146,'Rule Updates'!$A:$A,0)),"Review"))</f>
        <v/>
      </c>
      <c r="F1146" s="12" t="n">
        <v>1098</v>
      </c>
      <c r="G1146" s="12" t="n">
        <v>102.53</v>
      </c>
      <c r="H1146" s="10" t="n">
        <v>3</v>
      </c>
      <c r="I1146" s="10">
        <f>IF(OR(D1146="Uncategorised",E1146=""),"Check","")</f>
        <v/>
      </c>
    </row>
    <row r="1147">
      <c r="A1147" s="10" t="inlineStr">
        <is>
          <t>Amex Jan-2026</t>
        </is>
      </c>
      <c r="B1147" s="11" t="n">
        <v>46045</v>
      </c>
      <c r="C1147" s="10" t="inlineStr">
        <is>
          <t>U BER TRIP HTTPS : //HELP.U B</t>
        </is>
      </c>
      <c r="D1147" s="10">
        <f>IFERROR(INDEX('Review Items'!$D:$D,MATCH(C1147,'Review Items'!$B:$B,0)),IFERROR(INDEX('Rule Updates'!$B:$B,MATCH(C1147,'Rule Updates'!$A:$A,0)),"Uncategorised"))</f>
        <v/>
      </c>
      <c r="E1147" s="10">
        <f>IFERROR(INDEX('Review Items'!$E:$E,MATCH(C1147,'Review Items'!$B:$B,0)),IFERROR(INDEX('Rule Updates'!$C:$C,MATCH(C1147,'Rule Updates'!$A:$A,0)),"Review"))</f>
        <v/>
      </c>
      <c r="F1147" s="12" t="n">
        <v>200</v>
      </c>
      <c r="G1147" s="12" t="n">
        <v>18.69</v>
      </c>
      <c r="H1147" s="10" t="n">
        <v>3</v>
      </c>
      <c r="I1147" s="10">
        <f>IF(OR(D1147="Uncategorised",E1147=""),"Check","")</f>
        <v/>
      </c>
    </row>
    <row r="1148">
      <c r="A1148" s="10" t="inlineStr">
        <is>
          <t>Amex Jan-2026</t>
        </is>
      </c>
      <c r="B1148" s="11" t="n">
        <v>46046</v>
      </c>
      <c r="C1148" s="10" t="inlineStr">
        <is>
          <t>ACH BRITO &amp; CA SA VILA DO CONDE</t>
        </is>
      </c>
      <c r="D1148" s="10">
        <f>IFERROR(INDEX('Review Items'!$D:$D,MATCH(C1148,'Review Items'!$B:$B,0)),IFERROR(INDEX('Rule Updates'!$B:$B,MATCH(C1148,'Rule Updates'!$A:$A,0)),"Uncategorised"))</f>
        <v/>
      </c>
      <c r="E1148" s="10">
        <f>IFERROR(INDEX('Review Items'!$E:$E,MATCH(C1148,'Review Items'!$B:$B,0)),IFERROR(INDEX('Rule Updates'!$C:$C,MATCH(C1148,'Rule Updates'!$A:$A,0)),"Review"))</f>
        <v/>
      </c>
      <c r="F1148" s="12" t="n">
        <v>8200</v>
      </c>
      <c r="G1148" s="12" t="n">
        <v>767.25</v>
      </c>
      <c r="H1148" s="10" t="n">
        <v>4</v>
      </c>
      <c r="I1148" s="10">
        <f>IF(OR(D1148="Uncategorised",E1148=""),"Check","")</f>
        <v/>
      </c>
    </row>
    <row r="1149">
      <c r="A1149" s="10" t="inlineStr">
        <is>
          <t>Amex Jan-2026</t>
        </is>
      </c>
      <c r="B1149" s="11" t="n">
        <v>46046</v>
      </c>
      <c r="C1149" s="10" t="inlineStr">
        <is>
          <t>GARRAFEIRA NACIONAL LIS BOA</t>
        </is>
      </c>
      <c r="D1149" s="10">
        <f>IFERROR(INDEX('Review Items'!$D:$D,MATCH(C1149,'Review Items'!$B:$B,0)),IFERROR(INDEX('Rule Updates'!$B:$B,MATCH(C1149,'Rule Updates'!$A:$A,0)),"Uncategorised"))</f>
        <v/>
      </c>
      <c r="E1149" s="10">
        <f>IFERROR(INDEX('Review Items'!$E:$E,MATCH(C1149,'Review Items'!$B:$B,0)),IFERROR(INDEX('Rule Updates'!$C:$C,MATCH(C1149,'Rule Updates'!$A:$A,0)),"Review"))</f>
        <v/>
      </c>
      <c r="F1149" s="12" t="n">
        <v>4.334</v>
      </c>
      <c r="G1149" s="12" t="n">
        <v>40560.61</v>
      </c>
      <c r="H1149" s="10" t="n">
        <v>4</v>
      </c>
      <c r="I1149" s="10">
        <f>IF(OR(D1149="Uncategorised",E1149=""),"Check","")</f>
        <v/>
      </c>
    </row>
    <row r="1150">
      <c r="A1150" s="10" t="inlineStr">
        <is>
          <t>Amex Jan-2026</t>
        </is>
      </c>
      <c r="B1150" s="11" t="n">
        <v>46046</v>
      </c>
      <c r="C1150" s="10" t="inlineStr">
        <is>
          <t>U BER TRIP HTTPS : //HELP.U B</t>
        </is>
      </c>
      <c r="D1150" s="10">
        <f>IFERROR(INDEX('Review Items'!$D:$D,MATCH(C1150,'Review Items'!$B:$B,0)),IFERROR(INDEX('Rule Updates'!$B:$B,MATCH(C1150,'Rule Updates'!$A:$A,0)),"Uncategorised"))</f>
        <v/>
      </c>
      <c r="E1150" s="10">
        <f>IFERROR(INDEX('Review Items'!$E:$E,MATCH(C1150,'Review Items'!$B:$B,0)),IFERROR(INDEX('Rule Updates'!$C:$C,MATCH(C1150,'Rule Updates'!$A:$A,0)),"Review"))</f>
        <v/>
      </c>
      <c r="F1150" s="12" t="n">
        <v>598</v>
      </c>
      <c r="G1150" s="12" t="n">
        <v>55.92</v>
      </c>
      <c r="H1150" s="10" t="n">
        <v>3</v>
      </c>
      <c r="I1150" s="10">
        <f>IF(OR(D1150="Uncategorised",E1150=""),"Check","")</f>
        <v/>
      </c>
    </row>
    <row r="1151">
      <c r="A1151" s="10" t="inlineStr">
        <is>
          <t>Amex Jan-2026</t>
        </is>
      </c>
      <c r="B1151" s="11" t="n">
        <v>46047</v>
      </c>
      <c r="C1151" s="10" t="inlineStr">
        <is>
          <t>U BER TRIP HTTPS : //HELP.U B</t>
        </is>
      </c>
      <c r="D1151" s="10">
        <f>IFERROR(INDEX('Review Items'!$D:$D,MATCH(C1151,'Review Items'!$B:$B,0)),IFERROR(INDEX('Rule Updates'!$B:$B,MATCH(C1151,'Rule Updates'!$A:$A,0)),"Uncategorised"))</f>
        <v/>
      </c>
      <c r="E1151" s="10">
        <f>IFERROR(INDEX('Review Items'!$E:$E,MATCH(C1151,'Review Items'!$B:$B,0)),IFERROR(INDEX('Rule Updates'!$C:$C,MATCH(C1151,'Rule Updates'!$A:$A,0)),"Review"))</f>
        <v/>
      </c>
      <c r="F1151" s="12" t="n">
        <v>999</v>
      </c>
      <c r="G1151" s="12" t="n">
        <v>93.47</v>
      </c>
      <c r="H1151" s="10" t="n">
        <v>3</v>
      </c>
      <c r="I1151" s="10">
        <f>IF(OR(D1151="Uncategorised",E1151=""),"Check","")</f>
        <v/>
      </c>
    </row>
    <row r="1152">
      <c r="A1152" s="10" t="inlineStr">
        <is>
          <t>Amex Feb-2026</t>
        </is>
      </c>
      <c r="B1152" s="11" t="n">
        <v>46049</v>
      </c>
      <c r="C1152" s="10" t="inlineStr">
        <is>
          <t>IL MATRICIANO LISBOA</t>
        </is>
      </c>
      <c r="D1152" s="10">
        <f>IFERROR(INDEX('Review Items'!$D:$D,MATCH(C1152,'Review Items'!$B:$B,0)),IFERROR(INDEX('Rule Updates'!$B:$B,MATCH(C1152,'Rule Updates'!$A:$A,0)),"Uncategorised"))</f>
        <v/>
      </c>
      <c r="E1152" s="10">
        <f>IFERROR(INDEX('Review Items'!$E:$E,MATCH(C1152,'Review Items'!$B:$B,0)),IFERROR(INDEX('Rule Updates'!$C:$C,MATCH(C1152,'Rule Updates'!$A:$A,0)),"Review"))</f>
        <v/>
      </c>
      <c r="F1152" s="12" t="n">
        <v>18400</v>
      </c>
      <c r="G1152" s="12" t="n">
        <v>1753.06</v>
      </c>
      <c r="H1152" s="10" t="n">
        <v>6</v>
      </c>
      <c r="I1152" s="10">
        <f>IF(OR(D1152="Uncategorised",E1152=""),"Check","")</f>
        <v/>
      </c>
    </row>
    <row r="1153">
      <c r="A1153" s="10" t="inlineStr">
        <is>
          <t>Amex Feb-2026</t>
        </is>
      </c>
      <c r="B1153" s="11" t="n">
        <v>46049</v>
      </c>
      <c r="C1153" s="10" t="inlineStr">
        <is>
          <t>JNC QUOI DELI COMPORT ALC Á CER DO SAL</t>
        </is>
      </c>
      <c r="D1153" s="10">
        <f>IFERROR(INDEX('Review Items'!$D:$D,MATCH(C1153,'Review Items'!$B:$B,0)),IFERROR(INDEX('Rule Updates'!$B:$B,MATCH(C1153,'Rule Updates'!$A:$A,0)),"Uncategorised"))</f>
        <v/>
      </c>
      <c r="E1153" s="10">
        <f>IFERROR(INDEX('Review Items'!$E:$E,MATCH(C1153,'Review Items'!$B:$B,0)),IFERROR(INDEX('Rule Updates'!$C:$C,MATCH(C1153,'Rule Updates'!$A:$A,0)),"Review"))</f>
        <v/>
      </c>
      <c r="F1153" s="12" t="n">
        <v>39864</v>
      </c>
      <c r="G1153" s="12" t="n">
        <v>3772.31</v>
      </c>
      <c r="H1153" s="10" t="n">
        <v>6</v>
      </c>
      <c r="I1153" s="10">
        <f>IF(OR(D1153="Uncategorised",E1153=""),"Check","")</f>
        <v/>
      </c>
    </row>
    <row r="1154">
      <c r="A1154" s="10" t="inlineStr">
        <is>
          <t>Amex Feb-2026</t>
        </is>
      </c>
      <c r="B1154" s="11" t="n">
        <v>46049</v>
      </c>
      <c r="C1154" s="10" t="inlineStr">
        <is>
          <t>SIXT PORTUGAL RAC _ 307 _ PPAREDES</t>
        </is>
      </c>
      <c r="D1154" s="10">
        <f>IFERROR(INDEX('Review Items'!$D:$D,MATCH(C1154,'Review Items'!$B:$B,0)),IFERROR(INDEX('Rule Updates'!$B:$B,MATCH(C1154,'Rule Updates'!$A:$A,0)),"Uncategorised"))</f>
        <v/>
      </c>
      <c r="E1154" s="10">
        <f>IFERROR(INDEX('Review Items'!$E:$E,MATCH(C1154,'Review Items'!$B:$B,0)),IFERROR(INDEX('Rule Updates'!$C:$C,MATCH(C1154,'Rule Updates'!$A:$A,0)),"Review"))</f>
        <v/>
      </c>
      <c r="F1154" s="12" t="n">
        <v>14897</v>
      </c>
      <c r="G1154" s="12" t="n">
        <v>1409.67</v>
      </c>
      <c r="H1154" s="10" t="n">
        <v>6</v>
      </c>
      <c r="I1154" s="10">
        <f>IF(OR(D1154="Uncategorised",E1154=""),"Check","")</f>
        <v/>
      </c>
    </row>
    <row r="1155">
      <c r="A1155" s="10" t="inlineStr">
        <is>
          <t>Amex Feb-2026</t>
        </is>
      </c>
      <c r="B1155" s="11" t="n">
        <v>46050</v>
      </c>
      <c r="C1155" s="10" t="inlineStr">
        <is>
          <t>AMZNMKTPLACE* W U 4 K 1 4 PB 5 AMA ZON.CO.UK</t>
        </is>
      </c>
      <c r="D1155" s="10">
        <f>IFERROR(INDEX('Review Items'!$D:$D,MATCH(C1155,'Review Items'!$B:$B,0)),IFERROR(INDEX('Rule Updates'!$B:$B,MATCH(C1155,'Rule Updates'!$A:$A,0)),"Uncategorised"))</f>
        <v/>
      </c>
      <c r="E1155" s="10">
        <f>IFERROR(INDEX('Review Items'!$E:$E,MATCH(C1155,'Review Items'!$B:$B,0)),IFERROR(INDEX('Rule Updates'!$C:$C,MATCH(C1155,'Rule Updates'!$A:$A,0)),"Review"))</f>
        <v/>
      </c>
      <c r="F1155" s="10" t="n"/>
      <c r="G1155" s="12" t="n">
        <v>2421.99</v>
      </c>
      <c r="H1155" s="10" t="n">
        <v>2</v>
      </c>
      <c r="I1155" s="10">
        <f>IF(OR(D1155="Uncategorised",E1155=""),"Check","")</f>
        <v/>
      </c>
    </row>
    <row r="1156">
      <c r="A1156" s="10" t="inlineStr">
        <is>
          <t>Amex Feb-2026</t>
        </is>
      </c>
      <c r="B1156" s="11" t="n">
        <v>46050</v>
      </c>
      <c r="C1156" s="10" t="inlineStr">
        <is>
          <t>CANALHA CASCAIS</t>
        </is>
      </c>
      <c r="D1156" s="10">
        <f>IFERROR(INDEX('Review Items'!$D:$D,MATCH(C1156,'Review Items'!$B:$B,0)),IFERROR(INDEX('Rule Updates'!$B:$B,MATCH(C1156,'Rule Updates'!$A:$A,0)),"Uncategorised"))</f>
        <v/>
      </c>
      <c r="E1156" s="10">
        <f>IFERROR(INDEX('Review Items'!$E:$E,MATCH(C1156,'Review Items'!$B:$B,0)),IFERROR(INDEX('Rule Updates'!$C:$C,MATCH(C1156,'Rule Updates'!$A:$A,0)),"Review"))</f>
        <v/>
      </c>
      <c r="F1156" s="12" t="n">
        <v>42824</v>
      </c>
      <c r="G1156" s="12" t="n">
        <v>4091.64</v>
      </c>
      <c r="H1156" s="10" t="n">
        <v>6</v>
      </c>
      <c r="I1156" s="10">
        <f>IF(OR(D1156="Uncategorised",E1156=""),"Check","")</f>
        <v/>
      </c>
    </row>
    <row r="1157">
      <c r="A1157" s="10" t="inlineStr">
        <is>
          <t>Amex Feb-2026</t>
        </is>
      </c>
      <c r="B1157" s="11" t="n">
        <v>46050</v>
      </c>
      <c r="C1157" s="10" t="inlineStr">
        <is>
          <t>SP EIGHTH DAY SKINCA SANTA ANA</t>
        </is>
      </c>
      <c r="D1157" s="10">
        <f>IFERROR(INDEX('Review Items'!$D:$D,MATCH(C1157,'Review Items'!$B:$B,0)),IFERROR(INDEX('Rule Updates'!$B:$B,MATCH(C1157,'Rule Updates'!$A:$A,0)),"Uncategorised"))</f>
        <v/>
      </c>
      <c r="E1157" s="10">
        <f>IFERROR(INDEX('Review Items'!$E:$E,MATCH(C1157,'Review Items'!$B:$B,0)),IFERROR(INDEX('Rule Updates'!$C:$C,MATCH(C1157,'Rule Updates'!$A:$A,0)),"Review"))</f>
        <v/>
      </c>
      <c r="F1157" s="12" t="n">
        <v>1053.6</v>
      </c>
      <c r="G1157" s="12" t="n">
        <v>8385.66</v>
      </c>
      <c r="H1157" s="10" t="n">
        <v>1</v>
      </c>
      <c r="I1157" s="10">
        <f>IF(OR(D1157="Uncategorised",E1157=""),"Check","")</f>
        <v/>
      </c>
    </row>
    <row r="1158">
      <c r="A1158" s="10" t="inlineStr">
        <is>
          <t>Amex Feb-2026</t>
        </is>
      </c>
      <c r="B1158" s="11" t="n">
        <v>46050</v>
      </c>
      <c r="C1158" s="10" t="inlineStr">
        <is>
          <t>SP EIGHTH DAY SKINCA SANTA ANA</t>
        </is>
      </c>
      <c r="D1158" s="10">
        <f>IFERROR(INDEX('Review Items'!$D:$D,MATCH(C1158,'Review Items'!$B:$B,0)),IFERROR(INDEX('Rule Updates'!$B:$B,MATCH(C1158,'Rule Updates'!$A:$A,0)),"Uncategorised"))</f>
        <v/>
      </c>
      <c r="E1158" s="10">
        <f>IFERROR(INDEX('Review Items'!$E:$E,MATCH(C1158,'Review Items'!$B:$B,0)),IFERROR(INDEX('Rule Updates'!$C:$C,MATCH(C1158,'Rule Updates'!$A:$A,0)),"Review"))</f>
        <v/>
      </c>
      <c r="F1158" s="12" t="n">
        <v>581.6799999999999</v>
      </c>
      <c r="G1158" s="12" t="n">
        <v>4629.62</v>
      </c>
      <c r="H1158" s="10" t="n">
        <v>1</v>
      </c>
      <c r="I1158" s="10">
        <f>IF(OR(D1158="Uncategorised",E1158=""),"Check","")</f>
        <v/>
      </c>
    </row>
    <row r="1159">
      <c r="A1159" s="10" t="inlineStr">
        <is>
          <t>Amex Feb-2026</t>
        </is>
      </c>
      <c r="B1159" s="11" t="n">
        <v>46050</v>
      </c>
      <c r="C1159" s="10" t="inlineStr">
        <is>
          <t>SP EIGHTH DAY SKINCA SANTA ANA</t>
        </is>
      </c>
      <c r="D1159" s="10">
        <f>IFERROR(INDEX('Review Items'!$D:$D,MATCH(C1159,'Review Items'!$B:$B,0)),IFERROR(INDEX('Rule Updates'!$B:$B,MATCH(C1159,'Rule Updates'!$A:$A,0)),"Uncategorised"))</f>
        <v/>
      </c>
      <c r="E1159" s="10">
        <f>IFERROR(INDEX('Review Items'!$E:$E,MATCH(C1159,'Review Items'!$B:$B,0)),IFERROR(INDEX('Rule Updates'!$C:$C,MATCH(C1159,'Rule Updates'!$A:$A,0)),"Review"))</f>
        <v/>
      </c>
      <c r="F1159" s="12" t="n">
        <v>76.83</v>
      </c>
      <c r="G1159" s="12" t="n">
        <v>611.49</v>
      </c>
      <c r="H1159" s="10" t="n">
        <v>2</v>
      </c>
      <c r="I1159" s="10">
        <f>IF(OR(D1159="Uncategorised",E1159=""),"Check","")</f>
        <v/>
      </c>
    </row>
    <row r="1160">
      <c r="A1160" s="10" t="inlineStr">
        <is>
          <t>Amex Feb-2026</t>
        </is>
      </c>
      <c r="B1160" s="11" t="n">
        <v>46050</v>
      </c>
      <c r="C1160" s="10" t="inlineStr">
        <is>
          <t>UBER TRIP HTTPS://HELP.UB</t>
        </is>
      </c>
      <c r="D1160" s="10">
        <f>IFERROR(INDEX('Review Items'!$D:$D,MATCH(C1160,'Review Items'!$B:$B,0)),IFERROR(INDEX('Rule Updates'!$B:$B,MATCH(C1160,'Rule Updates'!$A:$A,0)),"Uncategorised"))</f>
        <v/>
      </c>
      <c r="E1160" s="10">
        <f>IFERROR(INDEX('Review Items'!$E:$E,MATCH(C1160,'Review Items'!$B:$B,0)),IFERROR(INDEX('Rule Updates'!$C:$C,MATCH(C1160,'Rule Updates'!$A:$A,0)),"Review"))</f>
        <v/>
      </c>
      <c r="F1160" s="12" t="n">
        <v>1099</v>
      </c>
      <c r="G1160" s="12" t="n">
        <v>104.71</v>
      </c>
      <c r="H1160" s="10" t="n">
        <v>1</v>
      </c>
      <c r="I1160" s="10">
        <f>IF(OR(D1160="Uncategorised",E1160=""),"Check","")</f>
        <v/>
      </c>
    </row>
    <row r="1161">
      <c r="A1161" s="10" t="inlineStr">
        <is>
          <t>Amex Feb-2026</t>
        </is>
      </c>
      <c r="B1161" s="11" t="n">
        <v>46050</v>
      </c>
      <c r="C1161" s="10" t="inlineStr">
        <is>
          <t>UBER TRIP HTTPS://HELP.UB</t>
        </is>
      </c>
      <c r="D1161" s="10">
        <f>IFERROR(INDEX('Review Items'!$D:$D,MATCH(C1161,'Review Items'!$B:$B,0)),IFERROR(INDEX('Rule Updates'!$B:$B,MATCH(C1161,'Rule Updates'!$A:$A,0)),"Uncategorised"))</f>
        <v/>
      </c>
      <c r="E1161" s="10">
        <f>IFERROR(INDEX('Review Items'!$E:$E,MATCH(C1161,'Review Items'!$B:$B,0)),IFERROR(INDEX('Rule Updates'!$C:$C,MATCH(C1161,'Rule Updates'!$A:$A,0)),"Review"))</f>
        <v/>
      </c>
      <c r="F1161" s="12" t="n">
        <v>1699</v>
      </c>
      <c r="G1161" s="12" t="n">
        <v>161.84</v>
      </c>
      <c r="H1161" s="10" t="n">
        <v>1</v>
      </c>
      <c r="I1161" s="10">
        <f>IF(OR(D1161="Uncategorised",E1161=""),"Check","")</f>
        <v/>
      </c>
    </row>
    <row r="1162">
      <c r="A1162" s="10" t="inlineStr">
        <is>
          <t>Amex Feb-2026</t>
        </is>
      </c>
      <c r="B1162" s="11" t="n">
        <v>46050</v>
      </c>
      <c r="C1162" s="10" t="inlineStr">
        <is>
          <t>UBER TRIP HTTPS://HELP.UB</t>
        </is>
      </c>
      <c r="D1162" s="10">
        <f>IFERROR(INDEX('Review Items'!$D:$D,MATCH(C1162,'Review Items'!$B:$B,0)),IFERROR(INDEX('Rule Updates'!$B:$B,MATCH(C1162,'Rule Updates'!$A:$A,0)),"Uncategorised"))</f>
        <v/>
      </c>
      <c r="E1162" s="10">
        <f>IFERROR(INDEX('Review Items'!$E:$E,MATCH(C1162,'Review Items'!$B:$B,0)),IFERROR(INDEX('Rule Updates'!$C:$C,MATCH(C1162,'Rule Updates'!$A:$A,0)),"Review"))</f>
        <v/>
      </c>
      <c r="F1162" s="12" t="n">
        <v>100</v>
      </c>
      <c r="G1162" s="12" t="n">
        <v>9.539999999999999</v>
      </c>
      <c r="H1162" s="10" t="n">
        <v>1</v>
      </c>
      <c r="I1162" s="10">
        <f>IF(OR(D1162="Uncategorised",E1162=""),"Check","")</f>
        <v/>
      </c>
    </row>
    <row r="1163">
      <c r="A1163" s="10" t="inlineStr">
        <is>
          <t>Amex Feb-2026</t>
        </is>
      </c>
      <c r="B1163" s="11" t="n">
        <v>46050</v>
      </c>
      <c r="C1163" s="10" t="inlineStr">
        <is>
          <t>UBER TRIP HTTPS://HELP.UB</t>
        </is>
      </c>
      <c r="D1163" s="10">
        <f>IFERROR(INDEX('Review Items'!$D:$D,MATCH(C1163,'Review Items'!$B:$B,0)),IFERROR(INDEX('Rule Updates'!$B:$B,MATCH(C1163,'Rule Updates'!$A:$A,0)),"Uncategorised"))</f>
        <v/>
      </c>
      <c r="E1163" s="10">
        <f>IFERROR(INDEX('Review Items'!$E:$E,MATCH(C1163,'Review Items'!$B:$B,0)),IFERROR(INDEX('Rule Updates'!$C:$C,MATCH(C1163,'Rule Updates'!$A:$A,0)),"Review"))</f>
        <v/>
      </c>
      <c r="F1163" s="12" t="n">
        <v>100</v>
      </c>
      <c r="G1163" s="12" t="n">
        <v>9.539999999999999</v>
      </c>
      <c r="H1163" s="10" t="n">
        <v>2</v>
      </c>
      <c r="I1163" s="10">
        <f>IF(OR(D1163="Uncategorised",E1163=""),"Check","")</f>
        <v/>
      </c>
    </row>
    <row r="1164">
      <c r="A1164" s="10" t="inlineStr">
        <is>
          <t>Amex Feb-2026</t>
        </is>
      </c>
      <c r="B1164" s="11" t="n">
        <v>46051</v>
      </c>
      <c r="C1164" s="10" t="inlineStr">
        <is>
          <t>UBER TRIP HTTPS://HELP.UB</t>
        </is>
      </c>
      <c r="D1164" s="10">
        <f>IFERROR(INDEX('Review Items'!$D:$D,MATCH(C1164,'Review Items'!$B:$B,0)),IFERROR(INDEX('Rule Updates'!$B:$B,MATCH(C1164,'Rule Updates'!$A:$A,0)),"Uncategorised"))</f>
        <v/>
      </c>
      <c r="E1164" s="10">
        <f>IFERROR(INDEX('Review Items'!$E:$E,MATCH(C1164,'Review Items'!$B:$B,0)),IFERROR(INDEX('Rule Updates'!$C:$C,MATCH(C1164,'Rule Updates'!$A:$A,0)),"Review"))</f>
        <v/>
      </c>
      <c r="F1164" s="12" t="n">
        <v>1199</v>
      </c>
      <c r="G1164" s="12" t="n">
        <v>114.59</v>
      </c>
      <c r="H1164" s="10" t="n">
        <v>2</v>
      </c>
      <c r="I1164" s="10">
        <f>IF(OR(D1164="Uncategorised",E1164=""),"Check","")</f>
        <v/>
      </c>
    </row>
    <row r="1165">
      <c r="A1165" s="10" t="inlineStr">
        <is>
          <t>Amex Feb-2026</t>
        </is>
      </c>
      <c r="B1165" s="11" t="n">
        <v>46052</v>
      </c>
      <c r="C1165" s="10" t="inlineStr">
        <is>
          <t>SUMUP*BIOCOL LABS LISBOA</t>
        </is>
      </c>
      <c r="D1165" s="10">
        <f>IFERROR(INDEX('Review Items'!$D:$D,MATCH(C1165,'Review Items'!$B:$B,0)),IFERROR(INDEX('Rule Updates'!$B:$B,MATCH(C1165,'Rule Updates'!$A:$A,0)),"Uncategorised"))</f>
        <v/>
      </c>
      <c r="E1165" s="10">
        <f>IFERROR(INDEX('Review Items'!$E:$E,MATCH(C1165,'Review Items'!$B:$B,0)),IFERROR(INDEX('Rule Updates'!$C:$C,MATCH(C1165,'Rule Updates'!$A:$A,0)),"Review"))</f>
        <v/>
      </c>
      <c r="F1165" s="12" t="n">
        <v>9190</v>
      </c>
      <c r="G1165" s="12" t="n">
        <v>876.9400000000001</v>
      </c>
      <c r="H1165" s="10" t="n">
        <v>2</v>
      </c>
      <c r="I1165" s="10">
        <f>IF(OR(D1165="Uncategorised",E1165=""),"Check","")</f>
        <v/>
      </c>
    </row>
    <row r="1166">
      <c r="A1166" s="10" t="inlineStr">
        <is>
          <t>Amex Feb-2026</t>
        </is>
      </c>
      <c r="B1166" s="11" t="n">
        <v>46052</v>
      </c>
      <c r="C1166" s="10" t="inlineStr">
        <is>
          <t>SUMUP*BIOCOL LABS LISBOA</t>
        </is>
      </c>
      <c r="D1166" s="10">
        <f>IFERROR(INDEX('Review Items'!$D:$D,MATCH(C1166,'Review Items'!$B:$B,0)),IFERROR(INDEX('Rule Updates'!$B:$B,MATCH(C1166,'Rule Updates'!$A:$A,0)),"Uncategorised"))</f>
        <v/>
      </c>
      <c r="E1166" s="10">
        <f>IFERROR(INDEX('Review Items'!$E:$E,MATCH(C1166,'Review Items'!$B:$B,0)),IFERROR(INDEX('Rule Updates'!$C:$C,MATCH(C1166,'Rule Updates'!$A:$A,0)),"Review"))</f>
        <v/>
      </c>
      <c r="F1166" s="12" t="n">
        <v>2395</v>
      </c>
      <c r="G1166" s="12" t="n">
        <v>228.55</v>
      </c>
      <c r="H1166" s="10" t="n">
        <v>2</v>
      </c>
      <c r="I1166" s="10">
        <f>IF(OR(D1166="Uncategorised",E1166=""),"Check","")</f>
        <v/>
      </c>
    </row>
    <row r="1167">
      <c r="A1167" s="10" t="inlineStr">
        <is>
          <t>Amex Feb-2026</t>
        </is>
      </c>
      <c r="B1167" s="11" t="n">
        <v>46052</v>
      </c>
      <c r="C1167" s="10" t="inlineStr">
        <is>
          <t>UBER TRIP HTTPS://HELP.UB</t>
        </is>
      </c>
      <c r="D1167" s="10">
        <f>IFERROR(INDEX('Review Items'!$D:$D,MATCH(C1167,'Review Items'!$B:$B,0)),IFERROR(INDEX('Rule Updates'!$B:$B,MATCH(C1167,'Rule Updates'!$A:$A,0)),"Uncategorised"))</f>
        <v/>
      </c>
      <c r="E1167" s="10">
        <f>IFERROR(INDEX('Review Items'!$E:$E,MATCH(C1167,'Review Items'!$B:$B,0)),IFERROR(INDEX('Rule Updates'!$C:$C,MATCH(C1167,'Rule Updates'!$A:$A,0)),"Review"))</f>
        <v/>
      </c>
      <c r="F1167" s="12" t="n">
        <v>100</v>
      </c>
      <c r="G1167" s="12" t="n">
        <v>9.550000000000001</v>
      </c>
      <c r="H1167" s="10" t="n">
        <v>2</v>
      </c>
      <c r="I1167" s="10">
        <f>IF(OR(D1167="Uncategorised",E1167=""),"Check","")</f>
        <v/>
      </c>
    </row>
    <row r="1168">
      <c r="A1168" s="10" t="inlineStr">
        <is>
          <t>Amex Feb-2026</t>
        </is>
      </c>
      <c r="B1168" s="11" t="n">
        <v>46052</v>
      </c>
      <c r="C1168" s="10" t="inlineStr">
        <is>
          <t>UBER TRIP HTTPS://HELP.UB</t>
        </is>
      </c>
      <c r="D1168" s="10">
        <f>IFERROR(INDEX('Review Items'!$D:$D,MATCH(C1168,'Review Items'!$B:$B,0)),IFERROR(INDEX('Rule Updates'!$B:$B,MATCH(C1168,'Rule Updates'!$A:$A,0)),"Uncategorised"))</f>
        <v/>
      </c>
      <c r="E1168" s="10">
        <f>IFERROR(INDEX('Review Items'!$E:$E,MATCH(C1168,'Review Items'!$B:$B,0)),IFERROR(INDEX('Rule Updates'!$C:$C,MATCH(C1168,'Rule Updates'!$A:$A,0)),"Review"))</f>
        <v/>
      </c>
      <c r="F1168" s="12" t="n">
        <v>799</v>
      </c>
      <c r="G1168" s="12" t="n">
        <v>76.26000000000001</v>
      </c>
      <c r="H1168" s="10" t="n">
        <v>2</v>
      </c>
      <c r="I1168" s="10">
        <f>IF(OR(D1168="Uncategorised",E1168=""),"Check","")</f>
        <v/>
      </c>
    </row>
    <row r="1169">
      <c r="A1169" s="10" t="inlineStr">
        <is>
          <t>Amex Feb-2026</t>
        </is>
      </c>
      <c r="B1169" s="11" t="n">
        <v>46052</v>
      </c>
      <c r="C1169" s="10" t="inlineStr">
        <is>
          <t>UBER TRIP HTTPS://HELP.UB</t>
        </is>
      </c>
      <c r="D1169" s="10">
        <f>IFERROR(INDEX('Review Items'!$D:$D,MATCH(C1169,'Review Items'!$B:$B,0)),IFERROR(INDEX('Rule Updates'!$B:$B,MATCH(C1169,'Rule Updates'!$A:$A,0)),"Uncategorised"))</f>
        <v/>
      </c>
      <c r="E1169" s="10">
        <f>IFERROR(INDEX('Review Items'!$E:$E,MATCH(C1169,'Review Items'!$B:$B,0)),IFERROR(INDEX('Rule Updates'!$C:$C,MATCH(C1169,'Rule Updates'!$A:$A,0)),"Review"))</f>
        <v/>
      </c>
      <c r="F1169" s="12" t="n">
        <v>100</v>
      </c>
      <c r="G1169" s="12" t="n">
        <v>9.550000000000001</v>
      </c>
      <c r="H1169" s="10" t="n">
        <v>2</v>
      </c>
      <c r="I1169" s="10">
        <f>IF(OR(D1169="Uncategorised",E1169=""),"Check","")</f>
        <v/>
      </c>
    </row>
    <row r="1170">
      <c r="A1170" s="10" t="inlineStr">
        <is>
          <t>Amex Feb-2026</t>
        </is>
      </c>
      <c r="B1170" s="11" t="n">
        <v>46052</v>
      </c>
      <c r="C1170" s="10" t="inlineStr">
        <is>
          <t>WRH LK LIS STA JOANA LISBOA</t>
        </is>
      </c>
      <c r="D1170" s="10">
        <f>IFERROR(INDEX('Review Items'!$D:$D,MATCH(C1170,'Review Items'!$B:$B,0)),IFERROR(INDEX('Rule Updates'!$B:$B,MATCH(C1170,'Rule Updates'!$A:$A,0)),"Uncategorised"))</f>
        <v/>
      </c>
      <c r="E1170" s="10">
        <f>IFERROR(INDEX('Review Items'!$E:$E,MATCH(C1170,'Review Items'!$B:$B,0)),IFERROR(INDEX('Rule Updates'!$C:$C,MATCH(C1170,'Rule Updates'!$A:$A,0)),"Review"))</f>
        <v/>
      </c>
      <c r="F1170" s="12" t="n">
        <v>54890</v>
      </c>
      <c r="G1170" s="12" t="n">
        <v>5226.56</v>
      </c>
      <c r="H1170" s="10" t="n">
        <v>6</v>
      </c>
      <c r="I1170" s="10">
        <f>IF(OR(D1170="Uncategorised",E1170=""),"Check","")</f>
        <v/>
      </c>
    </row>
    <row r="1171">
      <c r="A1171" s="10" t="inlineStr">
        <is>
          <t>Amex Feb-2026</t>
        </is>
      </c>
      <c r="B1171" s="11" t="n">
        <v>46057</v>
      </c>
      <c r="C1171" s="10" t="inlineStr">
        <is>
          <t>APPLE.COM/HK HONG KONG</t>
        </is>
      </c>
      <c r="D1171" s="10">
        <f>IFERROR(INDEX('Review Items'!$D:$D,MATCH(C1171,'Review Items'!$B:$B,0)),IFERROR(INDEX('Rule Updates'!$B:$B,MATCH(C1171,'Rule Updates'!$A:$A,0)),"Uncategorised"))</f>
        <v/>
      </c>
      <c r="E1171" s="10">
        <f>IFERROR(INDEX('Review Items'!$E:$E,MATCH(C1171,'Review Items'!$B:$B,0)),IFERROR(INDEX('Rule Updates'!$C:$C,MATCH(C1171,'Rule Updates'!$A:$A,0)),"Review"))</f>
        <v/>
      </c>
      <c r="F1171" s="10" t="n"/>
      <c r="G1171" s="12" t="n">
        <v>2779</v>
      </c>
      <c r="H1171" s="10" t="n">
        <v>2</v>
      </c>
      <c r="I1171" s="10">
        <f>IF(OR(D1171="Uncategorised",E1171=""),"Check","")</f>
        <v/>
      </c>
    </row>
    <row r="1172">
      <c r="A1172" s="10" t="inlineStr">
        <is>
          <t>Amex Feb-2026</t>
        </is>
      </c>
      <c r="B1172" s="11" t="n">
        <v>46057</v>
      </c>
      <c r="C1172" s="10" t="inlineStr">
        <is>
          <t>UNI QLO HONG KONG LIMITE TSIM SHA TSUI</t>
        </is>
      </c>
      <c r="D1172" s="10">
        <f>IFERROR(INDEX('Review Items'!$D:$D,MATCH(C1172,'Review Items'!$B:$B,0)),IFERROR(INDEX('Rule Updates'!$B:$B,MATCH(C1172,'Rule Updates'!$A:$A,0)),"Uncategorised"))</f>
        <v/>
      </c>
      <c r="E1172" s="10">
        <f>IFERROR(INDEX('Review Items'!$E:$E,MATCH(C1172,'Review Items'!$B:$B,0)),IFERROR(INDEX('Rule Updates'!$C:$C,MATCH(C1172,'Rule Updates'!$A:$A,0)),"Review"))</f>
        <v/>
      </c>
      <c r="F1172" s="10" t="n"/>
      <c r="G1172" s="12" t="n">
        <v>1093</v>
      </c>
      <c r="H1172" s="10" t="n">
        <v>2</v>
      </c>
      <c r="I1172" s="10">
        <f>IF(OR(D1172="Uncategorised",E1172=""),"Check","")</f>
        <v/>
      </c>
    </row>
    <row r="1173">
      <c r="A1173" s="10" t="inlineStr">
        <is>
          <t>Amex Feb-2026</t>
        </is>
      </c>
      <c r="B1173" s="11" t="n">
        <v>46058</v>
      </c>
      <c r="C1173" s="10" t="inlineStr">
        <is>
          <t>LULULEMON COLUMBUS CNE WYORK</t>
        </is>
      </c>
      <c r="D1173" s="10">
        <f>IFERROR(INDEX('Review Items'!$D:$D,MATCH(C1173,'Review Items'!$B:$B,0)),IFERROR(INDEX('Rule Updates'!$B:$B,MATCH(C1173,'Rule Updates'!$A:$A,0)),"Uncategorised"))</f>
        <v/>
      </c>
      <c r="E1173" s="10">
        <f>IFERROR(INDEX('Review Items'!$E:$E,MATCH(C1173,'Review Items'!$B:$B,0)),IFERROR(INDEX('Rule Updates'!$C:$C,MATCH(C1173,'Rule Updates'!$A:$A,0)),"Review"))</f>
        <v/>
      </c>
      <c r="F1173" s="12" t="n">
        <v>300.5</v>
      </c>
      <c r="G1173" s="12" t="n">
        <v>2395.28</v>
      </c>
      <c r="H1173" s="10" t="n">
        <v>6</v>
      </c>
      <c r="I1173" s="10">
        <f>IF(OR(D1173="Uncategorised",E1173=""),"Check","")</f>
        <v/>
      </c>
    </row>
    <row r="1174">
      <c r="A1174" s="10" t="inlineStr">
        <is>
          <t>Amex Feb-2026</t>
        </is>
      </c>
      <c r="B1174" s="11" t="n">
        <v>46058</v>
      </c>
      <c r="C1174" s="10" t="inlineStr">
        <is>
          <t>PAYMENT RECEIVED THROUGH AUTOPAY</t>
        </is>
      </c>
      <c r="D1174" s="10">
        <f>IFERROR(INDEX('Review Items'!$D:$D,MATCH(C1174,'Review Items'!$B:$B,0)),IFERROR(INDEX('Rule Updates'!$B:$B,MATCH(C1174,'Rule Updates'!$A:$A,0)),"Uncategorised"))</f>
        <v/>
      </c>
      <c r="E1174" s="10">
        <f>IFERROR(INDEX('Review Items'!$E:$E,MATCH(C1174,'Review Items'!$B:$B,0)),IFERROR(INDEX('Rule Updates'!$C:$C,MATCH(C1174,'Rule Updates'!$A:$A,0)),"Review"))</f>
        <v/>
      </c>
      <c r="F1174" s="10" t="n"/>
      <c r="G1174" s="12" t="n">
        <v>-216256.83</v>
      </c>
      <c r="H1174" s="10" t="n">
        <v>1</v>
      </c>
      <c r="I1174" s="10">
        <f>IF(OR(D1174="Uncategorised",E1174=""),"Check","")</f>
        <v/>
      </c>
    </row>
    <row r="1175">
      <c r="A1175" s="10" t="inlineStr">
        <is>
          <t>Amex Feb-2026</t>
        </is>
      </c>
      <c r="B1175" s="11" t="n">
        <v>46058</v>
      </c>
      <c r="C1175" s="10" t="inlineStr">
        <is>
          <t>TST* CENTURION NYC 3007 NE WYORK</t>
        </is>
      </c>
      <c r="D1175" s="10">
        <f>IFERROR(INDEX('Review Items'!$D:$D,MATCH(C1175,'Review Items'!$B:$B,0)),IFERROR(INDEX('Rule Updates'!$B:$B,MATCH(C1175,'Rule Updates'!$A:$A,0)),"Uncategorised"))</f>
        <v/>
      </c>
      <c r="E1175" s="10">
        <f>IFERROR(INDEX('Review Items'!$E:$E,MATCH(C1175,'Review Items'!$B:$B,0)),IFERROR(INDEX('Rule Updates'!$C:$C,MATCH(C1175,'Rule Updates'!$A:$A,0)),"Review"))</f>
        <v/>
      </c>
      <c r="F1175" s="12" t="n">
        <v>251.23</v>
      </c>
      <c r="G1175" s="12" t="n">
        <v>2002.67</v>
      </c>
      <c r="H1175" s="10" t="n">
        <v>6</v>
      </c>
      <c r="I1175" s="10">
        <f>IF(OR(D1175="Uncategorised",E1175=""),"Check","")</f>
        <v/>
      </c>
    </row>
    <row r="1176">
      <c r="A1176" s="10" t="inlineStr">
        <is>
          <t>Amex Feb-2026</t>
        </is>
      </c>
      <c r="B1176" s="11" t="n">
        <v>46058</v>
      </c>
      <c r="C1176" s="10" t="inlineStr">
        <is>
          <t>TST* JEAN-GEORGES ENTER NE WYORK</t>
        </is>
      </c>
      <c r="D1176" s="10">
        <f>IFERROR(INDEX('Review Items'!$D:$D,MATCH(C1176,'Review Items'!$B:$B,0)),IFERROR(INDEX('Rule Updates'!$B:$B,MATCH(C1176,'Rule Updates'!$A:$A,0)),"Uncategorised"))</f>
        <v/>
      </c>
      <c r="E1176" s="10">
        <f>IFERROR(INDEX('Review Items'!$E:$E,MATCH(C1176,'Review Items'!$B:$B,0)),IFERROR(INDEX('Rule Updates'!$C:$C,MATCH(C1176,'Rule Updates'!$A:$A,0)),"Review"))</f>
        <v/>
      </c>
      <c r="F1176" s="12" t="n">
        <v>228.65</v>
      </c>
      <c r="G1176" s="12" t="n">
        <v>1822.68</v>
      </c>
      <c r="H1176" s="10" t="n">
        <v>6</v>
      </c>
      <c r="I1176" s="10">
        <f>IF(OR(D1176="Uncategorised",E1176=""),"Check","")</f>
        <v/>
      </c>
    </row>
    <row r="1177">
      <c r="A1177" s="10" t="inlineStr">
        <is>
          <t>Amex Feb-2026</t>
        </is>
      </c>
      <c r="B1177" s="11" t="n">
        <v>46059</v>
      </c>
      <c r="C1177" s="10" t="inlineStr">
        <is>
          <t>IL COLPO PACIFIC PLACE ADMIRALTY</t>
        </is>
      </c>
      <c r="D1177" s="10">
        <f>IFERROR(INDEX('Review Items'!$D:$D,MATCH(C1177,'Review Items'!$B:$B,0)),IFERROR(INDEX('Rule Updates'!$B:$B,MATCH(C1177,'Rule Updates'!$A:$A,0)),"Uncategorised"))</f>
        <v/>
      </c>
      <c r="E1177" s="10">
        <f>IFERROR(INDEX('Review Items'!$E:$E,MATCH(C1177,'Review Items'!$B:$B,0)),IFERROR(INDEX('Rule Updates'!$C:$C,MATCH(C1177,'Rule Updates'!$A:$A,0)),"Review"))</f>
        <v/>
      </c>
      <c r="F1177" s="10" t="n"/>
      <c r="G1177" s="12" t="n">
        <v>5760</v>
      </c>
      <c r="H1177" s="10" t="n">
        <v>3</v>
      </c>
      <c r="I1177" s="10">
        <f>IF(OR(D1177="Uncategorised",E1177=""),"Check","")</f>
        <v/>
      </c>
    </row>
    <row r="1178">
      <c r="A1178" s="10" t="inlineStr">
        <is>
          <t>Amex Feb-2026</t>
        </is>
      </c>
      <c r="B1178" s="11" t="n">
        <v>46059</v>
      </c>
      <c r="C1178" s="10" t="inlineStr">
        <is>
          <t>PI ZZ ARTE Ne w York</t>
        </is>
      </c>
      <c r="D1178" s="10">
        <f>IFERROR(INDEX('Review Items'!$D:$D,MATCH(C1178,'Review Items'!$B:$B,0)),IFERROR(INDEX('Rule Updates'!$B:$B,MATCH(C1178,'Rule Updates'!$A:$A,0)),"Uncategorised"))</f>
        <v/>
      </c>
      <c r="E1178" s="10">
        <f>IFERROR(INDEX('Review Items'!$E:$E,MATCH(C1178,'Review Items'!$B:$B,0)),IFERROR(INDEX('Rule Updates'!$C:$C,MATCH(C1178,'Rule Updates'!$A:$A,0)),"Review"))</f>
        <v/>
      </c>
      <c r="F1178" s="12" t="n">
        <v>107</v>
      </c>
      <c r="G1178" s="12" t="n">
        <v>852.95</v>
      </c>
      <c r="H1178" s="10" t="n">
        <v>6</v>
      </c>
      <c r="I1178" s="10">
        <f>IF(OR(D1178="Uncategorised",E1178=""),"Check","")</f>
        <v/>
      </c>
    </row>
    <row r="1179">
      <c r="A1179" s="10" t="inlineStr">
        <is>
          <t>Amex Feb-2026</t>
        </is>
      </c>
      <c r="B1179" s="11" t="n">
        <v>46059</v>
      </c>
      <c r="C1179" s="10" t="inlineStr">
        <is>
          <t>RUKUZ UOISUTA BA ABUTAGUN</t>
        </is>
      </c>
      <c r="D1179" s="10">
        <f>IFERROR(INDEX('Review Items'!$D:$D,MATCH(C1179,'Review Items'!$B:$B,0)),IFERROR(INDEX('Rule Updates'!$B:$B,MATCH(C1179,'Rule Updates'!$A:$A,0)),"Uncategorised"))</f>
        <v/>
      </c>
      <c r="E1179" s="10">
        <f>IFERROR(INDEX('Review Items'!$E:$E,MATCH(C1179,'Review Items'!$B:$B,0)),IFERROR(INDEX('Rule Updates'!$C:$C,MATCH(C1179,'Rule Updates'!$A:$A,0)),"Review"))</f>
        <v/>
      </c>
      <c r="F1179" s="12" t="n">
        <v>55000</v>
      </c>
      <c r="G1179" s="12" t="n">
        <v>2800.52</v>
      </c>
      <c r="H1179" s="10" t="n">
        <v>3</v>
      </c>
      <c r="I1179" s="10">
        <f>IF(OR(D1179="Uncategorised",E1179=""),"Check","")</f>
        <v/>
      </c>
    </row>
    <row r="1180">
      <c r="A1180" s="10" t="inlineStr">
        <is>
          <t>Amex Feb-2026</t>
        </is>
      </c>
      <c r="B1180" s="11" t="n">
        <v>46059</v>
      </c>
      <c r="C1180" s="10" t="inlineStr">
        <is>
          <t>SP PAIGE LLC CULVER CITY</t>
        </is>
      </c>
      <c r="D1180" s="10">
        <f>IFERROR(INDEX('Review Items'!$D:$D,MATCH(C1180,'Review Items'!$B:$B,0)),IFERROR(INDEX('Rule Updates'!$B:$B,MATCH(C1180,'Rule Updates'!$A:$A,0)),"Uncategorised"))</f>
        <v/>
      </c>
      <c r="E1180" s="10">
        <f>IFERROR(INDEX('Review Items'!$E:$E,MATCH(C1180,'Review Items'!$B:$B,0)),IFERROR(INDEX('Rule Updates'!$C:$C,MATCH(C1180,'Rule Updates'!$A:$A,0)),"Review"))</f>
        <v/>
      </c>
      <c r="F1180" s="12" t="n">
        <v>598.78</v>
      </c>
      <c r="G1180" s="12" t="n">
        <v>4772.87</v>
      </c>
      <c r="H1180" s="10" t="n">
        <v>6</v>
      </c>
      <c r="I1180" s="10">
        <f>IF(OR(D1180="Uncategorised",E1180=""),"Check","")</f>
        <v/>
      </c>
    </row>
    <row r="1181">
      <c r="A1181" s="10" t="inlineStr">
        <is>
          <t>Amex Feb-2026</t>
        </is>
      </c>
      <c r="B1181" s="11" t="n">
        <v>46059</v>
      </c>
      <c r="C1181" s="10" t="inlineStr">
        <is>
          <t>TABLECHECK ONLINE PAY TOKYO</t>
        </is>
      </c>
      <c r="D1181" s="10">
        <f>IFERROR(INDEX('Review Items'!$D:$D,MATCH(C1181,'Review Items'!$B:$B,0)),IFERROR(INDEX('Rule Updates'!$B:$B,MATCH(C1181,'Rule Updates'!$A:$A,0)),"Uncategorised"))</f>
        <v/>
      </c>
      <c r="E1181" s="10">
        <f>IFERROR(INDEX('Review Items'!$E:$E,MATCH(C1181,'Review Items'!$B:$B,0)),IFERROR(INDEX('Rule Updates'!$C:$C,MATCH(C1181,'Rule Updates'!$A:$A,0)),"Review"))</f>
        <v/>
      </c>
      <c r="F1181" s="12" t="n">
        <v>214500</v>
      </c>
      <c r="G1181" s="12" t="n">
        <v>10904.99</v>
      </c>
      <c r="H1181" s="10" t="n">
        <v>3</v>
      </c>
      <c r="I1181" s="10">
        <f>IF(OR(D1181="Uncategorised",E1181=""),"Check","")</f>
        <v/>
      </c>
    </row>
    <row r="1182">
      <c r="A1182" s="10" t="inlineStr">
        <is>
          <t>Amex Feb-2026</t>
        </is>
      </c>
      <c r="B1182" s="11" t="n">
        <v>46059</v>
      </c>
      <c r="C1182" s="10" t="inlineStr">
        <is>
          <t>TST* KABAW A 000763 4 3 NE WYORK</t>
        </is>
      </c>
      <c r="D1182" s="10">
        <f>IFERROR(INDEX('Review Items'!$D:$D,MATCH(C1182,'Review Items'!$B:$B,0)),IFERROR(INDEX('Rule Updates'!$B:$B,MATCH(C1182,'Rule Updates'!$A:$A,0)),"Uncategorised"))</f>
        <v/>
      </c>
      <c r="E1182" s="10">
        <f>IFERROR(INDEX('Review Items'!$E:$E,MATCH(C1182,'Review Items'!$B:$B,0)),IFERROR(INDEX('Rule Updates'!$C:$C,MATCH(C1182,'Rule Updates'!$A:$A,0)),"Review"))</f>
        <v/>
      </c>
      <c r="F1182" s="12" t="n">
        <v>871.01</v>
      </c>
      <c r="G1182" s="12" t="n">
        <v>6943.43</v>
      </c>
      <c r="H1182" s="10" t="n">
        <v>6</v>
      </c>
      <c r="I1182" s="10">
        <f>IF(OR(D1182="Uncategorised",E1182=""),"Check","")</f>
        <v/>
      </c>
    </row>
    <row r="1183">
      <c r="A1183" s="10" t="inlineStr">
        <is>
          <t>Amex Feb-2026</t>
        </is>
      </c>
      <c r="B1183" s="11" t="n">
        <v>46060</v>
      </c>
      <c r="C1183" s="10" t="inlineStr">
        <is>
          <t>B ' IN SELECT 00000000000 HONG KONG</t>
        </is>
      </c>
      <c r="D1183" s="10">
        <f>IFERROR(INDEX('Review Items'!$D:$D,MATCH(C1183,'Review Items'!$B:$B,0)),IFERROR(INDEX('Rule Updates'!$B:$B,MATCH(C1183,'Rule Updates'!$A:$A,0)),"Uncategorised"))</f>
        <v/>
      </c>
      <c r="E1183" s="10">
        <f>IFERROR(INDEX('Review Items'!$E:$E,MATCH(C1183,'Review Items'!$B:$B,0)),IFERROR(INDEX('Rule Updates'!$C:$C,MATCH(C1183,'Rule Updates'!$A:$A,0)),"Review"))</f>
        <v/>
      </c>
      <c r="F1183" s="10" t="n"/>
      <c r="G1183" s="12" t="n">
        <v>580</v>
      </c>
      <c r="H1183" s="10" t="n">
        <v>3</v>
      </c>
      <c r="I1183" s="10">
        <f>IF(OR(D1183="Uncategorised",E1183=""),"Check","")</f>
        <v/>
      </c>
    </row>
    <row r="1184">
      <c r="A1184" s="10" t="inlineStr">
        <is>
          <t>Amex Feb-2026</t>
        </is>
      </c>
      <c r="B1184" s="11" t="n">
        <v>46060</v>
      </c>
      <c r="C1184" s="10" t="inlineStr">
        <is>
          <t>CITY ' SUPER CENTRAL</t>
        </is>
      </c>
      <c r="D1184" s="10">
        <f>IFERROR(INDEX('Review Items'!$D:$D,MATCH(C1184,'Review Items'!$B:$B,0)),IFERROR(INDEX('Rule Updates'!$B:$B,MATCH(C1184,'Rule Updates'!$A:$A,0)),"Uncategorised"))</f>
        <v/>
      </c>
      <c r="E1184" s="10">
        <f>IFERROR(INDEX('Review Items'!$E:$E,MATCH(C1184,'Review Items'!$B:$B,0)),IFERROR(INDEX('Rule Updates'!$C:$C,MATCH(C1184,'Rule Updates'!$A:$A,0)),"Review"))</f>
        <v/>
      </c>
      <c r="F1184" s="10" t="n"/>
      <c r="G1184" s="12" t="n">
        <v>2848.4</v>
      </c>
      <c r="H1184" s="10" t="n">
        <v>3</v>
      </c>
      <c r="I1184" s="10">
        <f>IF(OR(D1184="Uncategorised",E1184=""),"Check","")</f>
        <v/>
      </c>
    </row>
    <row r="1185">
      <c r="A1185" s="10" t="inlineStr">
        <is>
          <t>Amex Feb-2026</t>
        </is>
      </c>
      <c r="B1185" s="11" t="n">
        <v>46060</v>
      </c>
      <c r="C1185" s="10" t="inlineStr">
        <is>
          <t>CITY ' SUPER CENTRAL</t>
        </is>
      </c>
      <c r="D1185" s="10">
        <f>IFERROR(INDEX('Review Items'!$D:$D,MATCH(C1185,'Review Items'!$B:$B,0)),IFERROR(INDEX('Rule Updates'!$B:$B,MATCH(C1185,'Rule Updates'!$A:$A,0)),"Uncategorised"))</f>
        <v/>
      </c>
      <c r="E1185" s="10">
        <f>IFERROR(INDEX('Review Items'!$E:$E,MATCH(C1185,'Review Items'!$B:$B,0)),IFERROR(INDEX('Rule Updates'!$C:$C,MATCH(C1185,'Rule Updates'!$A:$A,0)),"Review"))</f>
        <v/>
      </c>
      <c r="F1185" s="10" t="n"/>
      <c r="G1185" s="12" t="n">
        <v>2635.7</v>
      </c>
      <c r="H1185" s="10" t="n">
        <v>3</v>
      </c>
      <c r="I1185" s="10">
        <f>IF(OR(D1185="Uncategorised",E1185=""),"Check","")</f>
        <v/>
      </c>
    </row>
    <row r="1186">
      <c r="A1186" s="10" t="inlineStr">
        <is>
          <t>Amex Feb-2026</t>
        </is>
      </c>
      <c r="B1186" s="11" t="n">
        <v>46060</v>
      </c>
      <c r="C1186" s="10" t="inlineStr">
        <is>
          <t>HAY FEVER FLORAL &amp; GIFT MONGKOK</t>
        </is>
      </c>
      <c r="D1186" s="10">
        <f>IFERROR(INDEX('Review Items'!$D:$D,MATCH(C1186,'Review Items'!$B:$B,0)),IFERROR(INDEX('Rule Updates'!$B:$B,MATCH(C1186,'Rule Updates'!$A:$A,0)),"Uncategorised"))</f>
        <v/>
      </c>
      <c r="E1186" s="10">
        <f>IFERROR(INDEX('Review Items'!$E:$E,MATCH(C1186,'Review Items'!$B:$B,0)),IFERROR(INDEX('Rule Updates'!$C:$C,MATCH(C1186,'Rule Updates'!$A:$A,0)),"Review"))</f>
        <v/>
      </c>
      <c r="F1186" s="10" t="n"/>
      <c r="G1186" s="12" t="n">
        <v>9340</v>
      </c>
      <c r="H1186" s="10" t="n">
        <v>3</v>
      </c>
      <c r="I1186" s="10">
        <f>IF(OR(D1186="Uncategorised",E1186=""),"Check","")</f>
        <v/>
      </c>
    </row>
    <row r="1187">
      <c r="A1187" s="10" t="inlineStr">
        <is>
          <t>Amex Feb-2026</t>
        </is>
      </c>
      <c r="B1187" s="11" t="n">
        <v>46060</v>
      </c>
      <c r="C1187" s="10" t="inlineStr">
        <is>
          <t>KPAY*GALLERY TETE HONG HONG KONG</t>
        </is>
      </c>
      <c r="D1187" s="10">
        <f>IFERROR(INDEX('Review Items'!$D:$D,MATCH(C1187,'Review Items'!$B:$B,0)),IFERROR(INDEX('Rule Updates'!$B:$B,MATCH(C1187,'Rule Updates'!$A:$A,0)),"Uncategorised"))</f>
        <v/>
      </c>
      <c r="E1187" s="10">
        <f>IFERROR(INDEX('Review Items'!$E:$E,MATCH(C1187,'Review Items'!$B:$B,0)),IFERROR(INDEX('Rule Updates'!$C:$C,MATCH(C1187,'Rule Updates'!$A:$A,0)),"Review"))</f>
        <v/>
      </c>
      <c r="F1187" s="10" t="n"/>
      <c r="G1187" s="12" t="n">
        <v>6560</v>
      </c>
      <c r="H1187" s="10" t="n">
        <v>3</v>
      </c>
      <c r="I1187" s="10">
        <f>IF(OR(D1187="Uncategorised",E1187=""),"Check","")</f>
        <v/>
      </c>
    </row>
    <row r="1188">
      <c r="A1188" s="10" t="inlineStr">
        <is>
          <t>Amex Feb-2026</t>
        </is>
      </c>
      <c r="B1188" s="11" t="n">
        <v>46060</v>
      </c>
      <c r="C1188" s="10" t="inlineStr">
        <is>
          <t>KPAY*PO HING FLO WER CO. HONG KONG</t>
        </is>
      </c>
      <c r="D1188" s="10">
        <f>IFERROR(INDEX('Review Items'!$D:$D,MATCH(C1188,'Review Items'!$B:$B,0)),IFERROR(INDEX('Rule Updates'!$B:$B,MATCH(C1188,'Rule Updates'!$A:$A,0)),"Uncategorised"))</f>
        <v/>
      </c>
      <c r="E1188" s="10">
        <f>IFERROR(INDEX('Review Items'!$E:$E,MATCH(C1188,'Review Items'!$B:$B,0)),IFERROR(INDEX('Rule Updates'!$C:$C,MATCH(C1188,'Rule Updates'!$A:$A,0)),"Review"))</f>
        <v/>
      </c>
      <c r="F1188" s="10" t="n"/>
      <c r="G1188" s="12" t="n">
        <v>1440</v>
      </c>
      <c r="H1188" s="10" t="n">
        <v>3</v>
      </c>
      <c r="I1188" s="10">
        <f>IF(OR(D1188="Uncategorised",E1188=""),"Check","")</f>
        <v/>
      </c>
    </row>
    <row r="1189">
      <c r="A1189" s="10" t="inlineStr">
        <is>
          <t>Amex Feb-2026</t>
        </is>
      </c>
      <c r="B1189" s="11" t="n">
        <v>46060</v>
      </c>
      <c r="C1189" s="10" t="inlineStr">
        <is>
          <t>KPAY*PO HING FLO WER CO. HONG KONG</t>
        </is>
      </c>
      <c r="D1189" s="10">
        <f>IFERROR(INDEX('Review Items'!$D:$D,MATCH(C1189,'Review Items'!$B:$B,0)),IFERROR(INDEX('Rule Updates'!$B:$B,MATCH(C1189,'Rule Updates'!$A:$A,0)),"Uncategorised"))</f>
        <v/>
      </c>
      <c r="E1189" s="10">
        <f>IFERROR(INDEX('Review Items'!$E:$E,MATCH(C1189,'Review Items'!$B:$B,0)),IFERROR(INDEX('Rule Updates'!$C:$C,MATCH(C1189,'Rule Updates'!$A:$A,0)),"Review"))</f>
        <v/>
      </c>
      <c r="F1189" s="10" t="n"/>
      <c r="G1189" s="12" t="n">
        <v>300</v>
      </c>
      <c r="H1189" s="10" t="n">
        <v>3</v>
      </c>
      <c r="I1189" s="10">
        <f>IF(OR(D1189="Uncategorised",E1189=""),"Check","")</f>
        <v/>
      </c>
    </row>
    <row r="1190">
      <c r="A1190" s="10" t="inlineStr">
        <is>
          <t>Amex Feb-2026</t>
        </is>
      </c>
      <c r="B1190" s="11" t="n">
        <v>46060</v>
      </c>
      <c r="C1190" s="10" t="inlineStr">
        <is>
          <t>MANDARIN ORIENTAL-BOOK CENTRAL</t>
        </is>
      </c>
      <c r="D1190" s="10">
        <f>IFERROR(INDEX('Review Items'!$D:$D,MATCH(C1190,'Review Items'!$B:$B,0)),IFERROR(INDEX('Rule Updates'!$B:$B,MATCH(C1190,'Rule Updates'!$A:$A,0)),"Uncategorised"))</f>
        <v/>
      </c>
      <c r="E1190" s="10">
        <f>IFERROR(INDEX('Review Items'!$E:$E,MATCH(C1190,'Review Items'!$B:$B,0)),IFERROR(INDEX('Rule Updates'!$C:$C,MATCH(C1190,'Rule Updates'!$A:$A,0)),"Review"))</f>
        <v/>
      </c>
      <c r="F1190" s="10" t="n"/>
      <c r="G1190" s="12" t="n">
        <v>45</v>
      </c>
      <c r="H1190" s="10" t="n">
        <v>3</v>
      </c>
      <c r="I1190" s="10">
        <f>IF(OR(D1190="Uncategorised",E1190=""),"Check","")</f>
        <v/>
      </c>
    </row>
    <row r="1191">
      <c r="A1191" s="10" t="inlineStr">
        <is>
          <t>Amex Feb-2026</t>
        </is>
      </c>
      <c r="B1191" s="11" t="n">
        <v>46060</v>
      </c>
      <c r="C1191" s="10" t="inlineStr">
        <is>
          <t>OMAKASE SHIBUYAKU</t>
        </is>
      </c>
      <c r="D1191" s="10">
        <f>IFERROR(INDEX('Review Items'!$D:$D,MATCH(C1191,'Review Items'!$B:$B,0)),IFERROR(INDEX('Rule Updates'!$B:$B,MATCH(C1191,'Rule Updates'!$A:$A,0)),"Uncategorised"))</f>
        <v/>
      </c>
      <c r="E1191" s="10">
        <f>IFERROR(INDEX('Review Items'!$E:$E,MATCH(C1191,'Review Items'!$B:$B,0)),IFERROR(INDEX('Rule Updates'!$C:$C,MATCH(C1191,'Rule Updates'!$A:$A,0)),"Review"))</f>
        <v/>
      </c>
      <c r="F1191" s="12" t="n">
        <v>1560</v>
      </c>
      <c r="G1191" s="12" t="n">
        <v>79.29000000000001</v>
      </c>
      <c r="H1191" s="10" t="n">
        <v>3</v>
      </c>
      <c r="I1191" s="10">
        <f>IF(OR(D1191="Uncategorised",E1191=""),"Check","")</f>
        <v/>
      </c>
    </row>
    <row r="1192">
      <c r="A1192" s="10" t="inlineStr">
        <is>
          <t>Amex Feb-2026</t>
        </is>
      </c>
      <c r="B1192" s="11" t="n">
        <v>46060</v>
      </c>
      <c r="C1192" s="10" t="inlineStr">
        <is>
          <t>UNI QLO HONG KONG LIMITE TSIM SHA TSUI</t>
        </is>
      </c>
      <c r="D1192" s="10">
        <f>IFERROR(INDEX('Review Items'!$D:$D,MATCH(C1192,'Review Items'!$B:$B,0)),IFERROR(INDEX('Rule Updates'!$B:$B,MATCH(C1192,'Rule Updates'!$A:$A,0)),"Uncategorised"))</f>
        <v/>
      </c>
      <c r="E1192" s="10">
        <f>IFERROR(INDEX('Review Items'!$E:$E,MATCH(C1192,'Review Items'!$B:$B,0)),IFERROR(INDEX('Rule Updates'!$C:$C,MATCH(C1192,'Rule Updates'!$A:$A,0)),"Review"))</f>
        <v/>
      </c>
      <c r="F1192" s="10" t="n"/>
      <c r="G1192" s="12" t="n">
        <v>945</v>
      </c>
      <c r="H1192" s="10" t="n">
        <v>3</v>
      </c>
      <c r="I1192" s="10">
        <f>IF(OR(D1192="Uncategorised",E1192=""),"Check","")</f>
        <v/>
      </c>
    </row>
    <row r="1193">
      <c r="A1193" s="10" t="inlineStr">
        <is>
          <t>Amex Feb-2026</t>
        </is>
      </c>
      <c r="B1193" s="11" t="n">
        <v>46060</v>
      </c>
      <c r="C1193" s="10" t="inlineStr">
        <is>
          <t>WHALE Club HK</t>
        </is>
      </c>
      <c r="D1193" s="10">
        <f>IFERROR(INDEX('Review Items'!$D:$D,MATCH(C1193,'Review Items'!$B:$B,0)),IFERROR(INDEX('Rule Updates'!$B:$B,MATCH(C1193,'Rule Updates'!$A:$A,0)),"Uncategorised"))</f>
        <v/>
      </c>
      <c r="E1193" s="10">
        <f>IFERROR(INDEX('Review Items'!$E:$E,MATCH(C1193,'Review Items'!$B:$B,0)),IFERROR(INDEX('Rule Updates'!$C:$C,MATCH(C1193,'Rule Updates'!$A:$A,0)),"Review"))</f>
        <v/>
      </c>
      <c r="F1193" s="10" t="n"/>
      <c r="G1193" s="12" t="n">
        <v>4954</v>
      </c>
      <c r="H1193" s="10" t="n">
        <v>3</v>
      </c>
      <c r="I1193" s="10">
        <f>IF(OR(D1193="Uncategorised",E1193=""),"Check","")</f>
        <v/>
      </c>
    </row>
    <row r="1194">
      <c r="A1194" s="10" t="inlineStr">
        <is>
          <t>Amex Feb-2026</t>
        </is>
      </c>
      <c r="B1194" s="11" t="n">
        <v>46061</v>
      </c>
      <c r="C1194" s="10" t="inlineStr">
        <is>
          <t>PENINSULA NE WYORK HOTE NE WYORK</t>
        </is>
      </c>
      <c r="D1194" s="10">
        <f>IFERROR(INDEX('Review Items'!$D:$D,MATCH(C1194,'Review Items'!$B:$B,0)),IFERROR(INDEX('Rule Updates'!$B:$B,MATCH(C1194,'Rule Updates'!$A:$A,0)),"Uncategorised"))</f>
        <v/>
      </c>
      <c r="E1194" s="10">
        <f>IFERROR(INDEX('Review Items'!$E:$E,MATCH(C1194,'Review Items'!$B:$B,0)),IFERROR(INDEX('Rule Updates'!$C:$C,MATCH(C1194,'Rule Updates'!$A:$A,0)),"Review"))</f>
        <v/>
      </c>
      <c r="F1194" s="12" t="n">
        <v>3235.55</v>
      </c>
      <c r="G1194" s="12" t="n">
        <v>25792.86</v>
      </c>
      <c r="H1194" s="10" t="n">
        <v>6</v>
      </c>
      <c r="I1194" s="10">
        <f>IF(OR(D1194="Uncategorised",E1194=""),"Check","")</f>
        <v/>
      </c>
    </row>
    <row r="1195">
      <c r="A1195" s="10" t="inlineStr">
        <is>
          <t>Amex Feb-2026</t>
        </is>
      </c>
      <c r="B1195" s="11" t="n">
        <v>46062</v>
      </c>
      <c r="C1195" s="10" t="inlineStr">
        <is>
          <t>LANE CRA WFORD ( IFC ) CENTRAL</t>
        </is>
      </c>
      <c r="D1195" s="10">
        <f>IFERROR(INDEX('Review Items'!$D:$D,MATCH(C1195,'Review Items'!$B:$B,0)),IFERROR(INDEX('Rule Updates'!$B:$B,MATCH(C1195,'Rule Updates'!$A:$A,0)),"Uncategorised"))</f>
        <v/>
      </c>
      <c r="E1195" s="10">
        <f>IFERROR(INDEX('Review Items'!$E:$E,MATCH(C1195,'Review Items'!$B:$B,0)),IFERROR(INDEX('Rule Updates'!$C:$C,MATCH(C1195,'Rule Updates'!$A:$A,0)),"Review"))</f>
        <v/>
      </c>
      <c r="F1195" s="10" t="n"/>
      <c r="G1195" s="12" t="n">
        <v>1420</v>
      </c>
      <c r="H1195" s="10" t="n">
        <v>3</v>
      </c>
      <c r="I1195" s="10">
        <f>IF(OR(D1195="Uncategorised",E1195=""),"Check","")</f>
        <v/>
      </c>
    </row>
    <row r="1196">
      <c r="A1196" s="10" t="inlineStr">
        <is>
          <t>Amex Feb-2026</t>
        </is>
      </c>
      <c r="B1196" s="11" t="n">
        <v>46062</v>
      </c>
      <c r="C1196" s="10" t="inlineStr">
        <is>
          <t>WHALE Club HK</t>
        </is>
      </c>
      <c r="D1196" s="10">
        <f>IFERROR(INDEX('Review Items'!$D:$D,MATCH(C1196,'Review Items'!$B:$B,0)),IFERROR(INDEX('Rule Updates'!$B:$B,MATCH(C1196,'Rule Updates'!$A:$A,0)),"Uncategorised"))</f>
        <v/>
      </c>
      <c r="E1196" s="10">
        <f>IFERROR(INDEX('Review Items'!$E:$E,MATCH(C1196,'Review Items'!$B:$B,0)),IFERROR(INDEX('Rule Updates'!$C:$C,MATCH(C1196,'Rule Updates'!$A:$A,0)),"Review"))</f>
        <v/>
      </c>
      <c r="F1196" s="10" t="n"/>
      <c r="G1196" s="12" t="n">
        <v>3832</v>
      </c>
      <c r="H1196" s="10" t="n">
        <v>3</v>
      </c>
      <c r="I1196" s="10">
        <f>IF(OR(D1196="Uncategorised",E1196=""),"Check","")</f>
        <v/>
      </c>
    </row>
    <row r="1197">
      <c r="A1197" s="10" t="inlineStr">
        <is>
          <t>Amex Feb-2026</t>
        </is>
      </c>
      <c r="B1197" s="11" t="n">
        <v>46063</v>
      </c>
      <c r="C1197" s="10" t="inlineStr">
        <is>
          <t>AMA ZON PRIME* Z F 8 D6 1 B 84 AMZ N.CO.UK/PM</t>
        </is>
      </c>
      <c r="D1197" s="10">
        <f>IFERROR(INDEX('Review Items'!$D:$D,MATCH(C1197,'Review Items'!$B:$B,0)),IFERROR(INDEX('Rule Updates'!$B:$B,MATCH(C1197,'Rule Updates'!$A:$A,0)),"Uncategorised"))</f>
        <v/>
      </c>
      <c r="E1197" s="10">
        <f>IFERROR(INDEX('Review Items'!$E:$E,MATCH(C1197,'Review Items'!$B:$B,0)),IFERROR(INDEX('Rule Updates'!$C:$C,MATCH(C1197,'Rule Updates'!$A:$A,0)),"Review"))</f>
        <v/>
      </c>
      <c r="F1197" s="12" t="n">
        <v>8.99</v>
      </c>
      <c r="G1197" s="12" t="n">
        <v>98.12</v>
      </c>
      <c r="H1197" s="10" t="n">
        <v>3</v>
      </c>
      <c r="I1197" s="10">
        <f>IF(OR(D1197="Uncategorised",E1197=""),"Check","")</f>
        <v/>
      </c>
    </row>
    <row r="1198">
      <c r="A1198" s="10" t="inlineStr">
        <is>
          <t>Amex Feb-2026</t>
        </is>
      </c>
      <c r="B1198" s="11" t="n">
        <v>46064</v>
      </c>
      <c r="C1198" s="10" t="inlineStr">
        <is>
          <t>ASIA MILES LIMITED HONG KONG</t>
        </is>
      </c>
      <c r="D1198" s="10">
        <f>IFERROR(INDEX('Review Items'!$D:$D,MATCH(C1198,'Review Items'!$B:$B,0)),IFERROR(INDEX('Rule Updates'!$B:$B,MATCH(C1198,'Rule Updates'!$A:$A,0)),"Uncategorised"))</f>
        <v/>
      </c>
      <c r="E1198" s="10">
        <f>IFERROR(INDEX('Review Items'!$E:$E,MATCH(C1198,'Review Items'!$B:$B,0)),IFERROR(INDEX('Rule Updates'!$C:$C,MATCH(C1198,'Rule Updates'!$A:$A,0)),"Review"))</f>
        <v/>
      </c>
      <c r="F1198" s="10" t="n"/>
      <c r="G1198" s="12" t="n">
        <v>329</v>
      </c>
      <c r="H1198" s="10" t="n">
        <v>3</v>
      </c>
      <c r="I1198" s="10">
        <f>IF(OR(D1198="Uncategorised",E1198=""),"Check","")</f>
        <v/>
      </c>
    </row>
    <row r="1199">
      <c r="A1199" s="10" t="inlineStr">
        <is>
          <t>Amex Feb-2026</t>
        </is>
      </c>
      <c r="B1199" s="11" t="n">
        <v>46064</v>
      </c>
      <c r="C1199" s="10" t="inlineStr">
        <is>
          <t>CATHAY PACIFIC AIR WAYS HONG KONG</t>
        </is>
      </c>
      <c r="D1199" s="10">
        <f>IFERROR(INDEX('Review Items'!$D:$D,MATCH(C1199,'Review Items'!$B:$B,0)),IFERROR(INDEX('Rule Updates'!$B:$B,MATCH(C1199,'Rule Updates'!$A:$A,0)),"Uncategorised"))</f>
        <v/>
      </c>
      <c r="E1199" s="10">
        <f>IFERROR(INDEX('Review Items'!$E:$E,MATCH(C1199,'Review Items'!$B:$B,0)),IFERROR(INDEX('Rule Updates'!$C:$C,MATCH(C1199,'Rule Updates'!$A:$A,0)),"Review"))</f>
        <v/>
      </c>
      <c r="F1199" s="10" t="n"/>
      <c r="G1199" s="12" t="n">
        <v>4153</v>
      </c>
      <c r="H1199" s="10" t="n">
        <v>3</v>
      </c>
      <c r="I1199" s="10">
        <f>IF(OR(D1199="Uncategorised",E1199=""),"Check","")</f>
        <v/>
      </c>
    </row>
    <row r="1200">
      <c r="A1200" s="10" t="inlineStr">
        <is>
          <t>Amex Feb-2026</t>
        </is>
      </c>
      <c r="B1200" s="11" t="n">
        <v>46064</v>
      </c>
      <c r="C1200" s="10" t="inlineStr">
        <is>
          <t>CATHAY PACIFIC AIR WAYS HONG KONG</t>
        </is>
      </c>
      <c r="D1200" s="10">
        <f>IFERROR(INDEX('Review Items'!$D:$D,MATCH(C1200,'Review Items'!$B:$B,0)),IFERROR(INDEX('Rule Updates'!$B:$B,MATCH(C1200,'Rule Updates'!$A:$A,0)),"Uncategorised"))</f>
        <v/>
      </c>
      <c r="E1200" s="10">
        <f>IFERROR(INDEX('Review Items'!$E:$E,MATCH(C1200,'Review Items'!$B:$B,0)),IFERROR(INDEX('Rule Updates'!$C:$C,MATCH(C1200,'Rule Updates'!$A:$A,0)),"Review"))</f>
        <v/>
      </c>
      <c r="F1200" s="10" t="n"/>
      <c r="G1200" s="12" t="n">
        <v>1007</v>
      </c>
      <c r="H1200" s="10" t="n">
        <v>4</v>
      </c>
      <c r="I1200" s="10">
        <f>IF(OR(D1200="Uncategorised",E1200=""),"Check","")</f>
        <v/>
      </c>
    </row>
    <row r="1201">
      <c r="A1201" s="10" t="inlineStr">
        <is>
          <t>Amex Feb-2026</t>
        </is>
      </c>
      <c r="B1201" s="11" t="n">
        <v>46064</v>
      </c>
      <c r="C1201" s="10" t="inlineStr">
        <is>
          <t>IHERB IHERB.COM AMSTERDAM</t>
        </is>
      </c>
      <c r="D1201" s="10">
        <f>IFERROR(INDEX('Review Items'!$D:$D,MATCH(C1201,'Review Items'!$B:$B,0)),IFERROR(INDEX('Rule Updates'!$B:$B,MATCH(C1201,'Rule Updates'!$A:$A,0)),"Uncategorised"))</f>
        <v/>
      </c>
      <c r="E1201" s="10">
        <f>IFERROR(INDEX('Review Items'!$E:$E,MATCH(C1201,'Review Items'!$B:$B,0)),IFERROR(INDEX('Rule Updates'!$C:$C,MATCH(C1201,'Rule Updates'!$A:$A,0)),"Review"))</f>
        <v/>
      </c>
      <c r="F1201" s="10" t="n"/>
      <c r="G1201" s="12" t="n">
        <v>837.58</v>
      </c>
      <c r="H1201" s="10" t="n">
        <v>4</v>
      </c>
      <c r="I1201" s="10">
        <f>IF(OR(D1201="Uncategorised",E1201=""),"Check","")</f>
        <v/>
      </c>
    </row>
    <row r="1202">
      <c r="A1202" s="10" t="inlineStr">
        <is>
          <t>Amex Feb-2026</t>
        </is>
      </c>
      <c r="B1202" s="11" t="n">
        <v>46064</v>
      </c>
      <c r="C1202" s="10" t="inlineStr">
        <is>
          <t>Setsu Niseko HOKKAIDO</t>
        </is>
      </c>
      <c r="D1202" s="10">
        <f>IFERROR(INDEX('Review Items'!$D:$D,MATCH(C1202,'Review Items'!$B:$B,0)),IFERROR(INDEX('Rule Updates'!$B:$B,MATCH(C1202,'Rule Updates'!$A:$A,0)),"Uncategorised"))</f>
        <v/>
      </c>
      <c r="E1202" s="10">
        <f>IFERROR(INDEX('Review Items'!$E:$E,MATCH(C1202,'Review Items'!$B:$B,0)),IFERROR(INDEX('Rule Updates'!$C:$C,MATCH(C1202,'Rule Updates'!$A:$A,0)),"Review"))</f>
        <v/>
      </c>
      <c r="F1202" s="12" t="n">
        <v>63650</v>
      </c>
      <c r="G1202" s="12" t="n">
        <v>3322.26</v>
      </c>
      <c r="H1202" s="10" t="n">
        <v>4</v>
      </c>
      <c r="I1202" s="10">
        <f>IF(OR(D1202="Uncategorised",E1202=""),"Check","")</f>
        <v/>
      </c>
    </row>
    <row r="1203">
      <c r="A1203" s="10" t="inlineStr">
        <is>
          <t>Amex Feb-2026</t>
        </is>
      </c>
      <c r="B1203" s="11" t="n">
        <v>46064</v>
      </c>
      <c r="C1203" s="10" t="inlineStr">
        <is>
          <t>UNIVERSITY OPTICAL SHOP CENTRAL</t>
        </is>
      </c>
      <c r="D1203" s="10">
        <f>IFERROR(INDEX('Review Items'!$D:$D,MATCH(C1203,'Review Items'!$B:$B,0)),IFERROR(INDEX('Rule Updates'!$B:$B,MATCH(C1203,'Rule Updates'!$A:$A,0)),"Uncategorised"))</f>
        <v/>
      </c>
      <c r="E1203" s="10">
        <f>IFERROR(INDEX('Review Items'!$E:$E,MATCH(C1203,'Review Items'!$B:$B,0)),IFERROR(INDEX('Rule Updates'!$C:$C,MATCH(C1203,'Rule Updates'!$A:$A,0)),"Review"))</f>
        <v/>
      </c>
      <c r="F1203" s="10" t="n"/>
      <c r="G1203" s="12" t="n">
        <v>480</v>
      </c>
      <c r="H1203" s="10" t="n">
        <v>3</v>
      </c>
      <c r="I1203" s="10">
        <f>IF(OR(D1203="Uncategorised",E1203=""),"Check","")</f>
        <v/>
      </c>
    </row>
    <row r="1204">
      <c r="A1204" s="10" t="inlineStr">
        <is>
          <t>Amex Feb-2026</t>
        </is>
      </c>
      <c r="B1204" s="11" t="n">
        <v>46064</v>
      </c>
      <c r="C1204" s="10" t="inlineStr">
        <is>
          <t>WHALE Club HK</t>
        </is>
      </c>
      <c r="D1204" s="10">
        <f>IFERROR(INDEX('Review Items'!$D:$D,MATCH(C1204,'Review Items'!$B:$B,0)),IFERROR(INDEX('Rule Updates'!$B:$B,MATCH(C1204,'Rule Updates'!$A:$A,0)),"Uncategorised"))</f>
        <v/>
      </c>
      <c r="E1204" s="10">
        <f>IFERROR(INDEX('Review Items'!$E:$E,MATCH(C1204,'Review Items'!$B:$B,0)),IFERROR(INDEX('Rule Updates'!$C:$C,MATCH(C1204,'Rule Updates'!$A:$A,0)),"Review"))</f>
        <v/>
      </c>
      <c r="F1204" s="10" t="n"/>
      <c r="G1204" s="12" t="n">
        <v>4097</v>
      </c>
      <c r="H1204" s="10" t="n">
        <v>4</v>
      </c>
      <c r="I1204" s="10">
        <f>IF(OR(D1204="Uncategorised",E1204=""),"Check","")</f>
        <v/>
      </c>
    </row>
    <row r="1205">
      <c r="A1205" s="10" t="inlineStr">
        <is>
          <t>Amex Feb-2026</t>
        </is>
      </c>
      <c r="B1205" s="11" t="n">
        <v>46065</v>
      </c>
      <c r="C1205" s="10" t="inlineStr">
        <is>
          <t>FARFETCH LONDON</t>
        </is>
      </c>
      <c r="D1205" s="10">
        <f>IFERROR(INDEX('Review Items'!$D:$D,MATCH(C1205,'Review Items'!$B:$B,0)),IFERROR(INDEX('Rule Updates'!$B:$B,MATCH(C1205,'Rule Updates'!$A:$A,0)),"Uncategorised"))</f>
        <v/>
      </c>
      <c r="E1205" s="10">
        <f>IFERROR(INDEX('Review Items'!$E:$E,MATCH(C1205,'Review Items'!$B:$B,0)),IFERROR(INDEX('Rule Updates'!$C:$C,MATCH(C1205,'Rule Updates'!$A:$A,0)),"Review"))</f>
        <v/>
      </c>
      <c r="F1205" s="10" t="n"/>
      <c r="G1205" s="12" t="n">
        <v>67471</v>
      </c>
      <c r="H1205" s="10" t="n">
        <v>4</v>
      </c>
      <c r="I1205" s="10">
        <f>IF(OR(D1205="Uncategorised",E1205=""),"Check","")</f>
        <v/>
      </c>
    </row>
    <row r="1206">
      <c r="A1206" s="10" t="inlineStr">
        <is>
          <t>Amex Feb-2026</t>
        </is>
      </c>
      <c r="B1206" s="11" t="n">
        <v>46065</v>
      </c>
      <c r="C1206" s="10" t="inlineStr">
        <is>
          <t>FOTOMAX - F3 48 ( BH ) CENTRAL</t>
        </is>
      </c>
      <c r="D1206" s="10">
        <f>IFERROR(INDEX('Review Items'!$D:$D,MATCH(C1206,'Review Items'!$B:$B,0)),IFERROR(INDEX('Rule Updates'!$B:$B,MATCH(C1206,'Rule Updates'!$A:$A,0)),"Uncategorised"))</f>
        <v/>
      </c>
      <c r="E1206" s="10">
        <f>IFERROR(INDEX('Review Items'!$E:$E,MATCH(C1206,'Review Items'!$B:$B,0)),IFERROR(INDEX('Rule Updates'!$C:$C,MATCH(C1206,'Rule Updates'!$A:$A,0)),"Review"))</f>
        <v/>
      </c>
      <c r="F1206" s="10" t="n"/>
      <c r="G1206" s="12" t="n">
        <v>370</v>
      </c>
      <c r="H1206" s="10" t="n">
        <v>4</v>
      </c>
      <c r="I1206" s="10">
        <f>IF(OR(D1206="Uncategorised",E1206=""),"Check","")</f>
        <v/>
      </c>
    </row>
    <row r="1207">
      <c r="A1207" s="10" t="inlineStr">
        <is>
          <t>Amex Feb-2026</t>
        </is>
      </c>
      <c r="B1207" s="11" t="n">
        <v>46065</v>
      </c>
      <c r="C1207" s="10" t="inlineStr">
        <is>
          <t>KPAY*UNAGI YONDAIME KIK HONG KONG</t>
        </is>
      </c>
      <c r="D1207" s="10">
        <f>IFERROR(INDEX('Review Items'!$D:$D,MATCH(C1207,'Review Items'!$B:$B,0)),IFERROR(INDEX('Rule Updates'!$B:$B,MATCH(C1207,'Rule Updates'!$A:$A,0)),"Uncategorised"))</f>
        <v/>
      </c>
      <c r="E1207" s="10">
        <f>IFERROR(INDEX('Review Items'!$E:$E,MATCH(C1207,'Review Items'!$B:$B,0)),IFERROR(INDEX('Rule Updates'!$C:$C,MATCH(C1207,'Rule Updates'!$A:$A,0)),"Review"))</f>
        <v/>
      </c>
      <c r="F1207" s="10" t="n"/>
      <c r="G1207" s="12" t="n">
        <v>1333.2</v>
      </c>
      <c r="H1207" s="10" t="n">
        <v>4</v>
      </c>
      <c r="I1207" s="10">
        <f>IF(OR(D1207="Uncategorised",E1207=""),"Check","")</f>
        <v/>
      </c>
    </row>
    <row r="1208">
      <c r="A1208" s="10" t="inlineStr">
        <is>
          <t>Amex Feb-2026</t>
        </is>
      </c>
      <c r="B1208" s="11" t="n">
        <v>46065</v>
      </c>
      <c r="C1208" s="10" t="inlineStr">
        <is>
          <t>PEKING GARDEN - ALEXAND CENTRAL</t>
        </is>
      </c>
      <c r="D1208" s="10">
        <f>IFERROR(INDEX('Review Items'!$D:$D,MATCH(C1208,'Review Items'!$B:$B,0)),IFERROR(INDEX('Rule Updates'!$B:$B,MATCH(C1208,'Rule Updates'!$A:$A,0)),"Uncategorised"))</f>
        <v/>
      </c>
      <c r="E1208" s="10">
        <f>IFERROR(INDEX('Review Items'!$E:$E,MATCH(C1208,'Review Items'!$B:$B,0)),IFERROR(INDEX('Rule Updates'!$C:$C,MATCH(C1208,'Rule Updates'!$A:$A,0)),"Review"))</f>
        <v/>
      </c>
      <c r="F1208" s="10" t="n"/>
      <c r="G1208" s="12" t="n">
        <v>5381.4</v>
      </c>
      <c r="H1208" s="10" t="n">
        <v>6</v>
      </c>
      <c r="I1208" s="10">
        <f>IF(OR(D1208="Uncategorised",E1208=""),"Check","")</f>
        <v/>
      </c>
    </row>
    <row r="1209">
      <c r="A1209" s="10" t="inlineStr">
        <is>
          <t>Amex Feb-2026</t>
        </is>
      </c>
      <c r="B1209" s="11" t="n">
        <v>46065</v>
      </c>
      <c r="C1209" s="10" t="inlineStr">
        <is>
          <t>RUKUZ UOISUTA BA ABUTAGUN</t>
        </is>
      </c>
      <c r="D1209" s="10">
        <f>IFERROR(INDEX('Review Items'!$D:$D,MATCH(C1209,'Review Items'!$B:$B,0)),IFERROR(INDEX('Rule Updates'!$B:$B,MATCH(C1209,'Rule Updates'!$A:$A,0)),"Uncategorised"))</f>
        <v/>
      </c>
      <c r="E1209" s="10">
        <f>IFERROR(INDEX('Review Items'!$E:$E,MATCH(C1209,'Review Items'!$B:$B,0)),IFERROR(INDEX('Rule Updates'!$C:$C,MATCH(C1209,'Rule Updates'!$A:$A,0)),"Review"))</f>
        <v/>
      </c>
      <c r="F1209" s="12" t="n">
        <v>11000</v>
      </c>
      <c r="G1209" s="12" t="n">
        <v>573.33</v>
      </c>
      <c r="H1209" s="10" t="n">
        <v>4</v>
      </c>
      <c r="I1209" s="10">
        <f>IF(OR(D1209="Uncategorised",E1209=""),"Check","")</f>
        <v/>
      </c>
    </row>
    <row r="1210">
      <c r="A1210" s="10" t="inlineStr">
        <is>
          <t>Amex Feb-2026</t>
        </is>
      </c>
      <c r="B1210" s="11" t="n">
        <v>46065</v>
      </c>
      <c r="C1210" s="10" t="inlineStr">
        <is>
          <t>THE NET-A-PORTER GROUP HONG KONG</t>
        </is>
      </c>
      <c r="D1210" s="10">
        <f>IFERROR(INDEX('Review Items'!$D:$D,MATCH(C1210,'Review Items'!$B:$B,0)),IFERROR(INDEX('Rule Updates'!$B:$B,MATCH(C1210,'Rule Updates'!$A:$A,0)),"Uncategorised"))</f>
        <v/>
      </c>
      <c r="E1210" s="10">
        <f>IFERROR(INDEX('Review Items'!$E:$E,MATCH(C1210,'Review Items'!$B:$B,0)),IFERROR(INDEX('Rule Updates'!$C:$C,MATCH(C1210,'Rule Updates'!$A:$A,0)),"Review"))</f>
        <v/>
      </c>
      <c r="F1210" s="10" t="n"/>
      <c r="G1210" s="12" t="n">
        <v>19885</v>
      </c>
      <c r="H1210" s="10" t="n">
        <v>4</v>
      </c>
      <c r="I1210" s="10">
        <f>IF(OR(D1210="Uncategorised",E1210=""),"Check","")</f>
        <v/>
      </c>
    </row>
    <row r="1211">
      <c r="A1211" s="10" t="inlineStr">
        <is>
          <t>Amex Feb-2026</t>
        </is>
      </c>
      <c r="B1211" s="11" t="n">
        <v>46066</v>
      </c>
      <c r="C1211" s="10" t="inlineStr">
        <is>
          <t>CITY ' SUPER CENTRAL</t>
        </is>
      </c>
      <c r="D1211" s="10">
        <f>IFERROR(INDEX('Review Items'!$D:$D,MATCH(C1211,'Review Items'!$B:$B,0)),IFERROR(INDEX('Rule Updates'!$B:$B,MATCH(C1211,'Rule Updates'!$A:$A,0)),"Uncategorised"))</f>
        <v/>
      </c>
      <c r="E1211" s="10">
        <f>IFERROR(INDEX('Review Items'!$E:$E,MATCH(C1211,'Review Items'!$B:$B,0)),IFERROR(INDEX('Rule Updates'!$C:$C,MATCH(C1211,'Rule Updates'!$A:$A,0)),"Review"))</f>
        <v/>
      </c>
      <c r="F1211" s="10" t="n"/>
      <c r="G1211" s="12" t="n">
        <v>195.5</v>
      </c>
      <c r="H1211" s="10" t="n">
        <v>4</v>
      </c>
      <c r="I1211" s="10">
        <f>IF(OR(D1211="Uncategorised",E1211=""),"Check","")</f>
        <v/>
      </c>
    </row>
    <row r="1212">
      <c r="A1212" s="10" t="inlineStr">
        <is>
          <t>Amex Feb-2026</t>
        </is>
      </c>
      <c r="B1212" s="11" t="n">
        <v>46066</v>
      </c>
      <c r="C1212" s="10" t="inlineStr">
        <is>
          <t>EVENTBK*EVENT TICKET HONG KONG</t>
        </is>
      </c>
      <c r="D1212" s="10">
        <f>IFERROR(INDEX('Review Items'!$D:$D,MATCH(C1212,'Review Items'!$B:$B,0)),IFERROR(INDEX('Rule Updates'!$B:$B,MATCH(C1212,'Rule Updates'!$A:$A,0)),"Uncategorised"))</f>
        <v/>
      </c>
      <c r="E1212" s="10">
        <f>IFERROR(INDEX('Review Items'!$E:$E,MATCH(C1212,'Review Items'!$B:$B,0)),IFERROR(INDEX('Rule Updates'!$C:$C,MATCH(C1212,'Rule Updates'!$A:$A,0)),"Review"))</f>
        <v/>
      </c>
      <c r="F1212" s="10" t="n"/>
      <c r="G1212" s="12" t="n">
        <v>10000</v>
      </c>
      <c r="H1212" s="10" t="n">
        <v>4</v>
      </c>
      <c r="I1212" s="10">
        <f>IF(OR(D1212="Uncategorised",E1212=""),"Check","")</f>
        <v/>
      </c>
    </row>
    <row r="1213">
      <c r="A1213" s="10" t="inlineStr">
        <is>
          <t>Amex Feb-2026</t>
        </is>
      </c>
      <c r="B1213" s="11" t="n">
        <v>46066</v>
      </c>
      <c r="C1213" s="10" t="inlineStr">
        <is>
          <t>KPAY*GALLERY TETE HONG HONG KONG</t>
        </is>
      </c>
      <c r="D1213" s="10">
        <f>IFERROR(INDEX('Review Items'!$D:$D,MATCH(C1213,'Review Items'!$B:$B,0)),IFERROR(INDEX('Rule Updates'!$B:$B,MATCH(C1213,'Rule Updates'!$A:$A,0)),"Uncategorised"))</f>
        <v/>
      </c>
      <c r="E1213" s="10">
        <f>IFERROR(INDEX('Review Items'!$E:$E,MATCH(C1213,'Review Items'!$B:$B,0)),IFERROR(INDEX('Rule Updates'!$C:$C,MATCH(C1213,'Rule Updates'!$A:$A,0)),"Review"))</f>
        <v/>
      </c>
      <c r="F1213" s="10" t="n"/>
      <c r="G1213" s="12" t="n">
        <v>2700</v>
      </c>
      <c r="H1213" s="10" t="n">
        <v>4</v>
      </c>
      <c r="I1213" s="10">
        <f>IF(OR(D1213="Uncategorised",E1213=""),"Check","")</f>
        <v/>
      </c>
    </row>
    <row r="1214">
      <c r="A1214" s="10" t="inlineStr">
        <is>
          <t>Amex Feb-2026</t>
        </is>
      </c>
      <c r="B1214" s="11" t="n">
        <v>46066</v>
      </c>
      <c r="C1214" s="10" t="inlineStr">
        <is>
          <t>PONTI WINE CELLARS 0000 HONG KONG</t>
        </is>
      </c>
      <c r="D1214" s="10">
        <f>IFERROR(INDEX('Review Items'!$D:$D,MATCH(C1214,'Review Items'!$B:$B,0)),IFERROR(INDEX('Rule Updates'!$B:$B,MATCH(C1214,'Rule Updates'!$A:$A,0)),"Uncategorised"))</f>
        <v/>
      </c>
      <c r="E1214" s="10">
        <f>IFERROR(INDEX('Review Items'!$E:$E,MATCH(C1214,'Review Items'!$B:$B,0)),IFERROR(INDEX('Rule Updates'!$C:$C,MATCH(C1214,'Rule Updates'!$A:$A,0)),"Review"))</f>
        <v/>
      </c>
      <c r="F1214" s="10" t="n"/>
      <c r="G1214" s="12" t="n">
        <v>26350</v>
      </c>
      <c r="H1214" s="10" t="n">
        <v>4</v>
      </c>
      <c r="I1214" s="10">
        <f>IF(OR(D1214="Uncategorised",E1214=""),"Check","")</f>
        <v/>
      </c>
    </row>
    <row r="1215">
      <c r="A1215" s="10" t="inlineStr">
        <is>
          <t>Amex Feb-2026</t>
        </is>
      </c>
      <c r="B1215" s="11" t="n">
        <v>46066</v>
      </c>
      <c r="C1215" s="10" t="inlineStr">
        <is>
          <t>WHALE Club HK</t>
        </is>
      </c>
      <c r="D1215" s="10">
        <f>IFERROR(INDEX('Review Items'!$D:$D,MATCH(C1215,'Review Items'!$B:$B,0)),IFERROR(INDEX('Rule Updates'!$B:$B,MATCH(C1215,'Rule Updates'!$A:$A,0)),"Uncategorised"))</f>
        <v/>
      </c>
      <c r="E1215" s="10">
        <f>IFERROR(INDEX('Review Items'!$E:$E,MATCH(C1215,'Review Items'!$B:$B,0)),IFERROR(INDEX('Rule Updates'!$C:$C,MATCH(C1215,'Rule Updates'!$A:$A,0)),"Review"))</f>
        <v/>
      </c>
      <c r="F1215" s="10" t="n"/>
      <c r="G1215" s="12" t="n">
        <v>9727</v>
      </c>
      <c r="H1215" s="10" t="n">
        <v>4</v>
      </c>
      <c r="I1215" s="10">
        <f>IF(OR(D1215="Uncategorised",E1215=""),"Check","")</f>
        <v/>
      </c>
    </row>
    <row r="1216">
      <c r="A1216" s="10" t="inlineStr">
        <is>
          <t>Amex Feb-2026</t>
        </is>
      </c>
      <c r="B1216" s="11" t="n">
        <v>46067</v>
      </c>
      <c r="C1216" s="10" t="inlineStr">
        <is>
          <t>ISLAND SHANGRI LA 00000 HONG KONG</t>
        </is>
      </c>
      <c r="D1216" s="10">
        <f>IFERROR(INDEX('Review Items'!$D:$D,MATCH(C1216,'Review Items'!$B:$B,0)),IFERROR(INDEX('Rule Updates'!$B:$B,MATCH(C1216,'Rule Updates'!$A:$A,0)),"Uncategorised"))</f>
        <v/>
      </c>
      <c r="E1216" s="10">
        <f>IFERROR(INDEX('Review Items'!$E:$E,MATCH(C1216,'Review Items'!$B:$B,0)),IFERROR(INDEX('Rule Updates'!$C:$C,MATCH(C1216,'Rule Updates'!$A:$A,0)),"Review"))</f>
        <v/>
      </c>
      <c r="F1216" s="10" t="n"/>
      <c r="G1216" s="12" t="n">
        <v>2000.8</v>
      </c>
      <c r="H1216" s="10" t="n">
        <v>6</v>
      </c>
      <c r="I1216" s="10">
        <f>IF(OR(D1216="Uncategorised",E1216=""),"Check","")</f>
        <v/>
      </c>
    </row>
    <row r="1217">
      <c r="A1217" s="10" t="inlineStr">
        <is>
          <t>Amex Feb-2026</t>
        </is>
      </c>
      <c r="B1217" s="11" t="n">
        <v>46067</v>
      </c>
      <c r="C1217" s="10" t="inlineStr">
        <is>
          <t>THE MANDARIN SALON CENTRAL</t>
        </is>
      </c>
      <c r="D1217" s="10">
        <f>IFERROR(INDEX('Review Items'!$D:$D,MATCH(C1217,'Review Items'!$B:$B,0)),IFERROR(INDEX('Rule Updates'!$B:$B,MATCH(C1217,'Rule Updates'!$A:$A,0)),"Uncategorised"))</f>
        <v/>
      </c>
      <c r="E1217" s="10">
        <f>IFERROR(INDEX('Review Items'!$E:$E,MATCH(C1217,'Review Items'!$B:$B,0)),IFERROR(INDEX('Rule Updates'!$C:$C,MATCH(C1217,'Rule Updates'!$A:$A,0)),"Review"))</f>
        <v/>
      </c>
      <c r="F1217" s="10" t="n"/>
      <c r="G1217" s="12" t="n">
        <v>1700</v>
      </c>
      <c r="H1217" s="10" t="n">
        <v>4</v>
      </c>
      <c r="I1217" s="10">
        <f>IF(OR(D1217="Uncategorised",E1217=""),"Check","")</f>
        <v/>
      </c>
    </row>
    <row r="1218">
      <c r="A1218" s="10" t="inlineStr">
        <is>
          <t>Amex Feb-2026</t>
        </is>
      </c>
      <c r="B1218" s="11" t="n">
        <v>46068</v>
      </c>
      <c r="C1218" s="10" t="inlineStr">
        <is>
          <t>ASIA MILES LIMITED HONG KONG</t>
        </is>
      </c>
      <c r="D1218" s="10">
        <f>IFERROR(INDEX('Review Items'!$D:$D,MATCH(C1218,'Review Items'!$B:$B,0)),IFERROR(INDEX('Rule Updates'!$B:$B,MATCH(C1218,'Rule Updates'!$A:$A,0)),"Uncategorised"))</f>
        <v/>
      </c>
      <c r="E1218" s="10">
        <f>IFERROR(INDEX('Review Items'!$E:$E,MATCH(C1218,'Review Items'!$B:$B,0)),IFERROR(INDEX('Rule Updates'!$C:$C,MATCH(C1218,'Rule Updates'!$A:$A,0)),"Review"))</f>
        <v/>
      </c>
      <c r="F1218" s="10" t="n"/>
      <c r="G1218" s="12" t="n">
        <v>1014</v>
      </c>
      <c r="H1218" s="10" t="n">
        <v>4</v>
      </c>
      <c r="I1218" s="10">
        <f>IF(OR(D1218="Uncategorised",E1218=""),"Check","")</f>
        <v/>
      </c>
    </row>
    <row r="1219">
      <c r="A1219" s="10" t="inlineStr">
        <is>
          <t>Amex Feb-2026</t>
        </is>
      </c>
      <c r="B1219" s="11" t="n">
        <v>46069</v>
      </c>
      <c r="C1219" s="10" t="inlineStr">
        <is>
          <t>NOBLE HOUSE KUALA LUMPUR</t>
        </is>
      </c>
      <c r="D1219" s="10">
        <f>IFERROR(INDEX('Review Items'!$D:$D,MATCH(C1219,'Review Items'!$B:$B,0)),IFERROR(INDEX('Rule Updates'!$B:$B,MATCH(C1219,'Rule Updates'!$A:$A,0)),"Uncategorised"))</f>
        <v/>
      </c>
      <c r="E1219" s="10">
        <f>IFERROR(INDEX('Review Items'!$E:$E,MATCH(C1219,'Review Items'!$B:$B,0)),IFERROR(INDEX('Rule Updates'!$C:$C,MATCH(C1219,'Rule Updates'!$A:$A,0)),"Review"))</f>
        <v/>
      </c>
      <c r="F1219" s="12" t="n">
        <v>25332.1</v>
      </c>
      <c r="G1219" s="12" t="n">
        <v>51780.85</v>
      </c>
      <c r="H1219" s="10" t="n">
        <v>6</v>
      </c>
      <c r="I1219" s="10">
        <f>IF(OR(D1219="Uncategorised",E1219=""),"Check","")</f>
        <v/>
      </c>
    </row>
    <row r="1220">
      <c r="A1220" s="10" t="inlineStr">
        <is>
          <t>Amex Feb-2026</t>
        </is>
      </c>
      <c r="B1220" s="11" t="n">
        <v>46071</v>
      </c>
      <c r="C1220" s="10" t="inlineStr">
        <is>
          <t>COTE SINGAPORE SINGAPORE</t>
        </is>
      </c>
      <c r="D1220" s="10">
        <f>IFERROR(INDEX('Review Items'!$D:$D,MATCH(C1220,'Review Items'!$B:$B,0)),IFERROR(INDEX('Rule Updates'!$B:$B,MATCH(C1220,'Rule Updates'!$A:$A,0)),"Uncategorised"))</f>
        <v/>
      </c>
      <c r="E1220" s="10">
        <f>IFERROR(INDEX('Review Items'!$E:$E,MATCH(C1220,'Review Items'!$B:$B,0)),IFERROR(INDEX('Rule Updates'!$C:$C,MATCH(C1220,'Rule Updates'!$A:$A,0)),"Review"))</f>
        <v/>
      </c>
      <c r="F1220" s="12" t="n">
        <v>1513.11</v>
      </c>
      <c r="G1220" s="12" t="n">
        <v>9563.85</v>
      </c>
      <c r="H1220" s="10" t="n">
        <v>7</v>
      </c>
      <c r="I1220" s="10">
        <f>IF(OR(D1220="Uncategorised",E1220=""),"Check","")</f>
        <v/>
      </c>
    </row>
    <row r="1221">
      <c r="A1221" s="10" t="inlineStr">
        <is>
          <t>Amex Feb-2026</t>
        </is>
      </c>
      <c r="B1221" s="11" t="n">
        <v>46071</v>
      </c>
      <c r="C1221" s="10" t="inlineStr">
        <is>
          <t>SIXT PORTUGAL RAC _ 307 _ MPAREDES</t>
        </is>
      </c>
      <c r="D1221" s="10">
        <f>IFERROR(INDEX('Review Items'!$D:$D,MATCH(C1221,'Review Items'!$B:$B,0)),IFERROR(INDEX('Rule Updates'!$B:$B,MATCH(C1221,'Rule Updates'!$A:$A,0)),"Uncategorised"))</f>
        <v/>
      </c>
      <c r="E1221" s="10">
        <f>IFERROR(INDEX('Review Items'!$E:$E,MATCH(C1221,'Review Items'!$B:$B,0)),IFERROR(INDEX('Rule Updates'!$C:$C,MATCH(C1221,'Rule Updates'!$A:$A,0)),"Review"))</f>
        <v/>
      </c>
      <c r="F1221" s="12" t="n">
        <v>2035</v>
      </c>
      <c r="G1221" s="12" t="n">
        <v>192.28</v>
      </c>
      <c r="H1221" s="10" t="n">
        <v>6</v>
      </c>
      <c r="I1221" s="10">
        <f>IF(OR(D1221="Uncategorised",E1221=""),"Check","")</f>
        <v/>
      </c>
    </row>
    <row r="1222">
      <c r="A1222" s="10" t="inlineStr">
        <is>
          <t>Amex Feb-2026</t>
        </is>
      </c>
      <c r="B1222" s="11" t="n">
        <v>46071</v>
      </c>
      <c r="C1222" s="10" t="inlineStr">
        <is>
          <t>ST REGIS KUALA LUMPUR ( FKUALA LUMPUR</t>
        </is>
      </c>
      <c r="D1222" s="10">
        <f>IFERROR(INDEX('Review Items'!$D:$D,MATCH(C1222,'Review Items'!$B:$B,0)),IFERROR(INDEX('Rule Updates'!$B:$B,MATCH(C1222,'Rule Updates'!$A:$A,0)),"Uncategorised"))</f>
        <v/>
      </c>
      <c r="E1222" s="10">
        <f>IFERROR(INDEX('Review Items'!$E:$E,MATCH(C1222,'Review Items'!$B:$B,0)),IFERROR(INDEX('Rule Updates'!$C:$C,MATCH(C1222,'Rule Updates'!$A:$A,0)),"Review"))</f>
        <v/>
      </c>
      <c r="F1222" s="12" t="n">
        <v>10002.71</v>
      </c>
      <c r="G1222" s="12" t="n">
        <v>20456.01</v>
      </c>
      <c r="H1222" s="10" t="n">
        <v>4</v>
      </c>
      <c r="I1222" s="10">
        <f>IF(OR(D1222="Uncategorised",E1222=""),"Check","")</f>
        <v/>
      </c>
    </row>
    <row r="1223">
      <c r="A1223" s="10" t="inlineStr">
        <is>
          <t>Amex Feb-2026</t>
        </is>
      </c>
      <c r="B1223" s="11" t="n">
        <v>46073</v>
      </c>
      <c r="C1223" s="10" t="inlineStr">
        <is>
          <t>ASIA MILES LIMITED HONG KONG</t>
        </is>
      </c>
      <c r="D1223" s="10">
        <f>IFERROR(INDEX('Review Items'!$D:$D,MATCH(C1223,'Review Items'!$B:$B,0)),IFERROR(INDEX('Rule Updates'!$B:$B,MATCH(C1223,'Rule Updates'!$A:$A,0)),"Uncategorised"))</f>
        <v/>
      </c>
      <c r="E1223" s="10">
        <f>IFERROR(INDEX('Review Items'!$E:$E,MATCH(C1223,'Review Items'!$B:$B,0)),IFERROR(INDEX('Rule Updates'!$C:$C,MATCH(C1223,'Rule Updates'!$A:$A,0)),"Review"))</f>
        <v/>
      </c>
      <c r="F1223" s="10" t="n"/>
      <c r="G1223" s="12" t="n">
        <v>-329</v>
      </c>
      <c r="H1223" s="10" t="n">
        <v>4</v>
      </c>
      <c r="I1223" s="10">
        <f>IF(OR(D1223="Uncategorised",E1223=""),"Check","")</f>
        <v/>
      </c>
    </row>
    <row r="1224">
      <c r="A1224" s="10" t="inlineStr">
        <is>
          <t>Amex Feb-2026</t>
        </is>
      </c>
      <c r="B1224" s="11" t="n">
        <v>46074</v>
      </c>
      <c r="C1224" s="10" t="inlineStr">
        <is>
          <t>GARMIN ( EUROPE ) LIMITED SOUTHAMPTON</t>
        </is>
      </c>
      <c r="D1224" s="10">
        <f>IFERROR(INDEX('Review Items'!$D:$D,MATCH(C1224,'Review Items'!$B:$B,0)),IFERROR(INDEX('Rule Updates'!$B:$B,MATCH(C1224,'Rule Updates'!$A:$A,0)),"Uncategorised"))</f>
        <v/>
      </c>
      <c r="E1224" s="10">
        <f>IFERROR(INDEX('Review Items'!$E:$E,MATCH(C1224,'Review Items'!$B:$B,0)),IFERROR(INDEX('Rule Updates'!$C:$C,MATCH(C1224,'Rule Updates'!$A:$A,0)),"Review"))</f>
        <v/>
      </c>
      <c r="F1224" s="10" t="n"/>
      <c r="G1224" s="12" t="n">
        <v>89</v>
      </c>
      <c r="H1224" s="10" t="n">
        <v>5</v>
      </c>
      <c r="I1224" s="10">
        <f>IF(OR(D1224="Uncategorised",E1224=""),"Check","")</f>
        <v/>
      </c>
    </row>
    <row r="1225">
      <c r="A1225" s="10" t="inlineStr">
        <is>
          <t>Amex Feb-2026</t>
        </is>
      </c>
      <c r="B1225" s="11" t="n">
        <v>46074</v>
      </c>
      <c r="C1225" s="10" t="inlineStr">
        <is>
          <t>LACOSTE TERMINAL 4 SINGAPORE</t>
        </is>
      </c>
      <c r="D1225" s="10">
        <f>IFERROR(INDEX('Review Items'!$D:$D,MATCH(C1225,'Review Items'!$B:$B,0)),IFERROR(INDEX('Rule Updates'!$B:$B,MATCH(C1225,'Rule Updates'!$A:$A,0)),"Uncategorised"))</f>
        <v/>
      </c>
      <c r="E1225" s="10">
        <f>IFERROR(INDEX('Review Items'!$E:$E,MATCH(C1225,'Review Items'!$B:$B,0)),IFERROR(INDEX('Rule Updates'!$C:$C,MATCH(C1225,'Rule Updates'!$A:$A,0)),"Review"))</f>
        <v/>
      </c>
      <c r="F1225" s="12" t="n">
        <v>235</v>
      </c>
      <c r="G1225" s="12" t="n">
        <v>1479.81</v>
      </c>
      <c r="H1225" s="10" t="n">
        <v>4</v>
      </c>
      <c r="I1225" s="10">
        <f>IF(OR(D1225="Uncategorised",E1225=""),"Check","")</f>
        <v/>
      </c>
    </row>
    <row r="1226">
      <c r="A1226" s="10" t="inlineStr">
        <is>
          <t>Amex Feb-2026</t>
        </is>
      </c>
      <c r="B1226" s="11" t="n">
        <v>46074</v>
      </c>
      <c r="C1226" s="10" t="inlineStr">
        <is>
          <t>LACOSTE TERMINAL 4 SINGAPORE</t>
        </is>
      </c>
      <c r="D1226" s="10">
        <f>IFERROR(INDEX('Review Items'!$D:$D,MATCH(C1226,'Review Items'!$B:$B,0)),IFERROR(INDEX('Rule Updates'!$B:$B,MATCH(C1226,'Rule Updates'!$A:$A,0)),"Uncategorised"))</f>
        <v/>
      </c>
      <c r="E1226" s="10">
        <f>IFERROR(INDEX('Review Items'!$E:$E,MATCH(C1226,'Review Items'!$B:$B,0)),IFERROR(INDEX('Rule Updates'!$C:$C,MATCH(C1226,'Rule Updates'!$A:$A,0)),"Review"))</f>
        <v/>
      </c>
      <c r="F1226" s="12" t="n">
        <v>235</v>
      </c>
      <c r="G1226" s="12" t="n">
        <v>1479.81</v>
      </c>
      <c r="H1226" s="10" t="n">
        <v>5</v>
      </c>
      <c r="I1226" s="10">
        <f>IF(OR(D1226="Uncategorised",E1226=""),"Check","")</f>
        <v/>
      </c>
    </row>
    <row r="1227">
      <c r="A1227" s="10" t="inlineStr">
        <is>
          <t>Amex Feb-2026</t>
        </is>
      </c>
      <c r="B1227" s="11" t="n">
        <v>46074</v>
      </c>
      <c r="C1227" s="10" t="inlineStr">
        <is>
          <t>RAFFLES HOTEL SINGAPORE SINGAPORE</t>
        </is>
      </c>
      <c r="D1227" s="10">
        <f>IFERROR(INDEX('Review Items'!$D:$D,MATCH(C1227,'Review Items'!$B:$B,0)),IFERROR(INDEX('Rule Updates'!$B:$B,MATCH(C1227,'Rule Updates'!$A:$A,0)),"Uncategorised"))</f>
        <v/>
      </c>
      <c r="E1227" s="10">
        <f>IFERROR(INDEX('Review Items'!$E:$E,MATCH(C1227,'Review Items'!$B:$B,0)),IFERROR(INDEX('Rule Updates'!$C:$C,MATCH(C1227,'Rule Updates'!$A:$A,0)),"Review"))</f>
        <v/>
      </c>
      <c r="F1227" s="12" t="n">
        <v>25204.18</v>
      </c>
      <c r="G1227" s="12" t="n">
        <v>158711.32</v>
      </c>
      <c r="H1227" s="10" t="n">
        <v>4</v>
      </c>
      <c r="I1227" s="10">
        <f>IF(OR(D1227="Uncategorised",E1227=""),"Check","")</f>
        <v/>
      </c>
    </row>
    <row r="1228">
      <c r="A1228" s="10" t="inlineStr">
        <is>
          <t>Amex Feb-2026</t>
        </is>
      </c>
      <c r="B1228" s="11" t="n">
        <v>46075</v>
      </c>
      <c r="C1228" s="10" t="inlineStr">
        <is>
          <t>Rh yt hm J apa n me ng ti a n j un j</t>
        </is>
      </c>
      <c r="D1228" s="10">
        <f>IFERROR(INDEX('Review Items'!$D:$D,MATCH(C1228,'Review Items'!$B:$B,0)),IFERROR(INDEX('Rule Updates'!$B:$B,MATCH(C1228,'Rule Updates'!$A:$A,0)),"Uncategorised"))</f>
        <v/>
      </c>
      <c r="E1228" s="10">
        <f>IFERROR(INDEX('Review Items'!$E:$E,MATCH(C1228,'Review Items'!$B:$B,0)),IFERROR(INDEX('Rule Updates'!$C:$C,MATCH(C1228,'Rule Updates'!$A:$A,0)),"Review"))</f>
        <v/>
      </c>
      <c r="F1228" s="12" t="n">
        <v>411600</v>
      </c>
      <c r="G1228" s="12" t="n">
        <v>21202.09</v>
      </c>
      <c r="H1228" s="10" t="n">
        <v>5</v>
      </c>
      <c r="I1228" s="10">
        <f>IF(OR(D1228="Uncategorised",E1228=""),"Check","")</f>
        <v/>
      </c>
    </row>
    <row r="1229">
      <c r="A1229" s="10" t="inlineStr">
        <is>
          <t>Amex Feb-2026</t>
        </is>
      </c>
      <c r="B1229" s="11" t="n">
        <v>46076</v>
      </c>
      <c r="C1229" s="10" t="inlineStr">
        <is>
          <t>IL COLPO PACIFIC PLACE ADMIRALTY</t>
        </is>
      </c>
      <c r="D1229" s="10">
        <f>IFERROR(INDEX('Review Items'!$D:$D,MATCH(C1229,'Review Items'!$B:$B,0)),IFERROR(INDEX('Rule Updates'!$B:$B,MATCH(C1229,'Rule Updates'!$A:$A,0)),"Uncategorised"))</f>
        <v/>
      </c>
      <c r="E1229" s="10">
        <f>IFERROR(INDEX('Review Items'!$E:$E,MATCH(C1229,'Review Items'!$B:$B,0)),IFERROR(INDEX('Rule Updates'!$C:$C,MATCH(C1229,'Rule Updates'!$A:$A,0)),"Review"))</f>
        <v/>
      </c>
      <c r="F1229" s="10" t="n"/>
      <c r="G1229" s="12" t="n">
        <v>5760</v>
      </c>
      <c r="H1229" s="10" t="n">
        <v>5</v>
      </c>
      <c r="I1229" s="10">
        <f>IF(OR(D1229="Uncategorised",E1229=""),"Check","")</f>
        <v/>
      </c>
    </row>
    <row r="1230">
      <c r="A1230" s="10" t="inlineStr">
        <is>
          <t>Amex Feb-2026</t>
        </is>
      </c>
      <c r="B1230" s="11" t="n">
        <v>46076</v>
      </c>
      <c r="C1230" s="10" t="inlineStr">
        <is>
          <t>TUMI ASIA LIMITED</t>
        </is>
      </c>
      <c r="D1230" s="10">
        <f>IFERROR(INDEX('Review Items'!$D:$D,MATCH(C1230,'Review Items'!$B:$B,0)),IFERROR(INDEX('Rule Updates'!$B:$B,MATCH(C1230,'Rule Updates'!$A:$A,0)),"Uncategorised"))</f>
        <v/>
      </c>
      <c r="E1230" s="10">
        <f>IFERROR(INDEX('Review Items'!$E:$E,MATCH(C1230,'Review Items'!$B:$B,0)),IFERROR(INDEX('Rule Updates'!$C:$C,MATCH(C1230,'Rule Updates'!$A:$A,0)),"Review"))</f>
        <v/>
      </c>
      <c r="F1230" s="10" t="n"/>
      <c r="G1230" s="12" t="n">
        <v>-400</v>
      </c>
      <c r="H1230" s="10" t="n">
        <v>8</v>
      </c>
      <c r="I1230" s="10">
        <f>IF(OR(D1230="Uncategorised",E1230=""),"Check","")</f>
        <v/>
      </c>
    </row>
    <row r="1231">
      <c r="A1231" s="10" t="inlineStr">
        <is>
          <t>Amex Feb-2026</t>
        </is>
      </c>
      <c r="B1231" s="11" t="n">
        <v>46076</v>
      </c>
      <c r="C1231" s="10" t="inlineStr">
        <is>
          <t>TUMI ASIA LIMITED CENTRAL</t>
        </is>
      </c>
      <c r="D1231" s="10">
        <f>IFERROR(INDEX('Review Items'!$D:$D,MATCH(C1231,'Review Items'!$B:$B,0)),IFERROR(INDEX('Rule Updates'!$B:$B,MATCH(C1231,'Rule Updates'!$A:$A,0)),"Uncategorised"))</f>
        <v/>
      </c>
      <c r="E1231" s="10">
        <f>IFERROR(INDEX('Review Items'!$E:$E,MATCH(C1231,'Review Items'!$B:$B,0)),IFERROR(INDEX('Rule Updates'!$C:$C,MATCH(C1231,'Rule Updates'!$A:$A,0)),"Review"))</f>
        <v/>
      </c>
      <c r="F1231" s="10" t="n"/>
      <c r="G1231" s="12" t="n">
        <v>9500</v>
      </c>
      <c r="H1231" s="10" t="n">
        <v>7</v>
      </c>
      <c r="I1231" s="10">
        <f>IF(OR(D1231="Uncategorised",E1231=""),"Check","")</f>
        <v/>
      </c>
    </row>
    <row r="1232">
      <c r="A1232" s="10" t="inlineStr">
        <is>
          <t>Amex Feb-2026</t>
        </is>
      </c>
      <c r="B1232" s="11" t="n">
        <v>46077</v>
      </c>
      <c r="C1232" s="10" t="inlineStr">
        <is>
          <t>Rh yt hm J apa n me ng ti a n j un j</t>
        </is>
      </c>
      <c r="D1232" s="10">
        <f>IFERROR(INDEX('Review Items'!$D:$D,MATCH(C1232,'Review Items'!$B:$B,0)),IFERROR(INDEX('Rule Updates'!$B:$B,MATCH(C1232,'Rule Updates'!$A:$A,0)),"Uncategorised"))</f>
        <v/>
      </c>
      <c r="E1232" s="10">
        <f>IFERROR(INDEX('Review Items'!$E:$E,MATCH(C1232,'Review Items'!$B:$B,0)),IFERROR(INDEX('Rule Updates'!$C:$C,MATCH(C1232,'Rule Updates'!$A:$A,0)),"Review"))</f>
        <v/>
      </c>
      <c r="F1232" s="12" t="n">
        <v>51000</v>
      </c>
      <c r="G1232" s="12" t="n">
        <v>-2575.54</v>
      </c>
      <c r="H1232" s="10" t="n">
        <v>5</v>
      </c>
      <c r="I1232" s="10">
        <f>IF(OR(D1232="Uncategorised",E1232=""),"Check","")</f>
        <v/>
      </c>
    </row>
    <row r="1233">
      <c r="A1233" s="10" t="inlineStr">
        <is>
          <t>Amex Feb-2026</t>
        </is>
      </c>
      <c r="B1233" s="11" t="n">
        <v>46077</v>
      </c>
      <c r="C1233" s="10" t="inlineStr">
        <is>
          <t>SCMP* SCMP HONG KONG</t>
        </is>
      </c>
      <c r="D1233" s="10">
        <f>IFERROR(INDEX('Review Items'!$D:$D,MATCH(C1233,'Review Items'!$B:$B,0)),IFERROR(INDEX('Rule Updates'!$B:$B,MATCH(C1233,'Rule Updates'!$A:$A,0)),"Uncategorised"))</f>
        <v/>
      </c>
      <c r="E1233" s="10">
        <f>IFERROR(INDEX('Review Items'!$E:$E,MATCH(C1233,'Review Items'!$B:$B,0)),IFERROR(INDEX('Rule Updates'!$C:$C,MATCH(C1233,'Rule Updates'!$A:$A,0)),"Review"))</f>
        <v/>
      </c>
      <c r="F1233" s="12" t="n">
        <v>120</v>
      </c>
      <c r="G1233" s="12" t="n">
        <v>957.15</v>
      </c>
      <c r="H1233" s="10" t="n">
        <v>5</v>
      </c>
      <c r="I1233" s="10">
        <f>IF(OR(D1233="Uncategorised",E1233=""),"Check","")</f>
        <v/>
      </c>
    </row>
    <row r="1234">
      <c r="A1234" s="10" t="inlineStr">
        <is>
          <t>Amex Feb-2026</t>
        </is>
      </c>
      <c r="B1234" s="11" t="n">
        <v>46079</v>
      </c>
      <c r="C1234" s="10" t="inlineStr">
        <is>
          <t>CROSTA JAPANK.K. me ng ti a n j unni</t>
        </is>
      </c>
      <c r="D1234" s="10">
        <f>IFERROR(INDEX('Review Items'!$D:$D,MATCH(C1234,'Review Items'!$B:$B,0)),IFERROR(INDEX('Rule Updates'!$B:$B,MATCH(C1234,'Rule Updates'!$A:$A,0)),"Uncategorised"))</f>
        <v/>
      </c>
      <c r="E1234" s="10">
        <f>IFERROR(INDEX('Review Items'!$E:$E,MATCH(C1234,'Review Items'!$B:$B,0)),IFERROR(INDEX('Rule Updates'!$C:$C,MATCH(C1234,'Rule Updates'!$A:$A,0)),"Review"))</f>
        <v/>
      </c>
      <c r="F1234" s="12" t="n">
        <v>43090</v>
      </c>
      <c r="G1234" s="12" t="n">
        <v>2205.01</v>
      </c>
      <c r="H1234" s="10" t="n">
        <v>5</v>
      </c>
      <c r="I1234" s="10">
        <f>IF(OR(D1234="Uncategorised",E1234=""),"Check","")</f>
        <v/>
      </c>
    </row>
    <row r="1235">
      <c r="A1235" s="10" t="inlineStr">
        <is>
          <t>Amex Mar-2026</t>
        </is>
      </c>
      <c r="B1235" s="11" t="n">
        <v>46079</v>
      </c>
      <c r="C1235" s="10" t="inlineStr">
        <is>
          <t>L u ke ' s Alpine Club meng t ian j u n</t>
        </is>
      </c>
      <c r="D1235" s="10">
        <f>IFERROR(INDEX('Review Items'!$D:$D,MATCH(C1235,'Review Items'!$B:$B,0)),IFERROR(INDEX('Rule Updates'!$B:$B,MATCH(C1235,'Rule Updates'!$A:$A,0)),"Uncategorised"))</f>
        <v/>
      </c>
      <c r="E1235" s="10">
        <f>IFERROR(INDEX('Review Items'!$E:$E,MATCH(C1235,'Review Items'!$B:$B,0)),IFERROR(INDEX('Rule Updates'!$C:$C,MATCH(C1235,'Rule Updates'!$A:$A,0)),"Review"))</f>
        <v/>
      </c>
      <c r="F1235" s="12" t="n">
        <v>109880</v>
      </c>
      <c r="G1235" s="12" t="n">
        <v>5622.89</v>
      </c>
      <c r="H1235" s="10" t="n">
        <v>1</v>
      </c>
      <c r="I1235" s="10">
        <f>IF(OR(D1235="Uncategorised",E1235=""),"Check","")</f>
        <v/>
      </c>
    </row>
    <row r="1236">
      <c r="A1236" s="10" t="inlineStr">
        <is>
          <t>Amex Mar-2026</t>
        </is>
      </c>
      <c r="B1236" s="11" t="n">
        <v>46079</v>
      </c>
      <c r="C1236" s="10" t="inlineStr">
        <is>
          <t>Niseko ANNUPURI KOKUSAI HOKKAIDO</t>
        </is>
      </c>
      <c r="D1236" s="10">
        <f>IFERROR(INDEX('Review Items'!$D:$D,MATCH(C1236,'Review Items'!$B:$B,0)),IFERROR(INDEX('Rule Updates'!$B:$B,MATCH(C1236,'Rule Updates'!$A:$A,0)),"Uncategorised"))</f>
        <v/>
      </c>
      <c r="E1236" s="10">
        <f>IFERROR(INDEX('Review Items'!$E:$E,MATCH(C1236,'Review Items'!$B:$B,0)),IFERROR(INDEX('Rule Updates'!$C:$C,MATCH(C1236,'Rule Updates'!$A:$A,0)),"Review"))</f>
        <v/>
      </c>
      <c r="F1236" s="12" t="n">
        <v>35200</v>
      </c>
      <c r="G1236" s="12" t="n">
        <v>1802.76</v>
      </c>
      <c r="H1236" s="10" t="n">
        <v>1</v>
      </c>
      <c r="I1236" s="10">
        <f>IF(OR(D1236="Uncategorised",E1236=""),"Check","")</f>
        <v/>
      </c>
    </row>
    <row r="1237">
      <c r="A1237" s="10" t="inlineStr">
        <is>
          <t>Amex Mar-2026</t>
        </is>
      </c>
      <c r="B1237" s="11" t="n">
        <v>46079</v>
      </c>
      <c r="C1237" s="10" t="inlineStr">
        <is>
          <t>SATSUDORA NISEKOHIRAHUT HOKKAIDO</t>
        </is>
      </c>
      <c r="D1237" s="10">
        <f>IFERROR(INDEX('Review Items'!$D:$D,MATCH(C1237,'Review Items'!$B:$B,0)),IFERROR(INDEX('Rule Updates'!$B:$B,MATCH(C1237,'Rule Updates'!$A:$A,0)),"Uncategorised"))</f>
        <v/>
      </c>
      <c r="E1237" s="10">
        <f>IFERROR(INDEX('Review Items'!$E:$E,MATCH(C1237,'Review Items'!$B:$B,0)),IFERROR(INDEX('Rule Updates'!$C:$C,MATCH(C1237,'Rule Updates'!$A:$A,0)),"Review"))</f>
        <v/>
      </c>
      <c r="F1237" s="12" t="n">
        <v>1800</v>
      </c>
      <c r="G1237" s="12" t="n">
        <v>92.17</v>
      </c>
      <c r="H1237" s="10" t="n">
        <v>1</v>
      </c>
      <c r="I1237" s="10">
        <f>IF(OR(D1237="Uncategorised",E1237=""),"Check","")</f>
        <v/>
      </c>
    </row>
    <row r="1238">
      <c r="A1238" s="10" t="inlineStr">
        <is>
          <t>Amex Mar-2026</t>
        </is>
      </c>
      <c r="B1238" s="11" t="n">
        <v>46080</v>
      </c>
      <c r="C1238" s="10" t="inlineStr">
        <is>
          <t>Kumo meng t ian j u n</t>
        </is>
      </c>
      <c r="D1238" s="10">
        <f>IFERROR(INDEX('Review Items'!$D:$D,MATCH(C1238,'Review Items'!$B:$B,0)),IFERROR(INDEX('Rule Updates'!$B:$B,MATCH(C1238,'Rule Updates'!$A:$A,0)),"Uncategorised"))</f>
        <v/>
      </c>
      <c r="E1238" s="10">
        <f>IFERROR(INDEX('Review Items'!$E:$E,MATCH(C1238,'Review Items'!$B:$B,0)),IFERROR(INDEX('Rule Updates'!$C:$C,MATCH(C1238,'Rule Updates'!$A:$A,0)),"Review"))</f>
        <v/>
      </c>
      <c r="F1238" s="12" t="n">
        <v>11750</v>
      </c>
      <c r="G1238" s="12" t="n">
        <v>601.75</v>
      </c>
      <c r="H1238" s="10" t="n">
        <v>2</v>
      </c>
      <c r="I1238" s="10">
        <f>IF(OR(D1238="Uncategorised",E1238=""),"Check","")</f>
        <v/>
      </c>
    </row>
    <row r="1239">
      <c r="A1239" s="10" t="inlineStr">
        <is>
          <t>Amex Mar-2026</t>
        </is>
      </c>
      <c r="B1239" s="11" t="n">
        <v>46080</v>
      </c>
      <c r="C1239" s="10" t="inlineStr">
        <is>
          <t>NISEKOVILLA HOKKAIDO</t>
        </is>
      </c>
      <c r="D1239" s="10">
        <f>IFERROR(INDEX('Review Items'!$D:$D,MATCH(C1239,'Review Items'!$B:$B,0)),IFERROR(INDEX('Rule Updates'!$B:$B,MATCH(C1239,'Rule Updates'!$A:$A,0)),"Uncategorised"))</f>
        <v/>
      </c>
      <c r="E1239" s="10">
        <f>IFERROR(INDEX('Review Items'!$E:$E,MATCH(C1239,'Review Items'!$B:$B,0)),IFERROR(INDEX('Rule Updates'!$C:$C,MATCH(C1239,'Rule Updates'!$A:$A,0)),"Review"))</f>
        <v/>
      </c>
      <c r="F1239" s="12" t="n">
        <v>22000</v>
      </c>
      <c r="G1239" s="12" t="n">
        <v>1126.75</v>
      </c>
      <c r="H1239" s="10" t="n">
        <v>2</v>
      </c>
      <c r="I1239" s="10">
        <f>IF(OR(D1239="Uncategorised",E1239=""),"Check","")</f>
        <v/>
      </c>
    </row>
    <row r="1240">
      <c r="A1240" s="10" t="inlineStr">
        <is>
          <t>Amex Mar-2026</t>
        </is>
      </c>
      <c r="B1240" s="11" t="n">
        <v>46080</v>
      </c>
      <c r="C1240" s="10" t="inlineStr">
        <is>
          <t>OMAKASE SHIBUYAKU</t>
        </is>
      </c>
      <c r="D1240" s="10">
        <f>IFERROR(INDEX('Review Items'!$D:$D,MATCH(C1240,'Review Items'!$B:$B,0)),IFERROR(INDEX('Rule Updates'!$B:$B,MATCH(C1240,'Rule Updates'!$A:$A,0)),"Uncategorised"))</f>
        <v/>
      </c>
      <c r="E1240" s="10">
        <f>IFERROR(INDEX('Review Items'!$E:$E,MATCH(C1240,'Review Items'!$B:$B,0)),IFERROR(INDEX('Rule Updates'!$C:$C,MATCH(C1240,'Rule Updates'!$A:$A,0)),"Review"))</f>
        <v/>
      </c>
      <c r="F1240" s="12" t="n">
        <v>780</v>
      </c>
      <c r="G1240" s="12" t="n">
        <v>39.88</v>
      </c>
      <c r="H1240" s="10" t="n">
        <v>1</v>
      </c>
      <c r="I1240" s="10">
        <f>IF(OR(D1240="Uncategorised",E1240=""),"Check","")</f>
        <v/>
      </c>
    </row>
    <row r="1241">
      <c r="A1241" s="10" t="inlineStr">
        <is>
          <t>Amex Mar-2026</t>
        </is>
      </c>
      <c r="B1241" s="11" t="n">
        <v>46080</v>
      </c>
      <c r="C1241" s="10" t="inlineStr">
        <is>
          <t>RAKUTENPAY BARISTART CO HOKKAIDO</t>
        </is>
      </c>
      <c r="D1241" s="10">
        <f>IFERROR(INDEX('Review Items'!$D:$D,MATCH(C1241,'Review Items'!$B:$B,0)),IFERROR(INDEX('Rule Updates'!$B:$B,MATCH(C1241,'Rule Updates'!$A:$A,0)),"Uncategorised"))</f>
        <v/>
      </c>
      <c r="E1241" s="10">
        <f>IFERROR(INDEX('Review Items'!$E:$E,MATCH(C1241,'Review Items'!$B:$B,0)),IFERROR(INDEX('Rule Updates'!$C:$C,MATCH(C1241,'Rule Updates'!$A:$A,0)),"Review"))</f>
        <v/>
      </c>
      <c r="F1241" s="12" t="n">
        <v>1800</v>
      </c>
      <c r="G1241" s="12" t="n">
        <v>90.38</v>
      </c>
      <c r="H1241" s="10" t="n">
        <v>2</v>
      </c>
      <c r="I1241" s="10">
        <f>IF(OR(D1241="Uncategorised",E1241=""),"Check","")</f>
        <v/>
      </c>
    </row>
    <row r="1242">
      <c r="A1242" s="10" t="inlineStr">
        <is>
          <t>Amex Mar-2026</t>
        </is>
      </c>
      <c r="B1242" s="11" t="n">
        <v>46080</v>
      </c>
      <c r="C1242" s="10" t="inlineStr">
        <is>
          <t>RIKKA AIR HOKKAIDO</t>
        </is>
      </c>
      <c r="D1242" s="10">
        <f>IFERROR(INDEX('Review Items'!$D:$D,MATCH(C1242,'Review Items'!$B:$B,0)),IFERROR(INDEX('Rule Updates'!$B:$B,MATCH(C1242,'Rule Updates'!$A:$A,0)),"Uncategorised"))</f>
        <v/>
      </c>
      <c r="E1242" s="10">
        <f>IFERROR(INDEX('Review Items'!$E:$E,MATCH(C1242,'Review Items'!$B:$B,0)),IFERROR(INDEX('Rule Updates'!$C:$C,MATCH(C1242,'Rule Updates'!$A:$A,0)),"Review"))</f>
        <v/>
      </c>
      <c r="F1242" s="12" t="n">
        <v>174614</v>
      </c>
      <c r="G1242" s="12" t="n">
        <v>8942.889999999999</v>
      </c>
      <c r="H1242" s="10" t="n">
        <v>2</v>
      </c>
      <c r="I1242" s="10">
        <f>IF(OR(D1242="Uncategorised",E1242=""),"Check","")</f>
        <v/>
      </c>
    </row>
    <row r="1243">
      <c r="A1243" s="10" t="inlineStr">
        <is>
          <t>Amex Mar-2026</t>
        </is>
      </c>
      <c r="B1243" s="11" t="n">
        <v>46080</v>
      </c>
      <c r="C1243" s="10" t="inlineStr">
        <is>
          <t>Skye Cafe meng t ian j u n</t>
        </is>
      </c>
      <c r="D1243" s="10">
        <f>IFERROR(INDEX('Review Items'!$D:$D,MATCH(C1243,'Review Items'!$B:$B,0)),IFERROR(INDEX('Rule Updates'!$B:$B,MATCH(C1243,'Rule Updates'!$A:$A,0)),"Uncategorised"))</f>
        <v/>
      </c>
      <c r="E1243" s="10">
        <f>IFERROR(INDEX('Review Items'!$E:$E,MATCH(C1243,'Review Items'!$B:$B,0)),IFERROR(INDEX('Rule Updates'!$C:$C,MATCH(C1243,'Rule Updates'!$A:$A,0)),"Review"))</f>
        <v/>
      </c>
      <c r="F1243" s="12" t="n">
        <v>1000</v>
      </c>
      <c r="G1243" s="12" t="n">
        <v>51.23</v>
      </c>
      <c r="H1243" s="10" t="n">
        <v>1</v>
      </c>
      <c r="I1243" s="10">
        <f>IF(OR(D1243="Uncategorised",E1243=""),"Check","")</f>
        <v/>
      </c>
    </row>
    <row r="1244">
      <c r="A1244" s="10" t="inlineStr">
        <is>
          <t>Amex Mar-2026</t>
        </is>
      </c>
      <c r="B1244" s="11" t="n">
        <v>46081</v>
      </c>
      <c r="C1244" s="10" t="inlineStr">
        <is>
          <t>NISEKOVILLA HOKKAIDO</t>
        </is>
      </c>
      <c r="D1244" s="10">
        <f>IFERROR(INDEX('Review Items'!$D:$D,MATCH(C1244,'Review Items'!$B:$B,0)),IFERROR(INDEX('Rule Updates'!$B:$B,MATCH(C1244,'Rule Updates'!$A:$A,0)),"Uncategorised"))</f>
        <v/>
      </c>
      <c r="E1244" s="10">
        <f>IFERROR(INDEX('Review Items'!$E:$E,MATCH(C1244,'Review Items'!$B:$B,0)),IFERROR(INDEX('Rule Updates'!$C:$C,MATCH(C1244,'Rule Updates'!$A:$A,0)),"Review"))</f>
        <v/>
      </c>
      <c r="F1244" s="12" t="n">
        <v>11000</v>
      </c>
      <c r="G1244" s="12" t="n">
        <v>559.84</v>
      </c>
      <c r="H1244" s="10" t="n">
        <v>2</v>
      </c>
      <c r="I1244" s="10">
        <f>IF(OR(D1244="Uncategorised",E1244=""),"Check","")</f>
        <v/>
      </c>
    </row>
    <row r="1245">
      <c r="A1245" s="10" t="inlineStr">
        <is>
          <t>Amex Mar-2026</t>
        </is>
      </c>
      <c r="B1245" s="11" t="n">
        <v>46081</v>
      </c>
      <c r="C1245" s="10" t="inlineStr">
        <is>
          <t>Ni s ekoBion meng t ian j u n j</t>
        </is>
      </c>
      <c r="D1245" s="10">
        <f>IFERROR(INDEX('Review Items'!$D:$D,MATCH(C1245,'Review Items'!$B:$B,0)),IFERROR(INDEX('Rule Updates'!$B:$B,MATCH(C1245,'Rule Updates'!$A:$A,0)),"Uncategorised"))</f>
        <v/>
      </c>
      <c r="E1245" s="10">
        <f>IFERROR(INDEX('Review Items'!$E:$E,MATCH(C1245,'Review Items'!$B:$B,0)),IFERROR(INDEX('Rule Updates'!$C:$C,MATCH(C1245,'Rule Updates'!$A:$A,0)),"Review"))</f>
        <v/>
      </c>
      <c r="F1245" s="12" t="n">
        <v>64900</v>
      </c>
      <c r="G1245" s="12" t="n">
        <v>3323.9</v>
      </c>
      <c r="H1245" s="10" t="n">
        <v>8</v>
      </c>
      <c r="I1245" s="10">
        <f>IF(OR(D1245="Uncategorised",E1245=""),"Check","")</f>
        <v/>
      </c>
    </row>
    <row r="1246">
      <c r="A1246" s="10" t="inlineStr">
        <is>
          <t>Amex Mar-2026</t>
        </is>
      </c>
      <c r="B1246" s="11" t="n">
        <v>46081</v>
      </c>
      <c r="C1246" s="10" t="inlineStr">
        <is>
          <t>RAKUTENPAY BARISTART CO HOKKAIDO</t>
        </is>
      </c>
      <c r="D1246" s="10">
        <f>IFERROR(INDEX('Review Items'!$D:$D,MATCH(C1246,'Review Items'!$B:$B,0)),IFERROR(INDEX('Rule Updates'!$B:$B,MATCH(C1246,'Rule Updates'!$A:$A,0)),"Uncategorised"))</f>
        <v/>
      </c>
      <c r="E1246" s="10">
        <f>IFERROR(INDEX('Review Items'!$E:$E,MATCH(C1246,'Review Items'!$B:$B,0)),IFERROR(INDEX('Rule Updates'!$C:$C,MATCH(C1246,'Rule Updates'!$A:$A,0)),"Review"))</f>
        <v/>
      </c>
      <c r="F1246" s="12" t="n">
        <v>1600</v>
      </c>
      <c r="G1246" s="12" t="n">
        <v>80.31999999999999</v>
      </c>
      <c r="H1246" s="10" t="n">
        <v>2</v>
      </c>
      <c r="I1246" s="10">
        <f>IF(OR(D1246="Uncategorised",E1246=""),"Check","")</f>
        <v/>
      </c>
    </row>
    <row r="1247">
      <c r="A1247" s="10" t="inlineStr">
        <is>
          <t>Amex Mar-2026</t>
        </is>
      </c>
      <c r="B1247" s="11" t="n">
        <v>46081</v>
      </c>
      <c r="C1247" s="10" t="inlineStr">
        <is>
          <t>SATSUDORA NISEKOHIRAHUT HOKKAIDO</t>
        </is>
      </c>
      <c r="D1247" s="10">
        <f>IFERROR(INDEX('Review Items'!$D:$D,MATCH(C1247,'Review Items'!$B:$B,0)),IFERROR(INDEX('Rule Updates'!$B:$B,MATCH(C1247,'Rule Updates'!$A:$A,0)),"Uncategorised"))</f>
        <v/>
      </c>
      <c r="E1247" s="10">
        <f>IFERROR(INDEX('Review Items'!$E:$E,MATCH(C1247,'Review Items'!$B:$B,0)),IFERROR(INDEX('Rule Updates'!$C:$C,MATCH(C1247,'Rule Updates'!$A:$A,0)),"Review"))</f>
        <v/>
      </c>
      <c r="F1247" s="12" t="n">
        <v>2864</v>
      </c>
      <c r="G1247" s="12" t="n">
        <v>145.78</v>
      </c>
      <c r="H1247" s="10" t="n">
        <v>2</v>
      </c>
      <c r="I1247" s="10">
        <f>IF(OR(D1247="Uncategorised",E1247=""),"Check","")</f>
        <v/>
      </c>
    </row>
    <row r="1248">
      <c r="A1248" s="10" t="inlineStr">
        <is>
          <t>Amex Mar-2026</t>
        </is>
      </c>
      <c r="B1248" s="11" t="n">
        <v>46082</v>
      </c>
      <c r="C1248" s="10" t="inlineStr">
        <is>
          <t>MOUNTAIN KIOSK CO FF EE meng t ian j u n</t>
        </is>
      </c>
      <c r="D1248" s="10">
        <f>IFERROR(INDEX('Review Items'!$D:$D,MATCH(C1248,'Review Items'!$B:$B,0)),IFERROR(INDEX('Rule Updates'!$B:$B,MATCH(C1248,'Rule Updates'!$A:$A,0)),"Uncategorised"))</f>
        <v/>
      </c>
      <c r="E1248" s="10">
        <f>IFERROR(INDEX('Review Items'!$E:$E,MATCH(C1248,'Review Items'!$B:$B,0)),IFERROR(INDEX('Rule Updates'!$C:$C,MATCH(C1248,'Rule Updates'!$A:$A,0)),"Review"))</f>
        <v/>
      </c>
      <c r="F1248" s="12" t="n">
        <v>1000</v>
      </c>
      <c r="G1248" s="12" t="n">
        <v>51.23</v>
      </c>
      <c r="H1248" s="10" t="n">
        <v>2</v>
      </c>
      <c r="I1248" s="10">
        <f>IF(OR(D1248="Uncategorised",E1248=""),"Check","")</f>
        <v/>
      </c>
    </row>
    <row r="1249">
      <c r="A1249" s="10" t="inlineStr">
        <is>
          <t>Amex Mar-2026</t>
        </is>
      </c>
      <c r="B1249" s="11" t="n">
        <v>46082</v>
      </c>
      <c r="C1249" s="10" t="inlineStr">
        <is>
          <t>NISEKOVILLA HOKKAIDO</t>
        </is>
      </c>
      <c r="D1249" s="10">
        <f>IFERROR(INDEX('Review Items'!$D:$D,MATCH(C1249,'Review Items'!$B:$B,0)),IFERROR(INDEX('Rule Updates'!$B:$B,MATCH(C1249,'Rule Updates'!$A:$A,0)),"Uncategorised"))</f>
        <v/>
      </c>
      <c r="E1249" s="10">
        <f>IFERROR(INDEX('Review Items'!$E:$E,MATCH(C1249,'Review Items'!$B:$B,0)),IFERROR(INDEX('Rule Updates'!$C:$C,MATCH(C1249,'Rule Updates'!$A:$A,0)),"Review"))</f>
        <v/>
      </c>
      <c r="F1249" s="12" t="n">
        <v>24000</v>
      </c>
      <c r="G1249" s="12" t="n">
        <v>1221.51</v>
      </c>
      <c r="H1249" s="10" t="n">
        <v>2</v>
      </c>
      <c r="I1249" s="10">
        <f>IF(OR(D1249="Uncategorised",E1249=""),"Check","")</f>
        <v/>
      </c>
    </row>
    <row r="1250">
      <c r="A1250" s="10" t="inlineStr">
        <is>
          <t>Amex Mar-2026</t>
        </is>
      </c>
      <c r="B1250" s="11" t="n">
        <v>46082</v>
      </c>
      <c r="C1250" s="10" t="inlineStr">
        <is>
          <t>PSTNISEKO HOKKAIDO</t>
        </is>
      </c>
      <c r="D1250" s="10">
        <f>IFERROR(INDEX('Review Items'!$D:$D,MATCH(C1250,'Review Items'!$B:$B,0)),IFERROR(INDEX('Rule Updates'!$B:$B,MATCH(C1250,'Rule Updates'!$A:$A,0)),"Uncategorised"))</f>
        <v/>
      </c>
      <c r="E1250" s="10">
        <f>IFERROR(INDEX('Review Items'!$E:$E,MATCH(C1250,'Review Items'!$B:$B,0)),IFERROR(INDEX('Rule Updates'!$C:$C,MATCH(C1250,'Rule Updates'!$A:$A,0)),"Review"))</f>
        <v/>
      </c>
      <c r="F1250" s="12" t="n">
        <v>22777</v>
      </c>
      <c r="G1250" s="12" t="n">
        <v>1153.55</v>
      </c>
      <c r="H1250" s="10" t="n">
        <v>8</v>
      </c>
      <c r="I1250" s="10">
        <f>IF(OR(D1250="Uncategorised",E1250=""),"Check","")</f>
        <v/>
      </c>
    </row>
    <row r="1251">
      <c r="A1251" s="10" t="inlineStr">
        <is>
          <t>Amex Mar-2026</t>
        </is>
      </c>
      <c r="B1251" s="11" t="n">
        <v>46082</v>
      </c>
      <c r="C1251" s="10" t="inlineStr">
        <is>
          <t>RAKUTENPAY BARISTART CO HOKKAIDO</t>
        </is>
      </c>
      <c r="D1251" s="10">
        <f>IFERROR(INDEX('Review Items'!$D:$D,MATCH(C1251,'Review Items'!$B:$B,0)),IFERROR(INDEX('Rule Updates'!$B:$B,MATCH(C1251,'Rule Updates'!$A:$A,0)),"Uncategorised"))</f>
        <v/>
      </c>
      <c r="E1251" s="10">
        <f>IFERROR(INDEX('Review Items'!$E:$E,MATCH(C1251,'Review Items'!$B:$B,0)),IFERROR(INDEX('Rule Updates'!$C:$C,MATCH(C1251,'Rule Updates'!$A:$A,0)),"Review"))</f>
        <v/>
      </c>
      <c r="F1251" s="12" t="n">
        <v>2500</v>
      </c>
      <c r="G1251" s="12" t="n">
        <v>125.59</v>
      </c>
      <c r="H1251" s="10" t="n">
        <v>3</v>
      </c>
      <c r="I1251" s="10">
        <f>IF(OR(D1251="Uncategorised",E1251=""),"Check","")</f>
        <v/>
      </c>
    </row>
    <row r="1252">
      <c r="A1252" s="10" t="inlineStr">
        <is>
          <t>Amex Mar-2026</t>
        </is>
      </c>
      <c r="B1252" s="11" t="n">
        <v>46082</v>
      </c>
      <c r="C1252" s="10" t="inlineStr">
        <is>
          <t>TA JIMAHALHIRAHUTEN PG HOKKAIDO</t>
        </is>
      </c>
      <c r="D1252" s="10">
        <f>IFERROR(INDEX('Review Items'!$D:$D,MATCH(C1252,'Review Items'!$B:$B,0)),IFERROR(INDEX('Rule Updates'!$B:$B,MATCH(C1252,'Rule Updates'!$A:$A,0)),"Uncategorised"))</f>
        <v/>
      </c>
      <c r="E1252" s="10">
        <f>IFERROR(INDEX('Review Items'!$E:$E,MATCH(C1252,'Review Items'!$B:$B,0)),IFERROR(INDEX('Rule Updates'!$C:$C,MATCH(C1252,'Rule Updates'!$A:$A,0)),"Review"))</f>
        <v/>
      </c>
      <c r="F1252" s="12" t="n">
        <v>16115</v>
      </c>
      <c r="G1252" s="12" t="n">
        <v>816.14</v>
      </c>
      <c r="H1252" s="10" t="n">
        <v>2</v>
      </c>
      <c r="I1252" s="10">
        <f>IF(OR(D1252="Uncategorised",E1252=""),"Check","")</f>
        <v/>
      </c>
    </row>
    <row r="1253">
      <c r="A1253" s="10" t="inlineStr">
        <is>
          <t>Amex Mar-2026</t>
        </is>
      </c>
      <c r="B1253" s="11" t="n">
        <v>46083</v>
      </c>
      <c r="C1253" s="10" t="inlineStr">
        <is>
          <t>FAR FETCH LONDON</t>
        </is>
      </c>
      <c r="D1253" s="10">
        <f>IFERROR(INDEX('Review Items'!$D:$D,MATCH(C1253,'Review Items'!$B:$B,0)),IFERROR(INDEX('Rule Updates'!$B:$B,MATCH(C1253,'Rule Updates'!$A:$A,0)),"Uncategorised"))</f>
        <v/>
      </c>
      <c r="E1253" s="10">
        <f>IFERROR(INDEX('Review Items'!$E:$E,MATCH(C1253,'Review Items'!$B:$B,0)),IFERROR(INDEX('Rule Updates'!$C:$C,MATCH(C1253,'Rule Updates'!$A:$A,0)),"Review"))</f>
        <v/>
      </c>
      <c r="F1253" s="10" t="n"/>
      <c r="G1253" s="12" t="n">
        <v>-22528</v>
      </c>
      <c r="H1253" s="10" t="n">
        <v>3</v>
      </c>
      <c r="I1253" s="10">
        <f>IF(OR(D1253="Uncategorised",E1253=""),"Check","")</f>
        <v/>
      </c>
    </row>
    <row r="1254">
      <c r="A1254" s="10" t="inlineStr">
        <is>
          <t>Amex Mar-2026</t>
        </is>
      </c>
      <c r="B1254" s="11" t="n">
        <v>46083</v>
      </c>
      <c r="C1254" s="10" t="inlineStr">
        <is>
          <t>Hidden Stand meng t ian j u n</t>
        </is>
      </c>
      <c r="D1254" s="10">
        <f>IFERROR(INDEX('Review Items'!$D:$D,MATCH(C1254,'Review Items'!$B:$B,0)),IFERROR(INDEX('Rule Updates'!$B:$B,MATCH(C1254,'Rule Updates'!$A:$A,0)),"Uncategorised"))</f>
        <v/>
      </c>
      <c r="E1254" s="10">
        <f>IFERROR(INDEX('Review Items'!$E:$E,MATCH(C1254,'Review Items'!$B:$B,0)),IFERROR(INDEX('Rule Updates'!$C:$C,MATCH(C1254,'Rule Updates'!$A:$A,0)),"Review"))</f>
        <v/>
      </c>
      <c r="F1254" s="12" t="n">
        <v>4650</v>
      </c>
      <c r="G1254" s="12" t="n">
        <v>238.13</v>
      </c>
      <c r="H1254" s="10" t="n">
        <v>3</v>
      </c>
      <c r="I1254" s="10">
        <f>IF(OR(D1254="Uncategorised",E1254=""),"Check","")</f>
        <v/>
      </c>
    </row>
    <row r="1255">
      <c r="A1255" s="10" t="inlineStr">
        <is>
          <t>Amex Mar-2026</t>
        </is>
      </c>
      <c r="B1255" s="11" t="n">
        <v>46083</v>
      </c>
      <c r="C1255" s="10" t="inlineStr">
        <is>
          <t>PSTNISEKO HOKKAIDO</t>
        </is>
      </c>
      <c r="D1255" s="10">
        <f>IFERROR(INDEX('Review Items'!$D:$D,MATCH(C1255,'Review Items'!$B:$B,0)),IFERROR(INDEX('Rule Updates'!$B:$B,MATCH(C1255,'Rule Updates'!$A:$A,0)),"Uncategorised"))</f>
        <v/>
      </c>
      <c r="E1255" s="10">
        <f>IFERROR(INDEX('Review Items'!$E:$E,MATCH(C1255,'Review Items'!$B:$B,0)),IFERROR(INDEX('Rule Updates'!$C:$C,MATCH(C1255,'Rule Updates'!$A:$A,0)),"Review"))</f>
        <v/>
      </c>
      <c r="F1255" s="12" t="n">
        <v>81004</v>
      </c>
      <c r="G1255" s="12" t="n">
        <v>4102.46</v>
      </c>
      <c r="H1255" s="10" t="n">
        <v>8</v>
      </c>
      <c r="I1255" s="10">
        <f>IF(OR(D1255="Uncategorised",E1255=""),"Check","")</f>
        <v/>
      </c>
    </row>
    <row r="1256">
      <c r="A1256" s="10" t="inlineStr">
        <is>
          <t>Amex Mar-2026</t>
        </is>
      </c>
      <c r="B1256" s="11" t="n">
        <v>46083</v>
      </c>
      <c r="C1256" s="10" t="inlineStr">
        <is>
          <t>RAKUTENPAY BARISTART CO HOKKAIDO</t>
        </is>
      </c>
      <c r="D1256" s="10">
        <f>IFERROR(INDEX('Review Items'!$D:$D,MATCH(C1256,'Review Items'!$B:$B,0)),IFERROR(INDEX('Rule Updates'!$B:$B,MATCH(C1256,'Rule Updates'!$A:$A,0)),"Uncategorised"))</f>
        <v/>
      </c>
      <c r="E1256" s="10">
        <f>IFERROR(INDEX('Review Items'!$E:$E,MATCH(C1256,'Review Items'!$B:$B,0)),IFERROR(INDEX('Rule Updates'!$C:$C,MATCH(C1256,'Rule Updates'!$A:$A,0)),"Review"))</f>
        <v/>
      </c>
      <c r="F1256" s="12" t="n">
        <v>3300</v>
      </c>
      <c r="G1256" s="12" t="n">
        <v>165.76</v>
      </c>
      <c r="H1256" s="10" t="n">
        <v>3</v>
      </c>
      <c r="I1256" s="10">
        <f>IF(OR(D1256="Uncategorised",E1256=""),"Check","")</f>
        <v/>
      </c>
    </row>
    <row r="1257">
      <c r="A1257" s="10" t="inlineStr">
        <is>
          <t>Amex Mar-2026</t>
        </is>
      </c>
      <c r="B1257" s="11" t="n">
        <v>46083</v>
      </c>
      <c r="C1257" s="10" t="inlineStr">
        <is>
          <t>TENPURAARAKI TP HOKKAIDO</t>
        </is>
      </c>
      <c r="D1257" s="10">
        <f>IFERROR(INDEX('Review Items'!$D:$D,MATCH(C1257,'Review Items'!$B:$B,0)),IFERROR(INDEX('Rule Updates'!$B:$B,MATCH(C1257,'Rule Updates'!$A:$A,0)),"Uncategorised"))</f>
        <v/>
      </c>
      <c r="E1257" s="10">
        <f>IFERROR(INDEX('Review Items'!$E:$E,MATCH(C1257,'Review Items'!$B:$B,0)),IFERROR(INDEX('Rule Updates'!$C:$C,MATCH(C1257,'Rule Updates'!$A:$A,0)),"Review"))</f>
        <v/>
      </c>
      <c r="F1257" s="12" t="n">
        <v>69300</v>
      </c>
      <c r="G1257" s="12" t="n">
        <v>3509.74</v>
      </c>
      <c r="H1257" s="10" t="n">
        <v>8</v>
      </c>
      <c r="I1257" s="10">
        <f>IF(OR(D1257="Uncategorised",E1257=""),"Check","")</f>
        <v/>
      </c>
    </row>
    <row r="1258">
      <c r="A1258" s="10" t="inlineStr">
        <is>
          <t>Amex Mar-2026</t>
        </is>
      </c>
      <c r="B1258" s="11" t="n">
        <v>46084</v>
      </c>
      <c r="C1258" s="10" t="inlineStr">
        <is>
          <t>KAMORI WEB TICKET SHOP HOKKAIDO</t>
        </is>
      </c>
      <c r="D1258" s="10">
        <f>IFERROR(INDEX('Review Items'!$D:$D,MATCH(C1258,'Review Items'!$B:$B,0)),IFERROR(INDEX('Rule Updates'!$B:$B,MATCH(C1258,'Rule Updates'!$A:$A,0)),"Uncategorised"))</f>
        <v/>
      </c>
      <c r="E1258" s="10">
        <f>IFERROR(INDEX('Review Items'!$E:$E,MATCH(C1258,'Review Items'!$B:$B,0)),IFERROR(INDEX('Rule Updates'!$C:$C,MATCH(C1258,'Rule Updates'!$A:$A,0)),"Review"))</f>
        <v/>
      </c>
      <c r="F1258" s="12" t="n">
        <v>31500</v>
      </c>
      <c r="G1258" s="12" t="n">
        <v>1601.99</v>
      </c>
      <c r="H1258" s="10" t="n">
        <v>3</v>
      </c>
      <c r="I1258" s="10">
        <f>IF(OR(D1258="Uncategorised",E1258=""),"Check","")</f>
        <v/>
      </c>
    </row>
    <row r="1259">
      <c r="A1259" s="10" t="inlineStr">
        <is>
          <t>Amex Mar-2026</t>
        </is>
      </c>
      <c r="B1259" s="11" t="n">
        <v>46084</v>
      </c>
      <c r="C1259" s="10" t="inlineStr">
        <is>
          <t>L u ke ' s Alpine Club meng t ian j u n</t>
        </is>
      </c>
      <c r="D1259" s="10">
        <f>IFERROR(INDEX('Review Items'!$D:$D,MATCH(C1259,'Review Items'!$B:$B,0)),IFERROR(INDEX('Rule Updates'!$B:$B,MATCH(C1259,'Rule Updates'!$A:$A,0)),"Uncategorised"))</f>
        <v/>
      </c>
      <c r="E1259" s="10">
        <f>IFERROR(INDEX('Review Items'!$E:$E,MATCH(C1259,'Review Items'!$B:$B,0)),IFERROR(INDEX('Rule Updates'!$C:$C,MATCH(C1259,'Rule Updates'!$A:$A,0)),"Review"))</f>
        <v/>
      </c>
      <c r="F1259" s="12" t="n">
        <v>11132</v>
      </c>
      <c r="G1259" s="12" t="n">
        <v>566.54</v>
      </c>
      <c r="H1259" s="10" t="n">
        <v>8</v>
      </c>
      <c r="I1259" s="10">
        <f>IF(OR(D1259="Uncategorised",E1259=""),"Check","")</f>
        <v/>
      </c>
    </row>
    <row r="1260">
      <c r="A1260" s="10" t="inlineStr">
        <is>
          <t>Amex Mar-2026</t>
        </is>
      </c>
      <c r="B1260" s="11" t="n">
        <v>46084</v>
      </c>
      <c r="C1260" s="10" t="inlineStr">
        <is>
          <t>LA WSON *</t>
        </is>
      </c>
      <c r="D1260" s="10">
        <f>IFERROR(INDEX('Review Items'!$D:$D,MATCH(C1260,'Review Items'!$B:$B,0)),IFERROR(INDEX('Rule Updates'!$B:$B,MATCH(C1260,'Rule Updates'!$A:$A,0)),"Uncategorised"))</f>
        <v/>
      </c>
      <c r="E1260" s="10">
        <f>IFERROR(INDEX('Review Items'!$E:$E,MATCH(C1260,'Review Items'!$B:$B,0)),IFERROR(INDEX('Rule Updates'!$C:$C,MATCH(C1260,'Rule Updates'!$A:$A,0)),"Review"))</f>
        <v/>
      </c>
      <c r="F1260" s="12" t="n">
        <v>494</v>
      </c>
      <c r="G1260" s="12" t="n">
        <v>25.01</v>
      </c>
      <c r="H1260" s="10" t="n">
        <v>3</v>
      </c>
      <c r="I1260" s="10">
        <f>IF(OR(D1260="Uncategorised",E1260=""),"Check","")</f>
        <v/>
      </c>
    </row>
    <row r="1261">
      <c r="A1261" s="10" t="inlineStr">
        <is>
          <t>Amex Mar-2026</t>
        </is>
      </c>
      <c r="B1261" s="11" t="n">
        <v>46084</v>
      </c>
      <c r="C1261" s="10" t="inlineStr">
        <is>
          <t>MAKKARIBASE AIR HOKKAIDO</t>
        </is>
      </c>
      <c r="D1261" s="10">
        <f>IFERROR(INDEX('Review Items'!$D:$D,MATCH(C1261,'Review Items'!$B:$B,0)),IFERROR(INDEX('Rule Updates'!$B:$B,MATCH(C1261,'Rule Updates'!$A:$A,0)),"Uncategorised"))</f>
        <v/>
      </c>
      <c r="E1261" s="10">
        <f>IFERROR(INDEX('Review Items'!$E:$E,MATCH(C1261,'Review Items'!$B:$B,0)),IFERROR(INDEX('Rule Updates'!$C:$C,MATCH(C1261,'Rule Updates'!$A:$A,0)),"Review"))</f>
        <v/>
      </c>
      <c r="F1261" s="12" t="n">
        <v>3800</v>
      </c>
      <c r="G1261" s="12" t="n">
        <v>193.42</v>
      </c>
      <c r="H1261" s="10" t="n">
        <v>3</v>
      </c>
      <c r="I1261" s="10">
        <f>IF(OR(D1261="Uncategorised",E1261=""),"Check","")</f>
        <v/>
      </c>
    </row>
    <row r="1262">
      <c r="A1262" s="10" t="inlineStr">
        <is>
          <t>Amex Mar-2026</t>
        </is>
      </c>
      <c r="B1262" s="11" t="n">
        <v>46084</v>
      </c>
      <c r="C1262" s="10" t="inlineStr">
        <is>
          <t>RAKUTENPAY BARISTART CO HOKKAIDO</t>
        </is>
      </c>
      <c r="D1262" s="10">
        <f>IFERROR(INDEX('Review Items'!$D:$D,MATCH(C1262,'Review Items'!$B:$B,0)),IFERROR(INDEX('Rule Updates'!$B:$B,MATCH(C1262,'Rule Updates'!$A:$A,0)),"Uncategorised"))</f>
        <v/>
      </c>
      <c r="E1262" s="10">
        <f>IFERROR(INDEX('Review Items'!$E:$E,MATCH(C1262,'Review Items'!$B:$B,0)),IFERROR(INDEX('Rule Updates'!$C:$C,MATCH(C1262,'Rule Updates'!$A:$A,0)),"Review"))</f>
        <v/>
      </c>
      <c r="F1262" s="12" t="n">
        <v>3400</v>
      </c>
      <c r="G1262" s="12" t="n">
        <v>170.78</v>
      </c>
      <c r="H1262" s="10" t="n">
        <v>8</v>
      </c>
      <c r="I1262" s="10">
        <f>IF(OR(D1262="Uncategorised",E1262=""),"Check","")</f>
        <v/>
      </c>
    </row>
    <row r="1263">
      <c r="A1263" s="10" t="inlineStr">
        <is>
          <t>Amex Mar-2026</t>
        </is>
      </c>
      <c r="B1263" s="11" t="n">
        <v>46084</v>
      </c>
      <c r="C1263" s="10" t="inlineStr">
        <is>
          <t>sus hia z a bu meng t ian j u n j</t>
        </is>
      </c>
      <c r="D1263" s="10">
        <f>IFERROR(INDEX('Review Items'!$D:$D,MATCH(C1263,'Review Items'!$B:$B,0)),IFERROR(INDEX('Rule Updates'!$B:$B,MATCH(C1263,'Rule Updates'!$A:$A,0)),"Uncategorised"))</f>
        <v/>
      </c>
      <c r="E1263" s="10">
        <f>IFERROR(INDEX('Review Items'!$E:$E,MATCH(C1263,'Review Items'!$B:$B,0)),IFERROR(INDEX('Rule Updates'!$C:$C,MATCH(C1263,'Rule Updates'!$A:$A,0)),"Review"))</f>
        <v/>
      </c>
      <c r="F1263" s="12" t="n">
        <v>121000</v>
      </c>
      <c r="G1263" s="12" t="n">
        <v>6158.46</v>
      </c>
      <c r="H1263" s="10" t="n">
        <v>8</v>
      </c>
      <c r="I1263" s="10">
        <f>IF(OR(D1263="Uncategorised",E1263=""),"Check","")</f>
        <v/>
      </c>
    </row>
    <row r="1264">
      <c r="A1264" s="10" t="inlineStr">
        <is>
          <t>Amex Mar-2026</t>
        </is>
      </c>
      <c r="B1264" s="11" t="n">
        <v>46085</v>
      </c>
      <c r="C1264" s="10" t="inlineStr">
        <is>
          <t>KAMORI WEB TICKET SHOP HOKKAIDO</t>
        </is>
      </c>
      <c r="D1264" s="10">
        <f>IFERROR(INDEX('Review Items'!$D:$D,MATCH(C1264,'Review Items'!$B:$B,0)),IFERROR(INDEX('Rule Updates'!$B:$B,MATCH(C1264,'Rule Updates'!$A:$A,0)),"Uncategorised"))</f>
        <v/>
      </c>
      <c r="E1264" s="10">
        <f>IFERROR(INDEX('Review Items'!$E:$E,MATCH(C1264,'Review Items'!$B:$B,0)),IFERROR(INDEX('Rule Updates'!$C:$C,MATCH(C1264,'Rule Updates'!$A:$A,0)),"Review"))</f>
        <v/>
      </c>
      <c r="F1264" s="12" t="n">
        <v>31500</v>
      </c>
      <c r="G1264" s="12" t="n">
        <v>1597.17</v>
      </c>
      <c r="H1264" s="10" t="n">
        <v>3</v>
      </c>
      <c r="I1264" s="10">
        <f>IF(OR(D1264="Uncategorised",E1264=""),"Check","")</f>
        <v/>
      </c>
    </row>
    <row r="1265">
      <c r="A1265" s="10" t="inlineStr">
        <is>
          <t>Amex Mar-2026</t>
        </is>
      </c>
      <c r="B1265" s="11" t="n">
        <v>46085</v>
      </c>
      <c r="C1265" s="10" t="inlineStr">
        <is>
          <t>RAKUTENPAY BARISTART CO HOKKAIDO</t>
        </is>
      </c>
      <c r="D1265" s="10">
        <f>IFERROR(INDEX('Review Items'!$D:$D,MATCH(C1265,'Review Items'!$B:$B,0)),IFERROR(INDEX('Rule Updates'!$B:$B,MATCH(C1265,'Rule Updates'!$A:$A,0)),"Uncategorised"))</f>
        <v/>
      </c>
      <c r="E1265" s="10">
        <f>IFERROR(INDEX('Review Items'!$E:$E,MATCH(C1265,'Review Items'!$B:$B,0)),IFERROR(INDEX('Rule Updates'!$C:$C,MATCH(C1265,'Rule Updates'!$A:$A,0)),"Review"))</f>
        <v/>
      </c>
      <c r="F1265" s="12" t="n">
        <v>3200</v>
      </c>
      <c r="G1265" s="12" t="n">
        <v>160.73</v>
      </c>
      <c r="H1265" s="10" t="n">
        <v>8</v>
      </c>
      <c r="I1265" s="10">
        <f>IF(OR(D1265="Uncategorised",E1265=""),"Check","")</f>
        <v/>
      </c>
    </row>
    <row r="1266">
      <c r="A1266" s="10" t="inlineStr">
        <is>
          <t>Amex Mar-2026</t>
        </is>
      </c>
      <c r="B1266" s="11" t="n">
        <v>46085</v>
      </c>
      <c r="C1266" s="10" t="inlineStr">
        <is>
          <t>RUSUTSU RESORT HOKKAIDO</t>
        </is>
      </c>
      <c r="D1266" s="10">
        <f>IFERROR(INDEX('Review Items'!$D:$D,MATCH(C1266,'Review Items'!$B:$B,0)),IFERROR(INDEX('Rule Updates'!$B:$B,MATCH(C1266,'Rule Updates'!$A:$A,0)),"Uncategorised"))</f>
        <v/>
      </c>
      <c r="E1266" s="10">
        <f>IFERROR(INDEX('Review Items'!$E:$E,MATCH(C1266,'Review Items'!$B:$B,0)),IFERROR(INDEX('Rule Updates'!$C:$C,MATCH(C1266,'Rule Updates'!$A:$A,0)),"Review"))</f>
        <v/>
      </c>
      <c r="F1266" s="12" t="n">
        <v>2300</v>
      </c>
      <c r="G1266" s="12" t="n">
        <v>116.45</v>
      </c>
      <c r="H1266" s="10" t="n">
        <v>3</v>
      </c>
      <c r="I1266" s="10">
        <f>IF(OR(D1266="Uncategorised",E1266=""),"Check","")</f>
        <v/>
      </c>
    </row>
    <row r="1267">
      <c r="A1267" s="10" t="inlineStr">
        <is>
          <t>Amex Mar-2026</t>
        </is>
      </c>
      <c r="B1267" s="11" t="n">
        <v>46086</v>
      </c>
      <c r="C1267" s="10" t="inlineStr">
        <is>
          <t>A FURISETSUNISEKO HOKKAIDO</t>
        </is>
      </c>
      <c r="D1267" s="10">
        <f>IFERROR(INDEX('Review Items'!$D:$D,MATCH(C1267,'Review Items'!$B:$B,0)),IFERROR(INDEX('Rule Updates'!$B:$B,MATCH(C1267,'Rule Updates'!$A:$A,0)),"Uncategorised"))</f>
        <v/>
      </c>
      <c r="E1267" s="10">
        <f>IFERROR(INDEX('Review Items'!$E:$E,MATCH(C1267,'Review Items'!$B:$B,0)),IFERROR(INDEX('Rule Updates'!$C:$C,MATCH(C1267,'Rule Updates'!$A:$A,0)),"Review"))</f>
        <v/>
      </c>
      <c r="F1267" s="12" t="n">
        <v>10010</v>
      </c>
      <c r="G1267" s="12" t="n">
        <v>507.57</v>
      </c>
      <c r="H1267" s="10" t="n">
        <v>3</v>
      </c>
      <c r="I1267" s="10">
        <f>IF(OR(D1267="Uncategorised",E1267=""),"Check","")</f>
        <v/>
      </c>
    </row>
    <row r="1268">
      <c r="A1268" s="10" t="inlineStr">
        <is>
          <t>Amex Mar-2026</t>
        </is>
      </c>
      <c r="B1268" s="11" t="n">
        <v>46086</v>
      </c>
      <c r="C1268" s="10" t="inlineStr">
        <is>
          <t>AEON HOKKAIDO SM -SAPPO *</t>
        </is>
      </c>
      <c r="D1268" s="10">
        <f>IFERROR(INDEX('Review Items'!$D:$D,MATCH(C1268,'Review Items'!$B:$B,0)),IFERROR(INDEX('Rule Updates'!$B:$B,MATCH(C1268,'Rule Updates'!$A:$A,0)),"Uncategorised"))</f>
        <v/>
      </c>
      <c r="E1268" s="10">
        <f>IFERROR(INDEX('Review Items'!$E:$E,MATCH(C1268,'Review Items'!$B:$B,0)),IFERROR(INDEX('Rule Updates'!$C:$C,MATCH(C1268,'Rule Updates'!$A:$A,0)),"Review"))</f>
        <v/>
      </c>
      <c r="F1268" s="12" t="n">
        <v>71814</v>
      </c>
      <c r="G1268" s="12" t="n">
        <v>3641.18</v>
      </c>
      <c r="H1268" s="10" t="n">
        <v>7</v>
      </c>
      <c r="I1268" s="10">
        <f>IF(OR(D1268="Uncategorised",E1268=""),"Check","")</f>
        <v/>
      </c>
    </row>
    <row r="1269">
      <c r="A1269" s="10" t="inlineStr">
        <is>
          <t>Amex Mar-2026</t>
        </is>
      </c>
      <c r="B1269" s="11" t="n">
        <v>46086</v>
      </c>
      <c r="C1269" s="10" t="inlineStr">
        <is>
          <t>AEON HOKKAIDO SM -SAPPO *</t>
        </is>
      </c>
      <c r="D1269" s="10">
        <f>IFERROR(INDEX('Review Items'!$D:$D,MATCH(C1269,'Review Items'!$B:$B,0)),IFERROR(INDEX('Rule Updates'!$B:$B,MATCH(C1269,'Rule Updates'!$A:$A,0)),"Uncategorised"))</f>
        <v/>
      </c>
      <c r="E1269" s="10">
        <f>IFERROR(INDEX('Review Items'!$E:$E,MATCH(C1269,'Review Items'!$B:$B,0)),IFERROR(INDEX('Rule Updates'!$C:$C,MATCH(C1269,'Rule Updates'!$A:$A,0)),"Review"))</f>
        <v/>
      </c>
      <c r="F1269" s="12" t="n">
        <v>587</v>
      </c>
      <c r="G1269" s="12" t="n">
        <v>29.76</v>
      </c>
      <c r="H1269" s="10" t="n">
        <v>7</v>
      </c>
      <c r="I1269" s="10">
        <f>IF(OR(D1269="Uncategorised",E1269=""),"Check","")</f>
        <v/>
      </c>
    </row>
    <row r="1270">
      <c r="A1270" s="10" t="inlineStr">
        <is>
          <t>Amex Mar-2026</t>
        </is>
      </c>
      <c r="B1270" s="11" t="n">
        <v>46086</v>
      </c>
      <c r="C1270" s="10" t="inlineStr">
        <is>
          <t>NISEKOVILLA HOKKAIDO</t>
        </is>
      </c>
      <c r="D1270" s="10">
        <f>IFERROR(INDEX('Review Items'!$D:$D,MATCH(C1270,'Review Items'!$B:$B,0)),IFERROR(INDEX('Rule Updates'!$B:$B,MATCH(C1270,'Rule Updates'!$A:$A,0)),"Uncategorised"))</f>
        <v/>
      </c>
      <c r="E1270" s="10">
        <f>IFERROR(INDEX('Review Items'!$E:$E,MATCH(C1270,'Review Items'!$B:$B,0)),IFERROR(INDEX('Rule Updates'!$C:$C,MATCH(C1270,'Rule Updates'!$A:$A,0)),"Review"))</f>
        <v/>
      </c>
      <c r="F1270" s="12" t="n">
        <v>12000</v>
      </c>
      <c r="G1270" s="12" t="n">
        <v>608.45</v>
      </c>
      <c r="H1270" s="10" t="n">
        <v>3</v>
      </c>
      <c r="I1270" s="10">
        <f>IF(OR(D1270="Uncategorised",E1270=""),"Check","")</f>
        <v/>
      </c>
    </row>
    <row r="1271">
      <c r="A1271" s="10" t="inlineStr">
        <is>
          <t>Amex Mar-2026</t>
        </is>
      </c>
      <c r="B1271" s="11" t="n">
        <v>46086</v>
      </c>
      <c r="C1271" s="10" t="inlineStr">
        <is>
          <t>Rhythm Niseko Setsu meng t ian j u n</t>
        </is>
      </c>
      <c r="D1271" s="10">
        <f>IFERROR(INDEX('Review Items'!$D:$D,MATCH(C1271,'Review Items'!$B:$B,0)),IFERROR(INDEX('Rule Updates'!$B:$B,MATCH(C1271,'Rule Updates'!$A:$A,0)),"Uncategorised"))</f>
        <v/>
      </c>
      <c r="E1271" s="10">
        <f>IFERROR(INDEX('Review Items'!$E:$E,MATCH(C1271,'Review Items'!$B:$B,0)),IFERROR(INDEX('Rule Updates'!$C:$C,MATCH(C1271,'Rule Updates'!$A:$A,0)),"Review"))</f>
        <v/>
      </c>
      <c r="F1271" s="12" t="n">
        <v>25700</v>
      </c>
      <c r="G1271" s="12" t="n">
        <v>1307.01</v>
      </c>
      <c r="H1271" s="10" t="n">
        <v>3</v>
      </c>
      <c r="I1271" s="10">
        <f>IF(OR(D1271="Uncategorised",E1271=""),"Check","")</f>
        <v/>
      </c>
    </row>
    <row r="1272">
      <c r="A1272" s="10" t="inlineStr">
        <is>
          <t>Amex Mar-2026</t>
        </is>
      </c>
      <c r="B1272" s="11" t="n">
        <v>46087</v>
      </c>
      <c r="C1272" s="10" t="inlineStr">
        <is>
          <t>NE WCHITOSE APTT.BLDG JAPAN</t>
        </is>
      </c>
      <c r="D1272" s="10">
        <f>IFERROR(INDEX('Review Items'!$D:$D,MATCH(C1272,'Review Items'!$B:$B,0)),IFERROR(INDEX('Rule Updates'!$B:$B,MATCH(C1272,'Rule Updates'!$A:$A,0)),"Uncategorised"))</f>
        <v/>
      </c>
      <c r="E1272" s="10">
        <f>IFERROR(INDEX('Review Items'!$E:$E,MATCH(C1272,'Review Items'!$B:$B,0)),IFERROR(INDEX('Rule Updates'!$C:$C,MATCH(C1272,'Rule Updates'!$A:$A,0)),"Review"))</f>
        <v/>
      </c>
      <c r="F1272" s="12" t="n">
        <v>900</v>
      </c>
      <c r="G1272" s="12" t="n">
        <v>45.64</v>
      </c>
      <c r="H1272" s="10" t="n">
        <v>6</v>
      </c>
      <c r="I1272" s="10">
        <f>IF(OR(D1272="Uncategorised",E1272=""),"Check","")</f>
        <v/>
      </c>
    </row>
    <row r="1273">
      <c r="A1273" s="10" t="inlineStr">
        <is>
          <t>Amex Mar-2026</t>
        </is>
      </c>
      <c r="B1273" s="11" t="n">
        <v>46087</v>
      </c>
      <c r="C1273" s="10" t="inlineStr">
        <is>
          <t>NE WCHITOSE APTT.BLDG JAPAN</t>
        </is>
      </c>
      <c r="D1273" s="10">
        <f>IFERROR(INDEX('Review Items'!$D:$D,MATCH(C1273,'Review Items'!$B:$B,0)),IFERROR(INDEX('Rule Updates'!$B:$B,MATCH(C1273,'Rule Updates'!$A:$A,0)),"Uncategorised"))</f>
        <v/>
      </c>
      <c r="E1273" s="10">
        <f>IFERROR(INDEX('Review Items'!$E:$E,MATCH(C1273,'Review Items'!$B:$B,0)),IFERROR(INDEX('Rule Updates'!$C:$C,MATCH(C1273,'Rule Updates'!$A:$A,0)),"Review"))</f>
        <v/>
      </c>
      <c r="F1273" s="12" t="n">
        <v>2340</v>
      </c>
      <c r="G1273" s="12" t="n">
        <v>118.67</v>
      </c>
      <c r="H1273" s="10" t="n">
        <v>6</v>
      </c>
      <c r="I1273" s="10">
        <f>IF(OR(D1273="Uncategorised",E1273=""),"Check","")</f>
        <v/>
      </c>
    </row>
    <row r="1274">
      <c r="A1274" s="10" t="inlineStr">
        <is>
          <t>Amex Mar-2026</t>
        </is>
      </c>
      <c r="B1274" s="11" t="n">
        <v>46087</v>
      </c>
      <c r="C1274" s="10" t="inlineStr">
        <is>
          <t>NE WCHITOSE APTT.BLDG JAPAN</t>
        </is>
      </c>
      <c r="D1274" s="10">
        <f>IFERROR(INDEX('Review Items'!$D:$D,MATCH(C1274,'Review Items'!$B:$B,0)),IFERROR(INDEX('Rule Updates'!$B:$B,MATCH(C1274,'Rule Updates'!$A:$A,0)),"Uncategorised"))</f>
        <v/>
      </c>
      <c r="E1274" s="10">
        <f>IFERROR(INDEX('Review Items'!$E:$E,MATCH(C1274,'Review Items'!$B:$B,0)),IFERROR(INDEX('Rule Updates'!$C:$C,MATCH(C1274,'Rule Updates'!$A:$A,0)),"Review"))</f>
        <v/>
      </c>
      <c r="F1274" s="12" t="n">
        <v>380</v>
      </c>
      <c r="G1274" s="12" t="n">
        <v>19.23</v>
      </c>
      <c r="H1274" s="10" t="n">
        <v>6</v>
      </c>
      <c r="I1274" s="10">
        <f>IF(OR(D1274="Uncategorised",E1274=""),"Check","")</f>
        <v/>
      </c>
    </row>
    <row r="1275">
      <c r="A1275" s="10" t="inlineStr">
        <is>
          <t>Amex Mar-2026</t>
        </is>
      </c>
      <c r="B1275" s="11" t="n">
        <v>46087</v>
      </c>
      <c r="C1275" s="10" t="inlineStr">
        <is>
          <t>NE WCHITOSE APTT.BLDG JAPAN</t>
        </is>
      </c>
      <c r="D1275" s="10">
        <f>IFERROR(INDEX('Review Items'!$D:$D,MATCH(C1275,'Review Items'!$B:$B,0)),IFERROR(INDEX('Rule Updates'!$B:$B,MATCH(C1275,'Rule Updates'!$A:$A,0)),"Uncategorised"))</f>
        <v/>
      </c>
      <c r="E1275" s="10">
        <f>IFERROR(INDEX('Review Items'!$E:$E,MATCH(C1275,'Review Items'!$B:$B,0)),IFERROR(INDEX('Rule Updates'!$C:$C,MATCH(C1275,'Rule Updates'!$A:$A,0)),"Review"))</f>
        <v/>
      </c>
      <c r="F1275" s="12" t="n">
        <v>1300</v>
      </c>
      <c r="G1275" s="12" t="n">
        <v>65.92</v>
      </c>
      <c r="H1275" s="10" t="n">
        <v>6</v>
      </c>
      <c r="I1275" s="10">
        <f>IF(OR(D1275="Uncategorised",E1275=""),"Check","")</f>
        <v/>
      </c>
    </row>
    <row r="1276">
      <c r="A1276" s="10" t="inlineStr">
        <is>
          <t>Amex Mar-2026</t>
        </is>
      </c>
      <c r="B1276" s="11" t="n">
        <v>46087</v>
      </c>
      <c r="C1276" s="10" t="inlineStr">
        <is>
          <t>NE WCHITOSE APTT.BLDG JAPAN</t>
        </is>
      </c>
      <c r="D1276" s="10">
        <f>IFERROR(INDEX('Review Items'!$D:$D,MATCH(C1276,'Review Items'!$B:$B,0)),IFERROR(INDEX('Rule Updates'!$B:$B,MATCH(C1276,'Rule Updates'!$A:$A,0)),"Uncategorised"))</f>
        <v/>
      </c>
      <c r="E1276" s="10">
        <f>IFERROR(INDEX('Review Items'!$E:$E,MATCH(C1276,'Review Items'!$B:$B,0)),IFERROR(INDEX('Rule Updates'!$C:$C,MATCH(C1276,'Rule Updates'!$A:$A,0)),"Review"))</f>
        <v/>
      </c>
      <c r="F1276" s="12" t="n">
        <v>1410</v>
      </c>
      <c r="G1276" s="12" t="n">
        <v>71.5</v>
      </c>
      <c r="H1276" s="10" t="n">
        <v>6</v>
      </c>
      <c r="I1276" s="10">
        <f>IF(OR(D1276="Uncategorised",E1276=""),"Check","")</f>
        <v/>
      </c>
    </row>
    <row r="1277">
      <c r="A1277" s="10" t="inlineStr">
        <is>
          <t>Amex Mar-2026</t>
        </is>
      </c>
      <c r="B1277" s="11" t="n">
        <v>46087</v>
      </c>
      <c r="C1277" s="10" t="inlineStr">
        <is>
          <t>NE WCHITOSE APTT.BLDG JAPAN</t>
        </is>
      </c>
      <c r="D1277" s="10">
        <f>IFERROR(INDEX('Review Items'!$D:$D,MATCH(C1277,'Review Items'!$B:$B,0)),IFERROR(INDEX('Rule Updates'!$B:$B,MATCH(C1277,'Rule Updates'!$A:$A,0)),"Uncategorised"))</f>
        <v/>
      </c>
      <c r="E1277" s="10">
        <f>IFERROR(INDEX('Review Items'!$E:$E,MATCH(C1277,'Review Items'!$B:$B,0)),IFERROR(INDEX('Rule Updates'!$C:$C,MATCH(C1277,'Rule Updates'!$A:$A,0)),"Review"))</f>
        <v/>
      </c>
      <c r="F1277" s="12" t="n">
        <v>6235</v>
      </c>
      <c r="G1277" s="12" t="n">
        <v>316.11</v>
      </c>
      <c r="H1277" s="10" t="n">
        <v>6</v>
      </c>
      <c r="I1277" s="10">
        <f>IF(OR(D1277="Uncategorised",E1277=""),"Check","")</f>
        <v/>
      </c>
    </row>
    <row r="1278">
      <c r="A1278" s="10" t="inlineStr">
        <is>
          <t>Amex Mar-2026</t>
        </is>
      </c>
      <c r="B1278" s="11" t="n">
        <v>46087</v>
      </c>
      <c r="C1278" s="10" t="inlineStr">
        <is>
          <t>RAKUTENPAY BARISTART CO HOKKAIDO</t>
        </is>
      </c>
      <c r="D1278" s="10">
        <f>IFERROR(INDEX('Review Items'!$D:$D,MATCH(C1278,'Review Items'!$B:$B,0)),IFERROR(INDEX('Rule Updates'!$B:$B,MATCH(C1278,'Rule Updates'!$A:$A,0)),"Uncategorised"))</f>
        <v/>
      </c>
      <c r="E1278" s="10">
        <f>IFERROR(INDEX('Review Items'!$E:$E,MATCH(C1278,'Review Items'!$B:$B,0)),IFERROR(INDEX('Rule Updates'!$C:$C,MATCH(C1278,'Rule Updates'!$A:$A,0)),"Review"))</f>
        <v/>
      </c>
      <c r="F1278" s="12" t="n">
        <v>1600</v>
      </c>
      <c r="G1278" s="12" t="n">
        <v>80.31999999999999</v>
      </c>
      <c r="H1278" s="10" t="n">
        <v>3</v>
      </c>
      <c r="I1278" s="10">
        <f>IF(OR(D1278="Uncategorised",E1278=""),"Check","")</f>
        <v/>
      </c>
    </row>
    <row r="1279">
      <c r="A1279" s="10" t="inlineStr">
        <is>
          <t>Amex Mar-2026</t>
        </is>
      </c>
      <c r="B1279" s="11" t="n">
        <v>46087</v>
      </c>
      <c r="C1279" s="10" t="inlineStr">
        <is>
          <t>Setsu Niseko HOKKAIDO</t>
        </is>
      </c>
      <c r="D1279" s="10">
        <f>IFERROR(INDEX('Review Items'!$D:$D,MATCH(C1279,'Review Items'!$B:$B,0)),IFERROR(INDEX('Rule Updates'!$B:$B,MATCH(C1279,'Rule Updates'!$A:$A,0)),"Uncategorised"))</f>
        <v/>
      </c>
      <c r="E1279" s="10">
        <f>IFERROR(INDEX('Review Items'!$E:$E,MATCH(C1279,'Review Items'!$B:$B,0)),IFERROR(INDEX('Rule Updates'!$C:$C,MATCH(C1279,'Rule Updates'!$A:$A,0)),"Review"))</f>
        <v/>
      </c>
      <c r="F1279" s="12" t="n">
        <v>214700</v>
      </c>
      <c r="G1279" s="12" t="n">
        <v>10885.97</v>
      </c>
      <c r="H1279" s="10" t="n">
        <v>3</v>
      </c>
      <c r="I1279" s="10">
        <f>IF(OR(D1279="Uncategorised",E1279=""),"Check","")</f>
        <v/>
      </c>
    </row>
    <row r="1280">
      <c r="A1280" s="10" t="inlineStr">
        <is>
          <t>Amex Mar-2026</t>
        </is>
      </c>
      <c r="B1280" s="11" t="n">
        <v>46088</v>
      </c>
      <c r="C1280" s="10" t="inlineStr">
        <is>
          <t>LOUISE CENTRAL</t>
        </is>
      </c>
      <c r="D1280" s="10">
        <f>IFERROR(INDEX('Review Items'!$D:$D,MATCH(C1280,'Review Items'!$B:$B,0)),IFERROR(INDEX('Rule Updates'!$B:$B,MATCH(C1280,'Rule Updates'!$A:$A,0)),"Uncategorised"))</f>
        <v/>
      </c>
      <c r="E1280" s="10">
        <f>IFERROR(INDEX('Review Items'!$E:$E,MATCH(C1280,'Review Items'!$B:$B,0)),IFERROR(INDEX('Rule Updates'!$C:$C,MATCH(C1280,'Rule Updates'!$A:$A,0)),"Review"))</f>
        <v/>
      </c>
      <c r="F1280" s="10" t="n"/>
      <c r="G1280" s="12" t="n">
        <v>4899</v>
      </c>
      <c r="H1280" s="10" t="n">
        <v>8</v>
      </c>
      <c r="I1280" s="10">
        <f>IF(OR(D1280="Uncategorised",E1280=""),"Check","")</f>
        <v/>
      </c>
    </row>
    <row r="1281">
      <c r="A1281" s="10" t="inlineStr">
        <is>
          <t>Amex Mar-2026</t>
        </is>
      </c>
      <c r="B1281" s="11" t="n">
        <v>46088</v>
      </c>
      <c r="C1281" s="10" t="inlineStr">
        <is>
          <t>WHALE Club HK</t>
        </is>
      </c>
      <c r="D1281" s="10">
        <f>IFERROR(INDEX('Review Items'!$D:$D,MATCH(C1281,'Review Items'!$B:$B,0)),IFERROR(INDEX('Rule Updates'!$B:$B,MATCH(C1281,'Rule Updates'!$A:$A,0)),"Uncategorised"))</f>
        <v/>
      </c>
      <c r="E1281" s="10">
        <f>IFERROR(INDEX('Review Items'!$E:$E,MATCH(C1281,'Review Items'!$B:$B,0)),IFERROR(INDEX('Rule Updates'!$C:$C,MATCH(C1281,'Rule Updates'!$A:$A,0)),"Review"))</f>
        <v/>
      </c>
      <c r="F1281" s="10" t="n"/>
      <c r="G1281" s="12" t="n">
        <v>592</v>
      </c>
      <c r="H1281" s="10" t="n">
        <v>3</v>
      </c>
      <c r="I1281" s="10">
        <f>IF(OR(D1281="Uncategorised",E1281=""),"Check","")</f>
        <v/>
      </c>
    </row>
    <row r="1282">
      <c r="A1282" s="10" t="inlineStr">
        <is>
          <t>Amex Mar-2026</t>
        </is>
      </c>
      <c r="B1282" s="11" t="n">
        <v>46090</v>
      </c>
      <c r="C1282" s="10" t="inlineStr">
        <is>
          <t>IHERB IHERB.COM AMSTERDAM</t>
        </is>
      </c>
      <c r="D1282" s="10">
        <f>IFERROR(INDEX('Review Items'!$D:$D,MATCH(C1282,'Review Items'!$B:$B,0)),IFERROR(INDEX('Rule Updates'!$B:$B,MATCH(C1282,'Rule Updates'!$A:$A,0)),"Uncategorised"))</f>
        <v/>
      </c>
      <c r="E1282" s="10">
        <f>IFERROR(INDEX('Review Items'!$E:$E,MATCH(C1282,'Review Items'!$B:$B,0)),IFERROR(INDEX('Rule Updates'!$C:$C,MATCH(C1282,'Rule Updates'!$A:$A,0)),"Review"))</f>
        <v/>
      </c>
      <c r="F1282" s="10" t="n"/>
      <c r="G1282" s="12" t="n">
        <v>790.71</v>
      </c>
      <c r="H1282" s="10" t="n">
        <v>3</v>
      </c>
      <c r="I1282" s="10">
        <f>IF(OR(D1282="Uncategorised",E1282=""),"Check","")</f>
        <v/>
      </c>
    </row>
    <row r="1283">
      <c r="A1283" s="10" t="inlineStr">
        <is>
          <t>Amex Mar-2026</t>
        </is>
      </c>
      <c r="B1283" s="11" t="n">
        <v>46090</v>
      </c>
      <c r="C1283" s="10" t="inlineStr">
        <is>
          <t>MOVIE MOVIE PACI FIC PLA ADMIRALTY</t>
        </is>
      </c>
      <c r="D1283" s="10">
        <f>IFERROR(INDEX('Review Items'!$D:$D,MATCH(C1283,'Review Items'!$B:$B,0)),IFERROR(INDEX('Rule Updates'!$B:$B,MATCH(C1283,'Rule Updates'!$A:$A,0)),"Uncategorised"))</f>
        <v/>
      </c>
      <c r="E1283" s="10">
        <f>IFERROR(INDEX('Review Items'!$E:$E,MATCH(C1283,'Review Items'!$B:$B,0)),IFERROR(INDEX('Rule Updates'!$C:$C,MATCH(C1283,'Rule Updates'!$A:$A,0)),"Review"))</f>
        <v/>
      </c>
      <c r="F1283" s="10" t="n"/>
      <c r="G1283" s="12" t="n">
        <v>208</v>
      </c>
      <c r="H1283" s="10" t="n">
        <v>8</v>
      </c>
      <c r="I1283" s="10">
        <f>IF(OR(D1283="Uncategorised",E1283=""),"Check","")</f>
        <v/>
      </c>
    </row>
    <row r="1284">
      <c r="A1284" s="10" t="inlineStr">
        <is>
          <t>Amex Mar-2026</t>
        </is>
      </c>
      <c r="B1284" s="11" t="n">
        <v>46090</v>
      </c>
      <c r="C1284" s="10" t="inlineStr">
        <is>
          <t>NOVOTEL CENTURY HK HOTE WANCHAI</t>
        </is>
      </c>
      <c r="D1284" s="10">
        <f>IFERROR(INDEX('Review Items'!$D:$D,MATCH(C1284,'Review Items'!$B:$B,0)),IFERROR(INDEX('Rule Updates'!$B:$B,MATCH(C1284,'Rule Updates'!$A:$A,0)),"Uncategorised"))</f>
        <v/>
      </c>
      <c r="E1284" s="10">
        <f>IFERROR(INDEX('Review Items'!$E:$E,MATCH(C1284,'Review Items'!$B:$B,0)),IFERROR(INDEX('Rule Updates'!$C:$C,MATCH(C1284,'Rule Updates'!$A:$A,0)),"Review"))</f>
        <v/>
      </c>
      <c r="F1284" s="10" t="n"/>
      <c r="G1284" s="12" t="n">
        <v>1293.6</v>
      </c>
      <c r="H1284" s="10" t="n">
        <v>3</v>
      </c>
      <c r="I1284" s="10">
        <f>IF(OR(D1284="Uncategorised",E1284=""),"Check","")</f>
        <v/>
      </c>
    </row>
    <row r="1285">
      <c r="A1285" s="10" t="inlineStr">
        <is>
          <t>Amex Mar-2026</t>
        </is>
      </c>
      <c r="B1285" s="11" t="n">
        <v>46090</v>
      </c>
      <c r="C1285" s="10" t="inlineStr">
        <is>
          <t>PAYMENT RECEIVED THROUGH AUTOPAY</t>
        </is>
      </c>
      <c r="D1285" s="10">
        <f>IFERROR(INDEX('Review Items'!$D:$D,MATCH(C1285,'Review Items'!$B:$B,0)),IFERROR(INDEX('Rule Updates'!$B:$B,MATCH(C1285,'Rule Updates'!$A:$A,0)),"Uncategorised"))</f>
        <v/>
      </c>
      <c r="E1285" s="10">
        <f>IFERROR(INDEX('Review Items'!$E:$E,MATCH(C1285,'Review Items'!$B:$B,0)),IFERROR(INDEX('Rule Updates'!$C:$C,MATCH(C1285,'Rule Updates'!$A:$A,0)),"Review"))</f>
        <v/>
      </c>
      <c r="F1285" s="10" t="n"/>
      <c r="G1285" s="12" t="n">
        <v>-579900.54</v>
      </c>
      <c r="H1285" s="10" t="n">
        <v>1</v>
      </c>
      <c r="I1285" s="10">
        <f>IF(OR(D1285="Uncategorised",E1285=""),"Check","")</f>
        <v/>
      </c>
    </row>
    <row r="1286">
      <c r="A1286" s="10" t="inlineStr">
        <is>
          <t>Amex Mar-2026</t>
        </is>
      </c>
      <c r="B1286" s="11" t="n">
        <v>46090</v>
      </c>
      <c r="C1286" s="10" t="inlineStr">
        <is>
          <t>THE NET-A-PORTER GROUP HONG KONG</t>
        </is>
      </c>
      <c r="D1286" s="10">
        <f>IFERROR(INDEX('Review Items'!$D:$D,MATCH(C1286,'Review Items'!$B:$B,0)),IFERROR(INDEX('Rule Updates'!$B:$B,MATCH(C1286,'Rule Updates'!$A:$A,0)),"Uncategorised"))</f>
        <v/>
      </c>
      <c r="E1286" s="10">
        <f>IFERROR(INDEX('Review Items'!$E:$E,MATCH(C1286,'Review Items'!$B:$B,0)),IFERROR(INDEX('Rule Updates'!$C:$C,MATCH(C1286,'Rule Updates'!$A:$A,0)),"Review"))</f>
        <v/>
      </c>
      <c r="F1286" s="10" t="n"/>
      <c r="G1286" s="12" t="n">
        <v>-17935</v>
      </c>
      <c r="H1286" s="10" t="n">
        <v>3</v>
      </c>
      <c r="I1286" s="10">
        <f>IF(OR(D1286="Uncategorised",E1286=""),"Check","")</f>
        <v/>
      </c>
    </row>
    <row r="1287">
      <c r="A1287" s="10" t="inlineStr">
        <is>
          <t>Amex Mar-2026</t>
        </is>
      </c>
      <c r="B1287" s="11" t="n">
        <v>46090</v>
      </c>
      <c r="C1287" s="10" t="inlineStr">
        <is>
          <t>THE NET-A-PORTER GROUP HONG KONG</t>
        </is>
      </c>
      <c r="D1287" s="10">
        <f>IFERROR(INDEX('Review Items'!$D:$D,MATCH(C1287,'Review Items'!$B:$B,0)),IFERROR(INDEX('Rule Updates'!$B:$B,MATCH(C1287,'Rule Updates'!$A:$A,0)),"Uncategorised"))</f>
        <v/>
      </c>
      <c r="E1287" s="10">
        <f>IFERROR(INDEX('Review Items'!$E:$E,MATCH(C1287,'Review Items'!$B:$B,0)),IFERROR(INDEX('Rule Updates'!$C:$C,MATCH(C1287,'Rule Updates'!$A:$A,0)),"Review"))</f>
        <v/>
      </c>
      <c r="F1287" s="10" t="n"/>
      <c r="G1287" s="12" t="n">
        <v>-1950</v>
      </c>
      <c r="H1287" s="10" t="n">
        <v>3</v>
      </c>
      <c r="I1287" s="10">
        <f>IF(OR(D1287="Uncategorised",E1287=""),"Check","")</f>
        <v/>
      </c>
    </row>
    <row r="1288">
      <c r="A1288" s="10" t="inlineStr">
        <is>
          <t>Amex Mar-2026</t>
        </is>
      </c>
      <c r="B1288" s="11" t="n">
        <v>46091</v>
      </c>
      <c r="C1288" s="10" t="inlineStr">
        <is>
          <t>AMA ZON PRIME * 986 EL 4 F O 5 AMZ N.CO.UK/PM</t>
        </is>
      </c>
      <c r="D1288" s="10">
        <f>IFERROR(INDEX('Review Items'!$D:$D,MATCH(C1288,'Review Items'!$B:$B,0)),IFERROR(INDEX('Rule Updates'!$B:$B,MATCH(C1288,'Rule Updates'!$A:$A,0)),"Uncategorised"))</f>
        <v/>
      </c>
      <c r="E1288" s="10">
        <f>IFERROR(INDEX('Review Items'!$E:$E,MATCH(C1288,'Review Items'!$B:$B,0)),IFERROR(INDEX('Rule Updates'!$C:$C,MATCH(C1288,'Rule Updates'!$A:$A,0)),"Review"))</f>
        <v/>
      </c>
      <c r="F1288" s="12" t="n">
        <v>8.99</v>
      </c>
      <c r="G1288" s="12" t="n">
        <v>96.11</v>
      </c>
      <c r="H1288" s="10" t="n">
        <v>4</v>
      </c>
      <c r="I1288" s="10">
        <f>IF(OR(D1288="Uncategorised",E1288=""),"Check","")</f>
        <v/>
      </c>
    </row>
    <row r="1289">
      <c r="A1289" s="10" t="inlineStr">
        <is>
          <t>Amex Mar-2026</t>
        </is>
      </c>
      <c r="B1289" s="11" t="n">
        <v>46092</v>
      </c>
      <c r="C1289" s="10" t="inlineStr">
        <is>
          <t>BOARDING GATE PARAGON 0 SINGAPORE</t>
        </is>
      </c>
      <c r="D1289" s="10">
        <f>IFERROR(INDEX('Review Items'!$D:$D,MATCH(C1289,'Review Items'!$B:$B,0)),IFERROR(INDEX('Rule Updates'!$B:$B,MATCH(C1289,'Rule Updates'!$A:$A,0)),"Uncategorised"))</f>
        <v/>
      </c>
      <c r="E1289" s="10">
        <f>IFERROR(INDEX('Review Items'!$E:$E,MATCH(C1289,'Review Items'!$B:$B,0)),IFERROR(INDEX('Rule Updates'!$C:$C,MATCH(C1289,'Rule Updates'!$A:$A,0)),"Review"))</f>
        <v/>
      </c>
      <c r="F1289" s="12" t="n">
        <v>98.90000000000001</v>
      </c>
      <c r="G1289" s="12" t="n">
        <v>621.62</v>
      </c>
      <c r="H1289" s="10" t="n">
        <v>8</v>
      </c>
      <c r="I1289" s="10">
        <f>IF(OR(D1289="Uncategorised",E1289=""),"Check","")</f>
        <v/>
      </c>
    </row>
    <row r="1290">
      <c r="A1290" s="10" t="inlineStr">
        <is>
          <t>Amex Mar-2026</t>
        </is>
      </c>
      <c r="B1290" s="11" t="n">
        <v>46092</v>
      </c>
      <c r="C1290" s="10" t="inlineStr">
        <is>
          <t>BOARDING GATE PARAGON 0 SINGAPORE</t>
        </is>
      </c>
      <c r="D1290" s="10">
        <f>IFERROR(INDEX('Review Items'!$D:$D,MATCH(C1290,'Review Items'!$B:$B,0)),IFERROR(INDEX('Rule Updates'!$B:$B,MATCH(C1290,'Rule Updates'!$A:$A,0)),"Uncategorised"))</f>
        <v/>
      </c>
      <c r="E1290" s="10">
        <f>IFERROR(INDEX('Review Items'!$E:$E,MATCH(C1290,'Review Items'!$B:$B,0)),IFERROR(INDEX('Rule Updates'!$C:$C,MATCH(C1290,'Rule Updates'!$A:$A,0)),"Review"))</f>
        <v/>
      </c>
      <c r="F1290" s="12" t="n">
        <v>118.9</v>
      </c>
      <c r="G1290" s="12" t="n">
        <v>747.33</v>
      </c>
      <c r="H1290" s="10" t="n">
        <v>8</v>
      </c>
      <c r="I1290" s="10">
        <f>IF(OR(D1290="Uncategorised",E1290=""),"Check","")</f>
        <v/>
      </c>
    </row>
    <row r="1291">
      <c r="A1291" s="10" t="inlineStr">
        <is>
          <t>Amex Mar-2026</t>
        </is>
      </c>
      <c r="B1291" s="11" t="n">
        <v>46092</v>
      </c>
      <c r="C1291" s="10" t="inlineStr">
        <is>
          <t>WHALE Club HK</t>
        </is>
      </c>
      <c r="D1291" s="10">
        <f>IFERROR(INDEX('Review Items'!$D:$D,MATCH(C1291,'Review Items'!$B:$B,0)),IFERROR(INDEX('Rule Updates'!$B:$B,MATCH(C1291,'Rule Updates'!$A:$A,0)),"Uncategorised"))</f>
        <v/>
      </c>
      <c r="E1291" s="10">
        <f>IFERROR(INDEX('Review Items'!$E:$E,MATCH(C1291,'Review Items'!$B:$B,0)),IFERROR(INDEX('Rule Updates'!$C:$C,MATCH(C1291,'Rule Updates'!$A:$A,0)),"Review"))</f>
        <v/>
      </c>
      <c r="F1291" s="10" t="n"/>
      <c r="G1291" s="12" t="n">
        <v>4757</v>
      </c>
      <c r="H1291" s="10" t="n">
        <v>4</v>
      </c>
      <c r="I1291" s="10">
        <f>IF(OR(D1291="Uncategorised",E1291=""),"Check","")</f>
        <v/>
      </c>
    </row>
    <row r="1292">
      <c r="A1292" s="10" t="inlineStr">
        <is>
          <t>Amex Mar-2026</t>
        </is>
      </c>
      <c r="B1292" s="11" t="n">
        <v>46093</v>
      </c>
      <c r="C1292" s="10" t="inlineStr">
        <is>
          <t>JEAN MAY WAN CHAI</t>
        </is>
      </c>
      <c r="D1292" s="10">
        <f>IFERROR(INDEX('Review Items'!$D:$D,MATCH(C1292,'Review Items'!$B:$B,0)),IFERROR(INDEX('Rule Updates'!$B:$B,MATCH(C1292,'Rule Updates'!$A:$A,0)),"Uncategorised"))</f>
        <v/>
      </c>
      <c r="E1292" s="10">
        <f>IFERROR(INDEX('Review Items'!$E:$E,MATCH(C1292,'Review Items'!$B:$B,0)),IFERROR(INDEX('Rule Updates'!$C:$C,MATCH(C1292,'Rule Updates'!$A:$A,0)),"Review"))</f>
        <v/>
      </c>
      <c r="F1292" s="10" t="n"/>
      <c r="G1292" s="12" t="n">
        <v>6123</v>
      </c>
      <c r="H1292" s="10" t="n">
        <v>4</v>
      </c>
      <c r="I1292" s="10">
        <f>IF(OR(D1292="Uncategorised",E1292=""),"Check","")</f>
        <v/>
      </c>
    </row>
    <row r="1293">
      <c r="A1293" s="10" t="inlineStr">
        <is>
          <t>Amex Mar-2026</t>
        </is>
      </c>
      <c r="B1293" s="11" t="n">
        <v>46093</v>
      </c>
      <c r="C1293" s="10" t="inlineStr">
        <is>
          <t>RA FF LES HOTEL SINGAPORE SINGAPORE</t>
        </is>
      </c>
      <c r="D1293" s="10">
        <f>IFERROR(INDEX('Review Items'!$D:$D,MATCH(C1293,'Review Items'!$B:$B,0)),IFERROR(INDEX('Rule Updates'!$B:$B,MATCH(C1293,'Rule Updates'!$A:$A,0)),"Uncategorised"))</f>
        <v/>
      </c>
      <c r="E1293" s="10">
        <f>IFERROR(INDEX('Review Items'!$E:$E,MATCH(C1293,'Review Items'!$B:$B,0)),IFERROR(INDEX('Rule Updates'!$C:$C,MATCH(C1293,'Rule Updates'!$A:$A,0)),"Review"))</f>
        <v/>
      </c>
      <c r="F1293" s="12" t="n">
        <v>165.46</v>
      </c>
      <c r="G1293" s="12" t="n">
        <v>1039.32</v>
      </c>
      <c r="H1293" s="10" t="n">
        <v>8</v>
      </c>
      <c r="I1293" s="10">
        <f>IF(OR(D1293="Uncategorised",E1293=""),"Check","")</f>
        <v/>
      </c>
    </row>
    <row r="1294">
      <c r="A1294" s="10" t="inlineStr">
        <is>
          <t>Amex Mar-2026</t>
        </is>
      </c>
      <c r="B1294" s="11" t="n">
        <v>46094</v>
      </c>
      <c r="C1294" s="10" t="inlineStr">
        <is>
          <t>ASIA MILES LIMITED HONG KONG</t>
        </is>
      </c>
      <c r="D1294" s="10">
        <f>IFERROR(INDEX('Review Items'!$D:$D,MATCH(C1294,'Review Items'!$B:$B,0)),IFERROR(INDEX('Rule Updates'!$B:$B,MATCH(C1294,'Rule Updates'!$A:$A,0)),"Uncategorised"))</f>
        <v/>
      </c>
      <c r="E1294" s="10">
        <f>IFERROR(INDEX('Review Items'!$E:$E,MATCH(C1294,'Review Items'!$B:$B,0)),IFERROR(INDEX('Rule Updates'!$C:$C,MATCH(C1294,'Rule Updates'!$A:$A,0)),"Review"))</f>
        <v/>
      </c>
      <c r="F1294" s="10" t="n"/>
      <c r="G1294" s="12" t="n">
        <v>847</v>
      </c>
      <c r="H1294" s="10" t="n">
        <v>4</v>
      </c>
      <c r="I1294" s="10">
        <f>IF(OR(D1294="Uncategorised",E1294=""),"Check","")</f>
        <v/>
      </c>
    </row>
    <row r="1295">
      <c r="A1295" s="10" t="inlineStr">
        <is>
          <t>Amex Mar-2026</t>
        </is>
      </c>
      <c r="B1295" s="11" t="n">
        <v>46094</v>
      </c>
      <c r="C1295" s="10" t="inlineStr">
        <is>
          <t>ASIA MILES LIMITED HONG KONG</t>
        </is>
      </c>
      <c r="D1295" s="10">
        <f>IFERROR(INDEX('Review Items'!$D:$D,MATCH(C1295,'Review Items'!$B:$B,0)),IFERROR(INDEX('Rule Updates'!$B:$B,MATCH(C1295,'Rule Updates'!$A:$A,0)),"Uncategorised"))</f>
        <v/>
      </c>
      <c r="E1295" s="10">
        <f>IFERROR(INDEX('Review Items'!$E:$E,MATCH(C1295,'Review Items'!$B:$B,0)),IFERROR(INDEX('Rule Updates'!$C:$C,MATCH(C1295,'Rule Updates'!$A:$A,0)),"Review"))</f>
        <v/>
      </c>
      <c r="F1295" s="10" t="n"/>
      <c r="G1295" s="12" t="n">
        <v>847</v>
      </c>
      <c r="H1295" s="10" t="n">
        <v>4</v>
      </c>
      <c r="I1295" s="10">
        <f>IF(OR(D1295="Uncategorised",E1295=""),"Check","")</f>
        <v/>
      </c>
    </row>
    <row r="1296">
      <c r="A1296" s="10" t="inlineStr">
        <is>
          <t>Amex Mar-2026</t>
        </is>
      </c>
      <c r="B1296" s="11" t="n">
        <v>46095</v>
      </c>
      <c r="C1296" s="10" t="inlineStr">
        <is>
          <t>FAR FETCH LONDON</t>
        </is>
      </c>
      <c r="D1296" s="10">
        <f>IFERROR(INDEX('Review Items'!$D:$D,MATCH(C1296,'Review Items'!$B:$B,0)),IFERROR(INDEX('Rule Updates'!$B:$B,MATCH(C1296,'Rule Updates'!$A:$A,0)),"Uncategorised"))</f>
        <v/>
      </c>
      <c r="E1296" s="10">
        <f>IFERROR(INDEX('Review Items'!$E:$E,MATCH(C1296,'Review Items'!$B:$B,0)),IFERROR(INDEX('Rule Updates'!$C:$C,MATCH(C1296,'Rule Updates'!$A:$A,0)),"Review"))</f>
        <v/>
      </c>
      <c r="F1296" s="10" t="n"/>
      <c r="G1296" s="12" t="n">
        <v>5919</v>
      </c>
      <c r="H1296" s="10" t="n">
        <v>4</v>
      </c>
      <c r="I1296" s="10">
        <f>IF(OR(D1296="Uncategorised",E1296=""),"Check","")</f>
        <v/>
      </c>
    </row>
    <row r="1297">
      <c r="A1297" s="10" t="inlineStr">
        <is>
          <t>Amex Mar-2026</t>
        </is>
      </c>
      <c r="B1297" s="11" t="n">
        <v>46095</v>
      </c>
      <c r="C1297" s="10" t="inlineStr">
        <is>
          <t>WHALE Club HK</t>
        </is>
      </c>
      <c r="D1297" s="10">
        <f>IFERROR(INDEX('Review Items'!$D:$D,MATCH(C1297,'Review Items'!$B:$B,0)),IFERROR(INDEX('Rule Updates'!$B:$B,MATCH(C1297,'Rule Updates'!$A:$A,0)),"Uncategorised"))</f>
        <v/>
      </c>
      <c r="E1297" s="10">
        <f>IFERROR(INDEX('Review Items'!$E:$E,MATCH(C1297,'Review Items'!$B:$B,0)),IFERROR(INDEX('Rule Updates'!$C:$C,MATCH(C1297,'Rule Updates'!$A:$A,0)),"Review"))</f>
        <v/>
      </c>
      <c r="F1297" s="10" t="n"/>
      <c r="G1297" s="12" t="n">
        <v>34527</v>
      </c>
      <c r="H1297" s="10" t="n">
        <v>4</v>
      </c>
      <c r="I1297" s="10">
        <f>IF(OR(D1297="Uncategorised",E1297=""),"Check","")</f>
        <v/>
      </c>
    </row>
    <row r="1298">
      <c r="A1298" s="10" t="inlineStr">
        <is>
          <t>Amex Mar-2026</t>
        </is>
      </c>
      <c r="B1298" s="11" t="n">
        <v>46095</v>
      </c>
      <c r="C1298" s="10" t="inlineStr">
        <is>
          <t>WHALE Club HK</t>
        </is>
      </c>
      <c r="D1298" s="10">
        <f>IFERROR(INDEX('Review Items'!$D:$D,MATCH(C1298,'Review Items'!$B:$B,0)),IFERROR(INDEX('Rule Updates'!$B:$B,MATCH(C1298,'Rule Updates'!$A:$A,0)),"Uncategorised"))</f>
        <v/>
      </c>
      <c r="E1298" s="10">
        <f>IFERROR(INDEX('Review Items'!$E:$E,MATCH(C1298,'Review Items'!$B:$B,0)),IFERROR(INDEX('Rule Updates'!$C:$C,MATCH(C1298,'Rule Updates'!$A:$A,0)),"Review"))</f>
        <v/>
      </c>
      <c r="F1298" s="10" t="n"/>
      <c r="G1298" s="12" t="n">
        <v>86</v>
      </c>
      <c r="H1298" s="10" t="n">
        <v>8</v>
      </c>
      <c r="I1298" s="10">
        <f>IF(OR(D1298="Uncategorised",E1298=""),"Check","")</f>
        <v/>
      </c>
    </row>
    <row r="1299">
      <c r="A1299" s="10" t="inlineStr">
        <is>
          <t>Amex Mar-2026</t>
        </is>
      </c>
      <c r="B1299" s="11" t="n">
        <v>46096</v>
      </c>
      <c r="C1299" s="10" t="inlineStr">
        <is>
          <t>SHAKE SHACKI F C (0201) CENTRAL</t>
        </is>
      </c>
      <c r="D1299" s="10">
        <f>IFERROR(INDEX('Review Items'!$D:$D,MATCH(C1299,'Review Items'!$B:$B,0)),IFERROR(INDEX('Rule Updates'!$B:$B,MATCH(C1299,'Rule Updates'!$A:$A,0)),"Uncategorised"))</f>
        <v/>
      </c>
      <c r="E1299" s="10">
        <f>IFERROR(INDEX('Review Items'!$E:$E,MATCH(C1299,'Review Items'!$B:$B,0)),IFERROR(INDEX('Rule Updates'!$C:$C,MATCH(C1299,'Rule Updates'!$A:$A,0)),"Review"))</f>
        <v/>
      </c>
      <c r="F1299" s="10" t="n"/>
      <c r="G1299" s="12" t="n">
        <v>503</v>
      </c>
      <c r="H1299" s="10" t="n">
        <v>8</v>
      </c>
      <c r="I1299" s="10">
        <f>IF(OR(D1299="Uncategorised",E1299=""),"Check","")</f>
        <v/>
      </c>
    </row>
    <row r="1300">
      <c r="A1300" s="10" t="inlineStr">
        <is>
          <t>Amex Mar-2026</t>
        </is>
      </c>
      <c r="B1300" s="11" t="n">
        <v>46097</v>
      </c>
      <c r="C1300" s="10" t="inlineStr">
        <is>
          <t>PONTI WINE CELLARS 0000 HONG KONG</t>
        </is>
      </c>
      <c r="D1300" s="10">
        <f>IFERROR(INDEX('Review Items'!$D:$D,MATCH(C1300,'Review Items'!$B:$B,0)),IFERROR(INDEX('Rule Updates'!$B:$B,MATCH(C1300,'Rule Updates'!$A:$A,0)),"Uncategorised"))</f>
        <v/>
      </c>
      <c r="E1300" s="10">
        <f>IFERROR(INDEX('Review Items'!$E:$E,MATCH(C1300,'Review Items'!$B:$B,0)),IFERROR(INDEX('Rule Updates'!$C:$C,MATCH(C1300,'Rule Updates'!$A:$A,0)),"Review"))</f>
        <v/>
      </c>
      <c r="F1300" s="10" t="n"/>
      <c r="G1300" s="12" t="n">
        <v>37655</v>
      </c>
      <c r="H1300" s="10" t="n">
        <v>4</v>
      </c>
      <c r="I1300" s="10">
        <f>IF(OR(D1300="Uncategorised",E1300=""),"Check","")</f>
        <v/>
      </c>
    </row>
    <row r="1301">
      <c r="A1301" s="10" t="inlineStr">
        <is>
          <t>Amex Mar-2026</t>
        </is>
      </c>
      <c r="B1301" s="11" t="n">
        <v>46098</v>
      </c>
      <c r="C1301" s="10" t="inlineStr">
        <is>
          <t>MYTHERESA APAC SERVICES ISLANDS</t>
        </is>
      </c>
      <c r="D1301" s="10">
        <f>IFERROR(INDEX('Review Items'!$D:$D,MATCH(C1301,'Review Items'!$B:$B,0)),IFERROR(INDEX('Rule Updates'!$B:$B,MATCH(C1301,'Rule Updates'!$A:$A,0)),"Uncategorised"))</f>
        <v/>
      </c>
      <c r="E1301" s="10">
        <f>IFERROR(INDEX('Review Items'!$E:$E,MATCH(C1301,'Review Items'!$B:$B,0)),IFERROR(INDEX('Rule Updates'!$C:$C,MATCH(C1301,'Rule Updates'!$A:$A,0)),"Review"))</f>
        <v/>
      </c>
      <c r="F1301" s="10" t="n"/>
      <c r="G1301" s="12" t="n">
        <v>7227</v>
      </c>
      <c r="H1301" s="10" t="n">
        <v>4</v>
      </c>
      <c r="I1301" s="10">
        <f>IF(OR(D1301="Uncategorised",E1301=""),"Check","")</f>
        <v/>
      </c>
    </row>
    <row r="1302">
      <c r="A1302" s="10" t="inlineStr">
        <is>
          <t>Amex Mar-2026</t>
        </is>
      </c>
      <c r="B1302" s="11" t="n">
        <v>46098</v>
      </c>
      <c r="C1302" s="10" t="inlineStr">
        <is>
          <t>MYTHERESA APAC SERVICES ISLANDS</t>
        </is>
      </c>
      <c r="D1302" s="10">
        <f>IFERROR(INDEX('Review Items'!$D:$D,MATCH(C1302,'Review Items'!$B:$B,0)),IFERROR(INDEX('Rule Updates'!$B:$B,MATCH(C1302,'Rule Updates'!$A:$A,0)),"Uncategorised"))</f>
        <v/>
      </c>
      <c r="E1302" s="10">
        <f>IFERROR(INDEX('Review Items'!$E:$E,MATCH(C1302,'Review Items'!$B:$B,0)),IFERROR(INDEX('Rule Updates'!$C:$C,MATCH(C1302,'Rule Updates'!$A:$A,0)),"Review"))</f>
        <v/>
      </c>
      <c r="F1302" s="10" t="n"/>
      <c r="G1302" s="12" t="n">
        <v>95907</v>
      </c>
      <c r="H1302" s="10" t="n">
        <v>4</v>
      </c>
      <c r="I1302" s="10">
        <f>IF(OR(D1302="Uncategorised",E1302=""),"Check","")</f>
        <v/>
      </c>
    </row>
    <row r="1303">
      <c r="A1303" s="10" t="inlineStr">
        <is>
          <t>Amex Mar-2026</t>
        </is>
      </c>
      <c r="B1303" s="11" t="n">
        <v>46098</v>
      </c>
      <c r="C1303" s="10" t="inlineStr">
        <is>
          <t>MYTHERESA APAC SERVICES ISLANDS</t>
        </is>
      </c>
      <c r="D1303" s="10">
        <f>IFERROR(INDEX('Review Items'!$D:$D,MATCH(C1303,'Review Items'!$B:$B,0)),IFERROR(INDEX('Rule Updates'!$B:$B,MATCH(C1303,'Rule Updates'!$A:$A,0)),"Uncategorised"))</f>
        <v/>
      </c>
      <c r="E1303" s="10">
        <f>IFERROR(INDEX('Review Items'!$E:$E,MATCH(C1303,'Review Items'!$B:$B,0)),IFERROR(INDEX('Rule Updates'!$C:$C,MATCH(C1303,'Rule Updates'!$A:$A,0)),"Review"))</f>
        <v/>
      </c>
      <c r="F1303" s="10" t="n"/>
      <c r="G1303" s="12" t="n">
        <v>45687</v>
      </c>
      <c r="H1303" s="10" t="n">
        <v>4</v>
      </c>
      <c r="I1303" s="10">
        <f>IF(OR(D1303="Uncategorised",E1303=""),"Check","")</f>
        <v/>
      </c>
    </row>
    <row r="1304">
      <c r="A1304" s="10" t="inlineStr">
        <is>
          <t>Amex Mar-2026</t>
        </is>
      </c>
      <c r="B1304" s="11" t="n">
        <v>46098</v>
      </c>
      <c r="C1304" s="10" t="inlineStr">
        <is>
          <t>RESERVEPS.COM EL SEGUNDO</t>
        </is>
      </c>
      <c r="D1304" s="10">
        <f>IFERROR(INDEX('Review Items'!$D:$D,MATCH(C1304,'Review Items'!$B:$B,0)),IFERROR(INDEX('Rule Updates'!$B:$B,MATCH(C1304,'Rule Updates'!$A:$A,0)),"Uncategorised"))</f>
        <v/>
      </c>
      <c r="E1304" s="10">
        <f>IFERROR(INDEX('Review Items'!$E:$E,MATCH(C1304,'Review Items'!$B:$B,0)),IFERROR(INDEX('Rule Updates'!$C:$C,MATCH(C1304,'Rule Updates'!$A:$A,0)),"Review"))</f>
        <v/>
      </c>
      <c r="F1304" s="12" t="n">
        <v>1250</v>
      </c>
      <c r="G1304" s="12" t="n">
        <v>9985.540000000001</v>
      </c>
      <c r="H1304" s="10" t="n">
        <v>4</v>
      </c>
      <c r="I1304" s="10">
        <f>IF(OR(D1304="Uncategorised",E1304=""),"Check","")</f>
        <v/>
      </c>
    </row>
    <row r="1305">
      <c r="A1305" s="10" t="inlineStr">
        <is>
          <t>Amex Mar-2026</t>
        </is>
      </c>
      <c r="B1305" s="11" t="n">
        <v>46098</v>
      </c>
      <c r="C1305" s="10" t="inlineStr">
        <is>
          <t>THE NET-A-PORTER GROUP HONG KONG</t>
        </is>
      </c>
      <c r="D1305" s="10">
        <f>IFERROR(INDEX('Review Items'!$D:$D,MATCH(C1305,'Review Items'!$B:$B,0)),IFERROR(INDEX('Rule Updates'!$B:$B,MATCH(C1305,'Rule Updates'!$A:$A,0)),"Uncategorised"))</f>
        <v/>
      </c>
      <c r="E1305" s="10">
        <f>IFERROR(INDEX('Review Items'!$E:$E,MATCH(C1305,'Review Items'!$B:$B,0)),IFERROR(INDEX('Rule Updates'!$C:$C,MATCH(C1305,'Rule Updates'!$A:$A,0)),"Review"))</f>
        <v/>
      </c>
      <c r="F1305" s="10" t="n"/>
      <c r="G1305" s="12" t="n">
        <v>27740</v>
      </c>
      <c r="H1305" s="10" t="n">
        <v>4</v>
      </c>
      <c r="I1305" s="10">
        <f>IF(OR(D1305="Uncategorised",E1305=""),"Check","")</f>
        <v/>
      </c>
    </row>
    <row r="1306">
      <c r="A1306" s="10" t="inlineStr">
        <is>
          <t>Amex Mar-2026</t>
        </is>
      </c>
      <c r="B1306" s="11" t="n">
        <v>46102</v>
      </c>
      <c r="C1306" s="10" t="inlineStr">
        <is>
          <t>GARMIN ( EUROPE ) LIMITED SOUTHAMPTON</t>
        </is>
      </c>
      <c r="D1306" s="10">
        <f>IFERROR(INDEX('Review Items'!$D:$D,MATCH(C1306,'Review Items'!$B:$B,0)),IFERROR(INDEX('Rule Updates'!$B:$B,MATCH(C1306,'Rule Updates'!$A:$A,0)),"Uncategorised"))</f>
        <v/>
      </c>
      <c r="E1306" s="10">
        <f>IFERROR(INDEX('Review Items'!$E:$E,MATCH(C1306,'Review Items'!$B:$B,0)),IFERROR(INDEX('Rule Updates'!$C:$C,MATCH(C1306,'Rule Updates'!$A:$A,0)),"Review"))</f>
        <v/>
      </c>
      <c r="F1306" s="10" t="n"/>
      <c r="G1306" s="12" t="n">
        <v>89</v>
      </c>
      <c r="H1306" s="10" t="n">
        <v>4</v>
      </c>
      <c r="I1306" s="10">
        <f>IF(OR(D1306="Uncategorised",E1306=""),"Check","")</f>
        <v/>
      </c>
    </row>
    <row r="1307">
      <c r="A1307" s="10" t="inlineStr">
        <is>
          <t>Amex Mar-2026</t>
        </is>
      </c>
      <c r="B1307" s="11" t="n">
        <v>46102</v>
      </c>
      <c r="C1307" s="10" t="inlineStr">
        <is>
          <t>KPAY * LALA 0000000000000 HONG KONG</t>
        </is>
      </c>
      <c r="D1307" s="10">
        <f>IFERROR(INDEX('Review Items'!$D:$D,MATCH(C1307,'Review Items'!$B:$B,0)),IFERROR(INDEX('Rule Updates'!$B:$B,MATCH(C1307,'Rule Updates'!$A:$A,0)),"Uncategorised"))</f>
        <v/>
      </c>
      <c r="E1307" s="10">
        <f>IFERROR(INDEX('Review Items'!$E:$E,MATCH(C1307,'Review Items'!$B:$B,0)),IFERROR(INDEX('Rule Updates'!$C:$C,MATCH(C1307,'Rule Updates'!$A:$A,0)),"Review"))</f>
        <v/>
      </c>
      <c r="F1307" s="10" t="n"/>
      <c r="G1307" s="12" t="n">
        <v>3408.6</v>
      </c>
      <c r="H1307" s="10" t="n">
        <v>8</v>
      </c>
      <c r="I1307" s="10">
        <f>IF(OR(D1307="Uncategorised",E1307=""),"Check","")</f>
        <v/>
      </c>
    </row>
    <row r="1308">
      <c r="A1308" s="10" t="inlineStr">
        <is>
          <t>Amex Mar-2026</t>
        </is>
      </c>
      <c r="B1308" s="11" t="n">
        <v>46102</v>
      </c>
      <c r="C1308" s="10" t="inlineStr">
        <is>
          <t>WHALE Club HK</t>
        </is>
      </c>
      <c r="D1308" s="10">
        <f>IFERROR(INDEX('Review Items'!$D:$D,MATCH(C1308,'Review Items'!$B:$B,0)),IFERROR(INDEX('Rule Updates'!$B:$B,MATCH(C1308,'Rule Updates'!$A:$A,0)),"Uncategorised"))</f>
        <v/>
      </c>
      <c r="E1308" s="10">
        <f>IFERROR(INDEX('Review Items'!$E:$E,MATCH(C1308,'Review Items'!$B:$B,0)),IFERROR(INDEX('Rule Updates'!$C:$C,MATCH(C1308,'Rule Updates'!$A:$A,0)),"Review"))</f>
        <v/>
      </c>
      <c r="F1308" s="10" t="n"/>
      <c r="G1308" s="12" t="n">
        <v>630</v>
      </c>
      <c r="H1308" s="10" t="n">
        <v>4</v>
      </c>
      <c r="I1308" s="10">
        <f>IF(OR(D1308="Uncategorised",E1308=""),"Check","")</f>
        <v/>
      </c>
    </row>
    <row r="1309">
      <c r="A1309" s="10" t="inlineStr">
        <is>
          <t>Amex Mar-2026</t>
        </is>
      </c>
      <c r="B1309" s="11" t="n">
        <v>46103</v>
      </c>
      <c r="C1309" s="10" t="inlineStr">
        <is>
          <t>BAR LEONE SHOPS NO. 2 &amp; 3,</t>
        </is>
      </c>
      <c r="D1309" s="10">
        <f>IFERROR(INDEX('Review Items'!$D:$D,MATCH(C1309,'Review Items'!$B:$B,0)),IFERROR(INDEX('Rule Updates'!$B:$B,MATCH(C1309,'Rule Updates'!$A:$A,0)),"Uncategorised"))</f>
        <v/>
      </c>
      <c r="E1309" s="10">
        <f>IFERROR(INDEX('Review Items'!$E:$E,MATCH(C1309,'Review Items'!$B:$B,0)),IFERROR(INDEX('Rule Updates'!$C:$C,MATCH(C1309,'Rule Updates'!$A:$A,0)),"Review"))</f>
        <v/>
      </c>
      <c r="F1309" s="10" t="n"/>
      <c r="G1309" s="12" t="n">
        <v>800</v>
      </c>
      <c r="H1309" s="10" t="n">
        <v>4</v>
      </c>
      <c r="I1309" s="10">
        <f>IF(OR(D1309="Uncategorised",E1309=""),"Check","")</f>
        <v/>
      </c>
    </row>
    <row r="1310">
      <c r="A1310" s="10" t="inlineStr">
        <is>
          <t>Amex Mar-2026</t>
        </is>
      </c>
      <c r="B1310" s="11" t="n">
        <v>46103</v>
      </c>
      <c r="C1310" s="10" t="inlineStr">
        <is>
          <t>BAR LEONE SHOPS NO. 2 &amp; 3,</t>
        </is>
      </c>
      <c r="D1310" s="10">
        <f>IFERROR(INDEX('Review Items'!$D:$D,MATCH(C1310,'Review Items'!$B:$B,0)),IFERROR(INDEX('Rule Updates'!$B:$B,MATCH(C1310,'Rule Updates'!$A:$A,0)),"Uncategorised"))</f>
        <v/>
      </c>
      <c r="E1310" s="10">
        <f>IFERROR(INDEX('Review Items'!$E:$E,MATCH(C1310,'Review Items'!$B:$B,0)),IFERROR(INDEX('Rule Updates'!$C:$C,MATCH(C1310,'Rule Updates'!$A:$A,0)),"Review"))</f>
        <v/>
      </c>
      <c r="F1310" s="10" t="n"/>
      <c r="G1310" s="12" t="n">
        <v>800</v>
      </c>
      <c r="H1310" s="10" t="n">
        <v>4</v>
      </c>
      <c r="I1310" s="10">
        <f>IF(OR(D1310="Uncategorised",E1310=""),"Check","")</f>
        <v/>
      </c>
    </row>
    <row r="1311">
      <c r="A1311" s="10" t="inlineStr">
        <is>
          <t>Amex Mar-2026</t>
        </is>
      </c>
      <c r="B1311" s="11" t="n">
        <v>46104</v>
      </c>
      <c r="C1311" s="10" t="inlineStr">
        <is>
          <t>APPLE.COM/HK HONG KONG</t>
        </is>
      </c>
      <c r="D1311" s="10">
        <f>IFERROR(INDEX('Review Items'!$D:$D,MATCH(C1311,'Review Items'!$B:$B,0)),IFERROR(INDEX('Rule Updates'!$B:$B,MATCH(C1311,'Rule Updates'!$A:$A,0)),"Uncategorised"))</f>
        <v/>
      </c>
      <c r="E1311" s="10">
        <f>IFERROR(INDEX('Review Items'!$E:$E,MATCH(C1311,'Review Items'!$B:$B,0)),IFERROR(INDEX('Rule Updates'!$C:$C,MATCH(C1311,'Rule Updates'!$A:$A,0)),"Review"))</f>
        <v/>
      </c>
      <c r="F1311" s="10" t="n"/>
      <c r="G1311" s="12" t="n">
        <v>1999</v>
      </c>
      <c r="H1311" s="10" t="n">
        <v>4</v>
      </c>
      <c r="I1311" s="10">
        <f>IF(OR(D1311="Uncategorised",E1311=""),"Check","")</f>
        <v/>
      </c>
    </row>
    <row r="1312">
      <c r="A1312" s="10" t="inlineStr">
        <is>
          <t>Amex Mar-2026</t>
        </is>
      </c>
      <c r="B1312" s="11" t="n">
        <v>46104</v>
      </c>
      <c r="C1312" s="10" t="inlineStr">
        <is>
          <t>KPAY * MAISON KARYA 00000 HONG KONG</t>
        </is>
      </c>
      <c r="D1312" s="10">
        <f>IFERROR(INDEX('Review Items'!$D:$D,MATCH(C1312,'Review Items'!$B:$B,0)),IFERROR(INDEX('Rule Updates'!$B:$B,MATCH(C1312,'Rule Updates'!$A:$A,0)),"Uncategorised"))</f>
        <v/>
      </c>
      <c r="E1312" s="10">
        <f>IFERROR(INDEX('Review Items'!$E:$E,MATCH(C1312,'Review Items'!$B:$B,0)),IFERROR(INDEX('Rule Updates'!$C:$C,MATCH(C1312,'Rule Updates'!$A:$A,0)),"Review"))</f>
        <v/>
      </c>
      <c r="F1312" s="10" t="n"/>
      <c r="G1312" s="12" t="n">
        <v>1204.2</v>
      </c>
      <c r="H1312" s="10" t="n">
        <v>4</v>
      </c>
      <c r="I1312" s="10">
        <f>IF(OR(D1312="Uncategorised",E1312=""),"Check","")</f>
        <v/>
      </c>
    </row>
    <row r="1313">
      <c r="A1313" s="10" t="inlineStr">
        <is>
          <t>Amex Mar-2026</t>
        </is>
      </c>
      <c r="B1313" s="11" t="n">
        <v>46104</v>
      </c>
      <c r="C1313" s="10" t="inlineStr">
        <is>
          <t>WHALE Club HK</t>
        </is>
      </c>
      <c r="D1313" s="10">
        <f>IFERROR(INDEX('Review Items'!$D:$D,MATCH(C1313,'Review Items'!$B:$B,0)),IFERROR(INDEX('Rule Updates'!$B:$B,MATCH(C1313,'Rule Updates'!$A:$A,0)),"Uncategorised"))</f>
        <v/>
      </c>
      <c r="E1313" s="10">
        <f>IFERROR(INDEX('Review Items'!$E:$E,MATCH(C1313,'Review Items'!$B:$B,0)),IFERROR(INDEX('Rule Updates'!$C:$C,MATCH(C1313,'Rule Updates'!$A:$A,0)),"Review"))</f>
        <v/>
      </c>
      <c r="F1313" s="10" t="n"/>
      <c r="G1313" s="12" t="n">
        <v>1747</v>
      </c>
      <c r="H1313" s="10" t="n">
        <v>4</v>
      </c>
      <c r="I1313" s="10">
        <f>IF(OR(D1313="Uncategorised",E1313=""),"Check","")</f>
        <v/>
      </c>
    </row>
    <row r="1314">
      <c r="A1314" s="10" t="inlineStr">
        <is>
          <t>Amex Mar-2026</t>
        </is>
      </c>
      <c r="B1314" s="11" t="n">
        <v>46105</v>
      </c>
      <c r="C1314" s="10" t="inlineStr">
        <is>
          <t>THE MANDARIN SALON CENTRAL</t>
        </is>
      </c>
      <c r="D1314" s="10">
        <f>IFERROR(INDEX('Review Items'!$D:$D,MATCH(C1314,'Review Items'!$B:$B,0)),IFERROR(INDEX('Rule Updates'!$B:$B,MATCH(C1314,'Rule Updates'!$A:$A,0)),"Uncategorised"))</f>
        <v/>
      </c>
      <c r="E1314" s="10">
        <f>IFERROR(INDEX('Review Items'!$E:$E,MATCH(C1314,'Review Items'!$B:$B,0)),IFERROR(INDEX('Rule Updates'!$C:$C,MATCH(C1314,'Rule Updates'!$A:$A,0)),"Review"))</f>
        <v/>
      </c>
      <c r="F1314" s="10" t="n"/>
      <c r="G1314" s="12" t="n">
        <v>945</v>
      </c>
      <c r="H1314" s="10" t="n">
        <v>4</v>
      </c>
      <c r="I1314" s="10">
        <f>IF(OR(D1314="Uncategorised",E1314=""),"Check","")</f>
        <v/>
      </c>
    </row>
    <row r="1315">
      <c r="A1315" s="10" t="inlineStr">
        <is>
          <t>Amex Mar-2026</t>
        </is>
      </c>
      <c r="B1315" s="11" t="n">
        <v>46105</v>
      </c>
      <c r="C1315" s="10" t="inlineStr">
        <is>
          <t>THE NET-A-PORTER GROUP HONG KONG</t>
        </is>
      </c>
      <c r="D1315" s="10">
        <f>IFERROR(INDEX('Review Items'!$D:$D,MATCH(C1315,'Review Items'!$B:$B,0)),IFERROR(INDEX('Rule Updates'!$B:$B,MATCH(C1315,'Rule Updates'!$A:$A,0)),"Uncategorised"))</f>
        <v/>
      </c>
      <c r="E1315" s="10">
        <f>IFERROR(INDEX('Review Items'!$E:$E,MATCH(C1315,'Review Items'!$B:$B,0)),IFERROR(INDEX('Rule Updates'!$C:$C,MATCH(C1315,'Rule Updates'!$A:$A,0)),"Review"))</f>
        <v/>
      </c>
      <c r="F1315" s="10" t="n"/>
      <c r="G1315" s="12" t="n">
        <v>107810</v>
      </c>
      <c r="H1315" s="10" t="n">
        <v>4</v>
      </c>
      <c r="I1315" s="10">
        <f>IF(OR(D1315="Uncategorised",E1315=""),"Check","")</f>
        <v/>
      </c>
    </row>
    <row r="1316">
      <c r="A1316" s="10" t="inlineStr">
        <is>
          <t>Amex Mar-2026</t>
        </is>
      </c>
      <c r="B1316" s="11" t="n">
        <v>46106</v>
      </c>
      <c r="C1316" s="10" t="inlineStr">
        <is>
          <t>MYTHERESA APAC SERVICES ISLANDS</t>
        </is>
      </c>
      <c r="D1316" s="10">
        <f>IFERROR(INDEX('Review Items'!$D:$D,MATCH(C1316,'Review Items'!$B:$B,0)),IFERROR(INDEX('Rule Updates'!$B:$B,MATCH(C1316,'Rule Updates'!$A:$A,0)),"Uncategorised"))</f>
        <v/>
      </c>
      <c r="E1316" s="10">
        <f>IFERROR(INDEX('Review Items'!$E:$E,MATCH(C1316,'Review Items'!$B:$B,0)),IFERROR(INDEX('Rule Updates'!$C:$C,MATCH(C1316,'Rule Updates'!$A:$A,0)),"Review"))</f>
        <v/>
      </c>
      <c r="F1316" s="10" t="n"/>
      <c r="G1316" s="12" t="n">
        <v>-28087</v>
      </c>
      <c r="H1316" s="10" t="n">
        <v>4</v>
      </c>
      <c r="I1316" s="10">
        <f>IF(OR(D1316="Uncategorised",E1316=""),"Check","")</f>
        <v/>
      </c>
    </row>
    <row r="1317">
      <c r="A1317" s="10" t="inlineStr">
        <is>
          <t>Amex Mar-2026</t>
        </is>
      </c>
      <c r="B1317" s="11" t="n">
        <v>46106</v>
      </c>
      <c r="C1317" s="10" t="inlineStr">
        <is>
          <t>MYTHERESA APAC SERVICES ISLANDS</t>
        </is>
      </c>
      <c r="D1317" s="10">
        <f>IFERROR(INDEX('Review Items'!$D:$D,MATCH(C1317,'Review Items'!$B:$B,0)),IFERROR(INDEX('Rule Updates'!$B:$B,MATCH(C1317,'Rule Updates'!$A:$A,0)),"Uncategorised"))</f>
        <v/>
      </c>
      <c r="E1317" s="10">
        <f>IFERROR(INDEX('Review Items'!$E:$E,MATCH(C1317,'Review Items'!$B:$B,0)),IFERROR(INDEX('Rule Updates'!$C:$C,MATCH(C1317,'Rule Updates'!$A:$A,0)),"Review"))</f>
        <v/>
      </c>
      <c r="F1317" s="10" t="n"/>
      <c r="G1317" s="12" t="n">
        <v>-2867</v>
      </c>
      <c r="H1317" s="10" t="n">
        <v>5</v>
      </c>
      <c r="I1317" s="10">
        <f>IF(OR(D1317="Uncategorised",E1317=""),"Check","")</f>
        <v/>
      </c>
    </row>
    <row r="1318">
      <c r="A1318" s="10" t="inlineStr">
        <is>
          <t>Amex Mar-2026</t>
        </is>
      </c>
      <c r="B1318" s="11" t="n">
        <v>46106</v>
      </c>
      <c r="C1318" s="10" t="inlineStr">
        <is>
          <t>THE NET-A-PORTER GROUP HONG KONG</t>
        </is>
      </c>
      <c r="D1318" s="10">
        <f>IFERROR(INDEX('Review Items'!$D:$D,MATCH(C1318,'Review Items'!$B:$B,0)),IFERROR(INDEX('Rule Updates'!$B:$B,MATCH(C1318,'Rule Updates'!$A:$A,0)),"Uncategorised"))</f>
        <v/>
      </c>
      <c r="E1318" s="10">
        <f>IFERROR(INDEX('Review Items'!$E:$E,MATCH(C1318,'Review Items'!$B:$B,0)),IFERROR(INDEX('Rule Updates'!$C:$C,MATCH(C1318,'Rule Updates'!$A:$A,0)),"Review"))</f>
        <v/>
      </c>
      <c r="F1318" s="10" t="n"/>
      <c r="G1318" s="12" t="n">
        <v>-20550</v>
      </c>
      <c r="H1318" s="10" t="n">
        <v>4</v>
      </c>
      <c r="I1318" s="10">
        <f>IF(OR(D1318="Uncategorised",E1318=""),"Check","")</f>
        <v/>
      </c>
    </row>
  </sheetData>
  <autoFilter ref="A4:I1318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6" customWidth="1" min="3" max="3"/>
    <col width="16" customWidth="1" min="4" max="4"/>
    <col width="48" customWidth="1" min="5" max="5"/>
    <col width="22" customWidth="1" min="6" max="6"/>
  </cols>
  <sheetData>
    <row r="1" ht="24" customHeight="1">
      <c r="A1" s="1" t="inlineStr">
        <is>
          <t>Rule Updates</t>
        </is>
      </c>
    </row>
    <row r="2">
      <c r="A2" s="2" t="inlineStr">
        <is>
          <t>Use the dropdowns here to maintain merchant rules for future imports.</t>
        </is>
      </c>
    </row>
    <row r="4">
      <c r="A4" s="7" t="inlineStr">
        <is>
          <t>Merchant</t>
        </is>
      </c>
      <c r="B4" s="7" t="inlineStr">
        <is>
          <t>Category</t>
        </is>
      </c>
      <c r="C4" s="7" t="inlineStr">
        <is>
          <t>Belongs To</t>
        </is>
      </c>
      <c r="D4" s="7" t="inlineStr">
        <is>
          <t>In Category?</t>
        </is>
      </c>
      <c r="E4" s="7" t="inlineStr">
        <is>
          <t>Suggested Match Text</t>
        </is>
      </c>
      <c r="F4" s="7" t="inlineStr">
        <is>
          <t>Action</t>
        </is>
      </c>
    </row>
    <row r="5">
      <c r="A5" s="10" t="inlineStr">
        <is>
          <t>SILVERSEA LONDON</t>
        </is>
      </c>
      <c r="B5" s="10" t="inlineStr">
        <is>
          <t>Travel</t>
        </is>
      </c>
      <c r="C5" s="10" t="inlineStr">
        <is>
          <t>Family</t>
        </is>
      </c>
      <c r="D5" s="10">
        <f>IF(COUNTIF(Category!$A:$A,E5)&gt;0,"Yes","No")</f>
        <v/>
      </c>
      <c r="E5" s="10">
        <f>LEFT(A5,80)</f>
        <v/>
      </c>
      <c r="F5" s="10">
        <f>IF(OR(B5="Uncategorised",C5="",C5="Review"),"Needs category/owner",IF(D5="Yes","Already in Category","Add to Category"))</f>
        <v/>
      </c>
    </row>
    <row r="6">
      <c r="A6" s="10" t="inlineStr">
        <is>
          <t>THE NET-A-PORTER GROUP HONG KONG</t>
        </is>
      </c>
      <c r="B6" s="10" t="inlineStr">
        <is>
          <t>Clothes &amp; Shoes</t>
        </is>
      </c>
      <c r="C6" s="10" t="inlineStr">
        <is>
          <t>Su</t>
        </is>
      </c>
      <c r="D6" s="10">
        <f>IF(COUNTIF(Category!$A:$A,E6)&gt;0,"Yes","No")</f>
        <v/>
      </c>
      <c r="E6" s="10">
        <f>LEFT(A6,80)</f>
        <v/>
      </c>
      <c r="F6" s="10">
        <f>IF(OR(B6="Uncategorised",C6="",C6="Review"),"Needs category/owner",IF(D6="Yes","Already in Category","Add to Category"))</f>
        <v/>
      </c>
    </row>
    <row r="7">
      <c r="A7" s="10" t="inlineStr">
        <is>
          <t>MYTHERESA APAC SERVICES ISLANDS</t>
        </is>
      </c>
      <c r="B7" s="10" t="inlineStr">
        <is>
          <t>Clothes &amp; Shoes</t>
        </is>
      </c>
      <c r="C7" s="10" t="inlineStr">
        <is>
          <t>Su</t>
        </is>
      </c>
      <c r="D7" s="10">
        <f>IF(COUNTIF(Category!$A:$A,E7)&gt;0,"Yes","No")</f>
        <v/>
      </c>
      <c r="E7" s="10">
        <f>LEFT(A7,80)</f>
        <v/>
      </c>
      <c r="F7" s="10">
        <f>IF(OR(B7="Uncategorised",C7="",C7="Review"),"Needs category/owner",IF(D7="Yes","Already in Category","Add to Category"))</f>
        <v/>
      </c>
    </row>
    <row r="8">
      <c r="A8" s="10" t="inlineStr">
        <is>
          <t>HTL*ASCOTTORCHARDS 800-468-3578</t>
        </is>
      </c>
      <c r="B8" s="10" t="inlineStr">
        <is>
          <t>Hotel</t>
        </is>
      </c>
      <c r="C8" s="10" t="inlineStr">
        <is>
          <t>Family</t>
        </is>
      </c>
      <c r="D8" s="10">
        <f>IF(COUNTIF(Category!$A:$A,E8)&gt;0,"Yes","No")</f>
        <v/>
      </c>
      <c r="E8" s="10">
        <f>LEFT(A8,80)</f>
        <v/>
      </c>
      <c r="F8" s="10">
        <f>IF(OR(B8="Uncategorised",C8="",C8="Review"),"Needs category/owner",IF(D8="Yes","Already in Category","Add to Category"))</f>
        <v/>
      </c>
    </row>
    <row r="9">
      <c r="A9" s="10" t="inlineStr">
        <is>
          <t>WHALE CLU BHK</t>
        </is>
      </c>
      <c r="B9" s="10" t="inlineStr">
        <is>
          <t>Dining out</t>
        </is>
      </c>
      <c r="C9" s="10" t="inlineStr">
        <is>
          <t>Family</t>
        </is>
      </c>
      <c r="D9" s="10">
        <f>IF(COUNTIF(Category!$A:$A,E9)&gt;0,"Yes","No")</f>
        <v/>
      </c>
      <c r="E9" s="10">
        <f>LEFT(A9,80)</f>
        <v/>
      </c>
      <c r="F9" s="10">
        <f>IF(OR(B9="Uncategorised",C9="",C9="Review"),"Needs category/owner",IF(D9="Yes","Already in Category","Add to Category"))</f>
        <v/>
      </c>
    </row>
    <row r="10">
      <c r="A10" s="10" t="inlineStr">
        <is>
          <t>PONTI WINE CELLARS 0000 HONG KONG</t>
        </is>
      </c>
      <c r="B10" s="10" t="inlineStr">
        <is>
          <t>Wine</t>
        </is>
      </c>
      <c r="C10" s="10" t="inlineStr">
        <is>
          <t>Family</t>
        </is>
      </c>
      <c r="D10" s="10">
        <f>IF(COUNTIF(Category!$A:$A,E10)&gt;0,"Yes","No")</f>
        <v/>
      </c>
      <c r="E10" s="10">
        <f>LEFT(A10,80)</f>
        <v/>
      </c>
      <c r="F10" s="10">
        <f>IF(OR(B10="Uncategorised",C10="",C10="Review"),"Needs category/owner",IF(D10="Yes","Already in Category","Add to Category"))</f>
        <v/>
      </c>
    </row>
    <row r="11">
      <c r="A11" s="10" t="inlineStr">
        <is>
          <t>LANE CRAWFORD (FURNITUR ADMIRALTY</t>
        </is>
      </c>
      <c r="B11" s="10" t="inlineStr">
        <is>
          <t>Housewares</t>
        </is>
      </c>
      <c r="C11" s="10" t="inlineStr">
        <is>
          <t>Family</t>
        </is>
      </c>
      <c r="D11" s="10">
        <f>IF(COUNTIF(Category!$A:$A,E11)&gt;0,"Yes","No")</f>
        <v/>
      </c>
      <c r="E11" s="10">
        <f>LEFT(A11,80)</f>
        <v/>
      </c>
      <c r="F11" s="10">
        <f>IF(OR(B11="Uncategorised",C11="",C11="Review"),"Needs category/owner",IF(D11="Yes","Already in Category","Add to Category"))</f>
        <v/>
      </c>
    </row>
    <row r="12">
      <c r="A12" s="10" t="inlineStr">
        <is>
          <t>RAFFLES HOTEL SINGAPORE SINGAPORE</t>
        </is>
      </c>
      <c r="B12" s="10" t="inlineStr">
        <is>
          <t>Uncategorised</t>
        </is>
      </c>
      <c r="C12" s="10" t="inlineStr">
        <is>
          <t>Review</t>
        </is>
      </c>
      <c r="D12" s="10">
        <f>IF(COUNTIF(Category!$A:$A,E12)&gt;0,"Yes","No")</f>
        <v/>
      </c>
      <c r="E12" s="10">
        <f>LEFT(A12,80)</f>
        <v/>
      </c>
      <c r="F12" s="10">
        <f>IF(OR(B12="Uncategorised",C12="",C12="Review"),"Needs category/owner",IF(D12="Yes","Already in Category","Add to Category"))</f>
        <v/>
      </c>
    </row>
    <row r="13">
      <c r="A13" s="10" t="inlineStr">
        <is>
          <t>AGORA IBIZA 367352630 SANT JOAN LAB</t>
        </is>
      </c>
      <c r="B13" s="10" t="inlineStr">
        <is>
          <t>Hotel</t>
        </is>
      </c>
      <c r="C13" s="10" t="inlineStr">
        <is>
          <t>Family</t>
        </is>
      </c>
      <c r="D13" s="10">
        <f>IF(COUNTIF(Category!$A:$A,E13)&gt;0,"Yes","No")</f>
        <v/>
      </c>
      <c r="E13" s="10">
        <f>LEFT(A13,80)</f>
        <v/>
      </c>
      <c r="F13" s="10">
        <f>IF(OR(B13="Uncategorised",C13="",C13="Review"),"Needs category/owner",IF(D13="Yes","Already in Category","Add to Category"))</f>
        <v/>
      </c>
    </row>
    <row r="14">
      <c r="A14" s="10" t="inlineStr">
        <is>
          <t>FAR FETCH LONDON</t>
        </is>
      </c>
      <c r="B14" s="10" t="inlineStr">
        <is>
          <t>Clothes &amp; Shoes</t>
        </is>
      </c>
      <c r="C14" s="10" t="inlineStr">
        <is>
          <t>Su</t>
        </is>
      </c>
      <c r="D14" s="10">
        <f>IF(COUNTIF(Category!$A:$A,E14)&gt;0,"Yes","No")</f>
        <v/>
      </c>
      <c r="E14" s="10">
        <f>LEFT(A14,80)</f>
        <v/>
      </c>
      <c r="F14" s="10">
        <f>IF(OR(B14="Uncategorised",C14="",C14="Review"),"Needs category/owner",IF(D14="Yes","Already in Category","Add to Category"))</f>
        <v/>
      </c>
    </row>
    <row r="15">
      <c r="A15" s="10" t="inlineStr">
        <is>
          <t>BURGUNDY ETC CENTRAL</t>
        </is>
      </c>
      <c r="B15" s="10" t="inlineStr">
        <is>
          <t>Wine</t>
        </is>
      </c>
      <c r="C15" s="10" t="inlineStr">
        <is>
          <t>Family</t>
        </is>
      </c>
      <c r="D15" s="10">
        <f>IF(COUNTIF(Category!$A:$A,E15)&gt;0,"Yes","No")</f>
        <v/>
      </c>
      <c r="E15" s="10">
        <f>LEFT(A15,80)</f>
        <v/>
      </c>
      <c r="F15" s="10">
        <f>IF(OR(B15="Uncategorised",C15="",C15="Review"),"Needs category/owner",IF(D15="Yes","Already in Category","Add to Category"))</f>
        <v/>
      </c>
    </row>
    <row r="16">
      <c r="A16" s="10" t="inlineStr">
        <is>
          <t>3CPAYMENT*SIX SENSES IB GETARIA</t>
        </is>
      </c>
      <c r="B16" s="10" t="inlineStr">
        <is>
          <t>Hotel</t>
        </is>
      </c>
      <c r="C16" s="10" t="inlineStr">
        <is>
          <t>Family</t>
        </is>
      </c>
      <c r="D16" s="10">
        <f>IF(COUNTIF(Category!$A:$A,E16)&gt;0,"Yes","No")</f>
        <v/>
      </c>
      <c r="E16" s="10">
        <f>LEFT(A16,80)</f>
        <v/>
      </c>
      <c r="F16" s="10">
        <f>IF(OR(B16="Uncategorised",C16="",C16="Review"),"Needs category/owner",IF(D16="Yes","Already in Category","Add to Category"))</f>
        <v/>
      </c>
    </row>
    <row r="17">
      <c r="A17" s="10" t="inlineStr">
        <is>
          <t>NET-A-PORTER GROUP LTD LONDON</t>
        </is>
      </c>
      <c r="B17" s="10" t="inlineStr">
        <is>
          <t>Clothes &amp; Shoes</t>
        </is>
      </c>
      <c r="C17" s="10" t="inlineStr">
        <is>
          <t>Su</t>
        </is>
      </c>
      <c r="D17" s="10">
        <f>IF(COUNTIF(Category!$A:$A,E17)&gt;0,"Yes","No")</f>
        <v/>
      </c>
      <c r="E17" s="10">
        <f>LEFT(A17,80)</f>
        <v/>
      </c>
      <c r="F17" s="10">
        <f>IF(OR(B17="Uncategorised",C17="",C17="Review"),"Needs category/owner",IF(D17="Yes","Already in Category","Add to Category"))</f>
        <v/>
      </c>
    </row>
    <row r="18">
      <c r="A18" s="10" t="inlineStr">
        <is>
          <t>FARFETCH LONDON</t>
        </is>
      </c>
      <c r="B18" s="10" t="inlineStr">
        <is>
          <t>Clothes &amp; Shoes</t>
        </is>
      </c>
      <c r="C18" s="10" t="inlineStr">
        <is>
          <t>Su</t>
        </is>
      </c>
      <c r="D18" s="10">
        <f>IF(COUNTIF(Category!$A:$A,E18)&gt;0,"Yes","No")</f>
        <v/>
      </c>
      <c r="E18" s="10">
        <f>LEFT(A18,80)</f>
        <v/>
      </c>
      <c r="F18" s="10">
        <f>IF(OR(B18="Uncategorised",C18="",C18="Review"),"Needs category/owner",IF(D18="Yes","Already in Category","Add to Category"))</f>
        <v/>
      </c>
    </row>
    <row r="19">
      <c r="A19" s="10" t="inlineStr">
        <is>
          <t>IL COLPO PACIFIC PLACE ADMIRALTY</t>
        </is>
      </c>
      <c r="B19" s="10" t="inlineStr">
        <is>
          <t>Salon</t>
        </is>
      </c>
      <c r="C19" s="10" t="inlineStr">
        <is>
          <t>Su</t>
        </is>
      </c>
      <c r="D19" s="10">
        <f>IF(COUNTIF(Category!$A:$A,E19)&gt;0,"Yes","No")</f>
        <v/>
      </c>
      <c r="E19" s="10">
        <f>LEFT(A19,80)</f>
        <v/>
      </c>
      <c r="F19" s="10">
        <f>IF(OR(B19="Uncategorised",C19="",C19="Review"),"Needs category/owner",IF(D19="Yes","Already in Category","Add to Category"))</f>
        <v/>
      </c>
    </row>
    <row r="20">
      <c r="A20" s="10" t="inlineStr">
        <is>
          <t>MS* SHISHIIWAHOUSEKAR MINATOKU</t>
        </is>
      </c>
      <c r="B20" s="10" t="inlineStr">
        <is>
          <t>Hotel</t>
        </is>
      </c>
      <c r="C20" s="10" t="inlineStr">
        <is>
          <t>Family</t>
        </is>
      </c>
      <c r="D20" s="10">
        <f>IF(COUNTIF(Category!$A:$A,E20)&gt;0,"Yes","No")</f>
        <v/>
      </c>
      <c r="E20" s="10">
        <f>LEFT(A20,80)</f>
        <v/>
      </c>
      <c r="F20" s="10">
        <f>IF(OR(B20="Uncategorised",C20="",C20="Review"),"Needs category/owner",IF(D20="Yes","Already in Category","Add to Category"))</f>
        <v/>
      </c>
    </row>
    <row r="21">
      <c r="A21" s="10" t="inlineStr">
        <is>
          <t>ANNUAL FEE</t>
        </is>
      </c>
      <c r="B21" s="10" t="inlineStr">
        <is>
          <t>Fees</t>
        </is>
      </c>
      <c r="C21" s="10" t="inlineStr">
        <is>
          <t>Family</t>
        </is>
      </c>
      <c r="D21" s="10">
        <f>IF(COUNTIF(Category!$A:$A,E21)&gt;0,"Yes","No")</f>
        <v/>
      </c>
      <c r="E21" s="10">
        <f>LEFT(A21,80)</f>
        <v/>
      </c>
      <c r="F21" s="10">
        <f>IF(OR(B21="Uncategorised",C21="",C21="Review"),"Needs category/owner",IF(D21="Yes","Already in Category","Add to Category"))</f>
        <v/>
      </c>
    </row>
    <row r="22">
      <c r="A22" s="10" t="inlineStr">
        <is>
          <t>WHALE Club HK</t>
        </is>
      </c>
      <c r="B22" s="10" t="inlineStr">
        <is>
          <t>Dining out</t>
        </is>
      </c>
      <c r="C22" s="10" t="inlineStr">
        <is>
          <t>Family</t>
        </is>
      </c>
      <c r="D22" s="10">
        <f>IF(COUNTIF(Category!$A:$A,E22)&gt;0,"Yes","No")</f>
        <v/>
      </c>
      <c r="E22" s="10">
        <f>LEFT(A22,80)</f>
        <v/>
      </c>
      <c r="F22" s="10">
        <f>IF(OR(B22="Uncategorised",C22="",C22="Review"),"Needs category/owner",IF(D22="Yes","Already in Category","Add to Category"))</f>
        <v/>
      </c>
    </row>
    <row r="23">
      <c r="A23" s="10" t="inlineStr">
        <is>
          <t>RESERVEPS.COM LOS ANGELES</t>
        </is>
      </c>
      <c r="B23" s="10" t="inlineStr">
        <is>
          <t>Hotel</t>
        </is>
      </c>
      <c r="C23" s="10" t="inlineStr">
        <is>
          <t>Family</t>
        </is>
      </c>
      <c r="D23" s="10">
        <f>IF(COUNTIF(Category!$A:$A,E23)&gt;0,"Yes","No")</f>
        <v/>
      </c>
      <c r="E23" s="10">
        <f>LEFT(A23,80)</f>
        <v/>
      </c>
      <c r="F23" s="10">
        <f>IF(OR(B23="Uncategorised",C23="",C23="Review"),"Needs category/owner",IF(D23="Yes","Already in Category","Add to Category"))</f>
        <v/>
      </c>
    </row>
    <row r="24">
      <c r="A24" s="10" t="inlineStr">
        <is>
          <t>SIX SENSES KYOTO *</t>
        </is>
      </c>
      <c r="B24" s="10" t="inlineStr">
        <is>
          <t>Hotel</t>
        </is>
      </c>
      <c r="C24" s="10" t="inlineStr">
        <is>
          <t>Family</t>
        </is>
      </c>
      <c r="D24" s="10">
        <f>IF(COUNTIF(Category!$A:$A,E24)&gt;0,"Yes","No")</f>
        <v/>
      </c>
      <c r="E24" s="10">
        <f>LEFT(A24,80)</f>
        <v/>
      </c>
      <c r="F24" s="10">
        <f>IF(OR(B24="Uncategorised",C24="",C24="Review"),"Needs category/owner",IF(D24="Yes","Already in Category","Add to Category"))</f>
        <v/>
      </c>
    </row>
    <row r="25">
      <c r="A25" s="10" t="inlineStr">
        <is>
          <t>DUDDELL ' SCENTRAL</t>
        </is>
      </c>
      <c r="B25" s="10" t="inlineStr">
        <is>
          <t>Uncategorised</t>
        </is>
      </c>
      <c r="C25" s="10" t="inlineStr">
        <is>
          <t>Review</t>
        </is>
      </c>
      <c r="D25" s="10">
        <f>IF(COUNTIF(Category!$A:$A,E25)&gt;0,"Yes","No")</f>
        <v/>
      </c>
      <c r="E25" s="10">
        <f>LEFT(A25,80)</f>
        <v/>
      </c>
      <c r="F25" s="10">
        <f>IF(OR(B25="Uncategorised",C25="",C25="Review"),"Needs category/owner",IF(D25="Yes","Already in Category","Add to Category"))</f>
        <v/>
      </c>
    </row>
    <row r="26">
      <c r="A26" s="10" t="inlineStr">
        <is>
          <t>NEIGHBORHOOD CENTRAL</t>
        </is>
      </c>
      <c r="B26" s="10" t="inlineStr">
        <is>
          <t>Dining out</t>
        </is>
      </c>
      <c r="C26" s="10" t="inlineStr">
        <is>
          <t>Family</t>
        </is>
      </c>
      <c r="D26" s="10">
        <f>IF(COUNTIF(Category!$A:$A,E26)&gt;0,"Yes","No")</f>
        <v/>
      </c>
      <c r="E26" s="10">
        <f>LEFT(A26,80)</f>
        <v/>
      </c>
      <c r="F26" s="10">
        <f>IF(OR(B26="Uncategorised",C26="",C26="Review"),"Needs category/owner",IF(D26="Yes","Already in Category","Add to Category"))</f>
        <v/>
      </c>
    </row>
    <row r="27">
      <c r="A27" s="10" t="inlineStr">
        <is>
          <t>SPLASH FOUNDATION LIMI SINGAPORE</t>
        </is>
      </c>
      <c r="B27" s="10" t="inlineStr">
        <is>
          <t>Charity</t>
        </is>
      </c>
      <c r="C27" s="10" t="inlineStr">
        <is>
          <t>Family</t>
        </is>
      </c>
      <c r="D27" s="10">
        <f>IF(COUNTIF(Category!$A:$A,E27)&gt;0,"Yes","No")</f>
        <v/>
      </c>
      <c r="E27" s="10">
        <f>LEFT(A27,80)</f>
        <v/>
      </c>
      <c r="F27" s="10">
        <f>IF(OR(B27="Uncategorised",C27="",C27="Review"),"Needs category/owner",IF(D27="Yes","Already in Category","Add to Category"))</f>
        <v/>
      </c>
    </row>
    <row r="28">
      <c r="A28" s="10" t="inlineStr">
        <is>
          <t>SP EIGHTH DAY SKINCA SANTA ANA</t>
        </is>
      </c>
      <c r="B28" s="10" t="inlineStr">
        <is>
          <t>Beauty</t>
        </is>
      </c>
      <c r="C28" s="10" t="inlineStr">
        <is>
          <t>Su</t>
        </is>
      </c>
      <c r="D28" s="10">
        <f>IF(COUNTIF(Category!$A:$A,E28)&gt;0,"Yes","No")</f>
        <v/>
      </c>
      <c r="E28" s="10">
        <f>LEFT(A28,80)</f>
        <v/>
      </c>
      <c r="F28" s="10">
        <f>IF(OR(B28="Uncategorised",C28="",C28="Review"),"Needs category/owner",IF(D28="Yes","Already in Category","Add to Category"))</f>
        <v/>
      </c>
    </row>
    <row r="29">
      <c r="A29" s="10" t="inlineStr">
        <is>
          <t>ANDA ZSEOUL GANGNAM SEOUL</t>
        </is>
      </c>
      <c r="B29" s="10" t="inlineStr">
        <is>
          <t>Hotel</t>
        </is>
      </c>
      <c r="C29" s="10" t="inlineStr">
        <is>
          <t>Family</t>
        </is>
      </c>
      <c r="D29" s="10">
        <f>IF(COUNTIF(Category!$A:$A,E29)&gt;0,"Yes","No")</f>
        <v/>
      </c>
      <c r="E29" s="10">
        <f>LEFT(A29,80)</f>
        <v/>
      </c>
      <c r="F29" s="10">
        <f>IF(OR(B29="Uncategorised",C29="",C29="Review"),"Needs category/owner",IF(D29="Yes","Already in Category","Add to Category"))</f>
        <v/>
      </c>
    </row>
    <row r="30">
      <c r="A30" s="10" t="inlineStr">
        <is>
          <t>THE VERSE LIS BOA</t>
        </is>
      </c>
      <c r="B30" s="10" t="inlineStr">
        <is>
          <t>Uncategorised</t>
        </is>
      </c>
      <c r="C30" s="10" t="inlineStr">
        <is>
          <t>Review</t>
        </is>
      </c>
      <c r="D30" s="10">
        <f>IF(COUNTIF(Category!$A:$A,E30)&gt;0,"Yes","No")</f>
        <v/>
      </c>
      <c r="E30" s="10">
        <f>LEFT(A30,80)</f>
        <v/>
      </c>
      <c r="F30" s="10">
        <f>IF(OR(B30="Uncategorised",C30="",C30="Review"),"Needs category/owner",IF(D30="Yes","Already in Category","Add to Category"))</f>
        <v/>
      </c>
    </row>
    <row r="31">
      <c r="A31" s="10" t="inlineStr">
        <is>
          <t>CATHAY PACIFIC AIRWAYS HONG KONG</t>
        </is>
      </c>
      <c r="B31" s="10" t="inlineStr">
        <is>
          <t>Airfare</t>
        </is>
      </c>
      <c r="C31" s="10" t="inlineStr">
        <is>
          <t>Family</t>
        </is>
      </c>
      <c r="D31" s="10">
        <f>IF(COUNTIF(Category!$A:$A,E31)&gt;0,"Yes","No")</f>
        <v/>
      </c>
      <c r="E31" s="10">
        <f>LEFT(A31,80)</f>
        <v/>
      </c>
      <c r="F31" s="10">
        <f>IF(OR(B31="Uncategorised",C31="",C31="Review"),"Needs category/owner",IF(D31="Yes","Already in Category","Add to Category"))</f>
        <v/>
      </c>
    </row>
    <row r="32">
      <c r="A32" s="10" t="inlineStr">
        <is>
          <t>NOBLE HOUSE KUALA LUMPUR</t>
        </is>
      </c>
      <c r="B32" s="10" t="inlineStr">
        <is>
          <t>Uncategorised</t>
        </is>
      </c>
      <c r="C32" s="10" t="inlineStr">
        <is>
          <t>Review</t>
        </is>
      </c>
      <c r="D32" s="10">
        <f>IF(COUNTIF(Category!$A:$A,E32)&gt;0,"Yes","No")</f>
        <v/>
      </c>
      <c r="E32" s="10">
        <f>LEFT(A32,80)</f>
        <v/>
      </c>
      <c r="F32" s="10">
        <f>IF(OR(B32="Uncategorised",C32="",C32="Review"),"Needs category/owner",IF(D32="Yes","Already in Category","Add to Category"))</f>
        <v/>
      </c>
    </row>
    <row r="33">
      <c r="A33" s="10" t="inlineStr">
        <is>
          <t>CITY'SUPER CENTRAL</t>
        </is>
      </c>
      <c r="B33" s="10" t="inlineStr">
        <is>
          <t>Groceries</t>
        </is>
      </c>
      <c r="C33" s="10" t="inlineStr">
        <is>
          <t>Family</t>
        </is>
      </c>
      <c r="D33" s="10">
        <f>IF(COUNTIF(Category!$A:$A,E33)&gt;0,"Yes","No")</f>
        <v/>
      </c>
      <c r="E33" s="10">
        <f>LEFT(A33,80)</f>
        <v/>
      </c>
      <c r="F33" s="10">
        <f>IF(OR(B33="Uncategorised",C33="",C33="Review"),"Needs category/owner",IF(D33="Yes","Already in Category","Add to Category"))</f>
        <v/>
      </c>
    </row>
    <row r="34">
      <c r="A34" s="10" t="inlineStr">
        <is>
          <t>CAPITAL CREATIVE LTD CENTRAL</t>
        </is>
      </c>
      <c r="B34" s="10" t="inlineStr">
        <is>
          <t>Groceries</t>
        </is>
      </c>
      <c r="C34" s="10" t="inlineStr">
        <is>
          <t>Family</t>
        </is>
      </c>
      <c r="D34" s="10">
        <f>IF(COUNTIF(Category!$A:$A,E34)&gt;0,"Yes","No")</f>
        <v/>
      </c>
      <c r="E34" s="10">
        <f>LEFT(A34,80)</f>
        <v/>
      </c>
      <c r="F34" s="10">
        <f>IF(OR(B34="Uncategorised",C34="",C34="Review"),"Needs category/owner",IF(D34="Yes","Already in Category","Add to Category"))</f>
        <v/>
      </c>
    </row>
    <row r="35">
      <c r="A35" s="10" t="inlineStr">
        <is>
          <t>LANE CRAWFORD (IFC) CENTRAL</t>
        </is>
      </c>
      <c r="B35" s="10" t="inlineStr">
        <is>
          <t>Housewares</t>
        </is>
      </c>
      <c r="C35" s="10" t="inlineStr">
        <is>
          <t>Family</t>
        </is>
      </c>
      <c r="D35" s="10">
        <f>IF(COUNTIF(Category!$A:$A,E35)&gt;0,"Yes","No")</f>
        <v/>
      </c>
      <c r="E35" s="10">
        <f>LEFT(A35,80)</f>
        <v/>
      </c>
      <c r="F35" s="10">
        <f>IF(OR(B35="Uncategorised",C35="",C35="Review"),"Needs category/owner",IF(D35="Yes","Already in Category","Add to Category"))</f>
        <v/>
      </c>
    </row>
    <row r="36">
      <c r="A36" s="10" t="inlineStr">
        <is>
          <t>NATIONAL CAR RENTAL SAN JOSE DEL CA</t>
        </is>
      </c>
      <c r="B36" s="10" t="inlineStr">
        <is>
          <t>Uncategorised</t>
        </is>
      </c>
      <c r="C36" s="10" t="inlineStr">
        <is>
          <t>Review</t>
        </is>
      </c>
      <c r="D36" s="10">
        <f>IF(COUNTIF(Category!$A:$A,E36)&gt;0,"Yes","No")</f>
        <v/>
      </c>
      <c r="E36" s="10">
        <f>LEFT(A36,80)</f>
        <v/>
      </c>
      <c r="F36" s="10">
        <f>IF(OR(B36="Uncategorised",C36="",C36="Review"),"Needs category/owner",IF(D36="Yes","Already in Category","Add to Category"))</f>
        <v/>
      </c>
    </row>
    <row r="37">
      <c r="A37" s="10" t="inlineStr">
        <is>
          <t>LS UPSTAIRS AT LANDRAC BATH</t>
        </is>
      </c>
      <c r="B37" s="10" t="inlineStr">
        <is>
          <t>Uncategorised</t>
        </is>
      </c>
      <c r="C37" s="10" t="inlineStr">
        <is>
          <t>Review</t>
        </is>
      </c>
      <c r="D37" s="10">
        <f>IF(COUNTIF(Category!$A:$A,E37)&gt;0,"Yes","No")</f>
        <v/>
      </c>
      <c r="E37" s="10">
        <f>LEFT(A37,80)</f>
        <v/>
      </c>
      <c r="F37" s="10">
        <f>IF(OR(B37="Uncategorised",C37="",C37="Review"),"Needs category/owner",IF(D37="Yes","Already in Category","Add to Category"))</f>
        <v/>
      </c>
    </row>
    <row r="38">
      <c r="A38" s="10" t="inlineStr">
        <is>
          <t>SP AIME LONDON LONDON</t>
        </is>
      </c>
      <c r="B38" s="10" t="inlineStr">
        <is>
          <t>Uncategorised</t>
        </is>
      </c>
      <c r="C38" s="10" t="inlineStr">
        <is>
          <t>Review</t>
        </is>
      </c>
      <c r="D38" s="10">
        <f>IF(COUNTIF(Category!$A:$A,E38)&gt;0,"Yes","No")</f>
        <v/>
      </c>
      <c r="E38" s="10">
        <f>LEFT(A38,80)</f>
        <v/>
      </c>
      <c r="F38" s="10">
        <f>IF(OR(B38="Uncategorised",C38="",C38="Review"),"Needs category/owner",IF(D38="Yes","Already in Category","Add to Category"))</f>
        <v/>
      </c>
    </row>
    <row r="39">
      <c r="A39" s="10" t="inlineStr">
        <is>
          <t>GARRAFEIRA NACIONAL LIS BOA</t>
        </is>
      </c>
      <c r="B39" s="10" t="inlineStr">
        <is>
          <t>Uncategorised</t>
        </is>
      </c>
      <c r="C39" s="10" t="inlineStr">
        <is>
          <t>Review</t>
        </is>
      </c>
      <c r="D39" s="10">
        <f>IF(COUNTIF(Category!$A:$A,E39)&gt;0,"Yes","No")</f>
        <v/>
      </c>
      <c r="E39" s="10">
        <f>LEFT(A39,80)</f>
        <v/>
      </c>
      <c r="F39" s="10">
        <f>IF(OR(B39="Uncategorised",C39="",C39="Review"),"Needs category/owner",IF(D39="Yes","Already in Category","Add to Category"))</f>
        <v/>
      </c>
    </row>
    <row r="40">
      <c r="A40" s="10" t="inlineStr">
        <is>
          <t>11 BARRACK PTY LTD SYDNEY</t>
        </is>
      </c>
      <c r="B40" s="10" t="inlineStr">
        <is>
          <t>Uncategorised</t>
        </is>
      </c>
      <c r="C40" s="10" t="inlineStr">
        <is>
          <t>Review</t>
        </is>
      </c>
      <c r="D40" s="10">
        <f>IF(COUNTIF(Category!$A:$A,E40)&gt;0,"Yes","No")</f>
        <v/>
      </c>
      <c r="E40" s="10">
        <f>LEFT(A40,80)</f>
        <v/>
      </c>
      <c r="F40" s="10">
        <f>IF(OR(B40="Uncategorised",C40="",C40="Review"),"Needs category/owner",IF(D40="Yes","Already in Category","Add to Category"))</f>
        <v/>
      </c>
    </row>
    <row r="41">
      <c r="A41" s="10" t="inlineStr">
        <is>
          <t>LS SAINT PETER PADDINGTON</t>
        </is>
      </c>
      <c r="B41" s="10" t="inlineStr">
        <is>
          <t>Uncategorised</t>
        </is>
      </c>
      <c r="C41" s="10" t="inlineStr">
        <is>
          <t>Review</t>
        </is>
      </c>
      <c r="D41" s="10">
        <f>IF(COUNTIF(Category!$A:$A,E41)&gt;0,"Yes","No")</f>
        <v/>
      </c>
      <c r="E41" s="10">
        <f>LEFT(A41,80)</f>
        <v/>
      </c>
      <c r="F41" s="10">
        <f>IF(OR(B41="Uncategorised",C41="",C41="Review"),"Needs category/owner",IF(D41="Yes","Already in Category","Add to Category"))</f>
        <v/>
      </c>
    </row>
    <row r="42">
      <c r="A42" s="10" t="inlineStr">
        <is>
          <t>WAI KEE JEWELLERS LTD CENTRAL</t>
        </is>
      </c>
      <c r="B42" s="10" t="inlineStr">
        <is>
          <t>Jewellery</t>
        </is>
      </c>
      <c r="C42" s="10" t="inlineStr">
        <is>
          <t>Su</t>
        </is>
      </c>
      <c r="D42" s="10">
        <f>IF(COUNTIF(Category!$A:$A,E42)&gt;0,"Yes","No")</f>
        <v/>
      </c>
      <c r="E42" s="10">
        <f>LEFT(A42,80)</f>
        <v/>
      </c>
      <c r="F42" s="10">
        <f>IF(OR(B42="Uncategorised",C42="",C42="Review"),"Needs category/owner",IF(D42="Yes","Already in Category","Add to Category"))</f>
        <v/>
      </c>
    </row>
    <row r="43">
      <c r="A43" s="10" t="inlineStr">
        <is>
          <t>IL COLPO PACI FIC PLACE ADMIRALTY</t>
        </is>
      </c>
      <c r="B43" s="10" t="inlineStr">
        <is>
          <t>Salon</t>
        </is>
      </c>
      <c r="C43" s="10" t="inlineStr">
        <is>
          <t>Su</t>
        </is>
      </c>
      <c r="D43" s="10">
        <f>IF(COUNTIF(Category!$A:$A,E43)&gt;0,"Yes","No")</f>
        <v/>
      </c>
      <c r="E43" s="10">
        <f>LEFT(A43,80)</f>
        <v/>
      </c>
      <c r="F43" s="10">
        <f>IF(OR(B43="Uncategorised",C43="",C43="Review"),"Needs category/owner",IF(D43="Yes","Already in Category","Add to Category"))</f>
        <v/>
      </c>
    </row>
    <row r="44">
      <c r="A44" s="10" t="inlineStr">
        <is>
          <t>WIX SQUARED LTD ST. MARTIN</t>
        </is>
      </c>
      <c r="B44" s="10" t="inlineStr">
        <is>
          <t>Uncategorised</t>
        </is>
      </c>
      <c r="C44" s="10" t="inlineStr">
        <is>
          <t>Review</t>
        </is>
      </c>
      <c r="D44" s="10">
        <f>IF(COUNTIF(Category!$A:$A,E44)&gt;0,"Yes","No")</f>
        <v/>
      </c>
      <c r="E44" s="10">
        <f>LEFT(A44,80)</f>
        <v/>
      </c>
      <c r="F44" s="10">
        <f>IF(OR(B44="Uncategorised",C44="",C44="Review"),"Needs category/owner",IF(D44="Yes","Already in Category","Add to Category"))</f>
        <v/>
      </c>
    </row>
    <row r="45">
      <c r="A45" s="10" t="inlineStr">
        <is>
          <t>RISTORANTE PAOLINO CAPRI</t>
        </is>
      </c>
      <c r="B45" s="10" t="inlineStr">
        <is>
          <t>Uncategorised</t>
        </is>
      </c>
      <c r="C45" s="10" t="inlineStr">
        <is>
          <t>Review</t>
        </is>
      </c>
      <c r="D45" s="10">
        <f>IF(COUNTIF(Category!$A:$A,E45)&gt;0,"Yes","No")</f>
        <v/>
      </c>
      <c r="E45" s="10">
        <f>LEFT(A45,80)</f>
        <v/>
      </c>
      <c r="F45" s="10">
        <f>IF(OR(B45="Uncategorised",C45="",C45="Review"),"Needs category/owner",IF(D45="Yes","Already in Category","Add to Category"))</f>
        <v/>
      </c>
    </row>
    <row r="46">
      <c r="A46" s="10" t="inlineStr">
        <is>
          <t>PONTI FOOD &amp; WINE CELLA CENTRAL</t>
        </is>
      </c>
      <c r="B46" s="10" t="inlineStr">
        <is>
          <t>Uncategorised</t>
        </is>
      </c>
      <c r="C46" s="10" t="inlineStr">
        <is>
          <t>Review</t>
        </is>
      </c>
      <c r="D46" s="10">
        <f>IF(COUNTIF(Category!$A:$A,E46)&gt;0,"Yes","No")</f>
        <v/>
      </c>
      <c r="E46" s="10">
        <f>LEFT(A46,80)</f>
        <v/>
      </c>
      <c r="F46" s="10">
        <f>IF(OR(B46="Uncategorised",C46="",C46="Review"),"Needs category/owner",IF(D46="Yes","Already in Category","Add to Category"))</f>
        <v/>
      </c>
    </row>
    <row r="47">
      <c r="A47" s="10" t="inlineStr">
        <is>
          <t>GLOBAL-E.45R GLOBAL-ENETHERLANDS</t>
        </is>
      </c>
      <c r="B47" s="10" t="inlineStr">
        <is>
          <t>Clothes &amp; Shoes</t>
        </is>
      </c>
      <c r="C47" s="10" t="inlineStr">
        <is>
          <t>Su</t>
        </is>
      </c>
      <c r="D47" s="10">
        <f>IF(COUNTIF(Category!$A:$A,E47)&gt;0,"Yes","No")</f>
        <v/>
      </c>
      <c r="E47" s="10">
        <f>LEFT(A47,80)</f>
        <v/>
      </c>
      <c r="F47" s="10">
        <f>IF(OR(B47="Uncategorised",C47="",C47="Review"),"Needs category/owner",IF(D47="Yes","Already in Category","Add to Category"))</f>
        <v/>
      </c>
    </row>
    <row r="48">
      <c r="A48" s="10" t="inlineStr">
        <is>
          <t>MER ET DECOUVERTES BONIFACIO</t>
        </is>
      </c>
      <c r="B48" s="10" t="inlineStr">
        <is>
          <t>Uncategorised</t>
        </is>
      </c>
      <c r="C48" s="10" t="inlineStr">
        <is>
          <t>Review</t>
        </is>
      </c>
      <c r="D48" s="10">
        <f>IF(COUNTIF(Category!$A:$A,E48)&gt;0,"Yes","No")</f>
        <v/>
      </c>
      <c r="E48" s="10">
        <f>LEFT(A48,80)</f>
        <v/>
      </c>
      <c r="F48" s="10">
        <f>IF(OR(B48="Uncategorised",C48="",C48="Review"),"Needs category/owner",IF(D48="Yes","Already in Category","Add to Category"))</f>
        <v/>
      </c>
    </row>
    <row r="49">
      <c r="A49" s="10" t="inlineStr">
        <is>
          <t>YPO INTL, IRVING,TX-USD IRVING</t>
        </is>
      </c>
      <c r="B49" s="10" t="inlineStr">
        <is>
          <t>Membership</t>
        </is>
      </c>
      <c r="C49" s="10" t="inlineStr">
        <is>
          <t>Family</t>
        </is>
      </c>
      <c r="D49" s="10">
        <f>IF(COUNTIF(Category!$A:$A,E49)&gt;0,"Yes","No")</f>
        <v/>
      </c>
      <c r="E49" s="10">
        <f>LEFT(A49,80)</f>
        <v/>
      </c>
      <c r="F49" s="10">
        <f>IF(OR(B49="Uncategorised",C49="",C49="Review"),"Needs category/owner",IF(D49="Yes","Already in Category","Add to Category"))</f>
        <v/>
      </c>
    </row>
    <row r="50">
      <c r="A50" s="10" t="inlineStr">
        <is>
          <t>THE DOLDER GRANDZ Ü RICH</t>
        </is>
      </c>
      <c r="B50" s="10" t="inlineStr">
        <is>
          <t>Uncategorised</t>
        </is>
      </c>
      <c r="C50" s="10" t="inlineStr">
        <is>
          <t>Review</t>
        </is>
      </c>
      <c r="D50" s="10">
        <f>IF(COUNTIF(Category!$A:$A,E50)&gt;0,"Yes","No")</f>
        <v/>
      </c>
      <c r="E50" s="10">
        <f>LEFT(A50,80)</f>
        <v/>
      </c>
      <c r="F50" s="10">
        <f>IF(OR(B50="Uncategorised",C50="",C50="Review"),"Needs category/owner",IF(D50="Yes","Already in Category","Add to Category"))</f>
        <v/>
      </c>
    </row>
    <row r="51">
      <c r="A51" s="10" t="inlineStr">
        <is>
          <t>CATHAY PACI FIC AIR WAYS SAN FRANCISCO</t>
        </is>
      </c>
      <c r="B51" s="10" t="inlineStr">
        <is>
          <t>Uncategorised</t>
        </is>
      </c>
      <c r="C51" s="10" t="inlineStr">
        <is>
          <t>Review</t>
        </is>
      </c>
      <c r="D51" s="10">
        <f>IF(COUNTIF(Category!$A:$A,E51)&gt;0,"Yes","No")</f>
        <v/>
      </c>
      <c r="E51" s="10">
        <f>LEFT(A51,80)</f>
        <v/>
      </c>
      <c r="F51" s="10">
        <f>IF(OR(B51="Uncategorised",C51="",C51="Review"),"Needs category/owner",IF(D51="Yes","Already in Category","Add to Category"))</f>
        <v/>
      </c>
    </row>
    <row r="52">
      <c r="A52" s="10" t="inlineStr">
        <is>
          <t>RESERVEPS.COM EL SEGUNDO</t>
        </is>
      </c>
      <c r="B52" s="10" t="inlineStr">
        <is>
          <t>Hotel</t>
        </is>
      </c>
      <c r="C52" s="10" t="inlineStr">
        <is>
          <t>Family</t>
        </is>
      </c>
      <c r="D52" s="10">
        <f>IF(COUNTIF(Category!$A:$A,E52)&gt;0,"Yes","No")</f>
        <v/>
      </c>
      <c r="E52" s="10">
        <f>LEFT(A52,80)</f>
        <v/>
      </c>
      <c r="F52" s="10">
        <f>IF(OR(B52="Uncategorised",C52="",C52="Review"),"Needs category/owner",IF(D52="Yes","Already in Category","Add to Category"))</f>
        <v/>
      </c>
    </row>
    <row r="53">
      <c r="A53" s="10" t="inlineStr">
        <is>
          <t>PENINSULA NE WYORK HOTE NE WYORK</t>
        </is>
      </c>
      <c r="B53" s="10" t="inlineStr">
        <is>
          <t>Uncategorised</t>
        </is>
      </c>
      <c r="C53" s="10" t="inlineStr">
        <is>
          <t>Review</t>
        </is>
      </c>
      <c r="D53" s="10">
        <f>IF(COUNTIF(Category!$A:$A,E53)&gt;0,"Yes","No")</f>
        <v/>
      </c>
      <c r="E53" s="10">
        <f>LEFT(A53,80)</f>
        <v/>
      </c>
      <c r="F53" s="10">
        <f>IF(OR(B53="Uncategorised",C53="",C53="Review"),"Needs category/owner",IF(D53="Yes","Already in Category","Add to Category"))</f>
        <v/>
      </c>
    </row>
    <row r="54">
      <c r="A54" s="10" t="inlineStr">
        <is>
          <t>SATOYAMAJ U JOU NIGATA</t>
        </is>
      </c>
      <c r="B54" s="10" t="inlineStr">
        <is>
          <t>Hotel</t>
        </is>
      </c>
      <c r="C54" s="10" t="inlineStr">
        <is>
          <t>Family</t>
        </is>
      </c>
      <c r="D54" s="10">
        <f>IF(COUNTIF(Category!$A:$A,E54)&gt;0,"Yes","No")</f>
        <v/>
      </c>
      <c r="E54" s="10">
        <f>LEFT(A54,80)</f>
        <v/>
      </c>
      <c r="F54" s="10">
        <f>IF(OR(B54="Uncategorised",C54="",C54="Review"),"Needs category/owner",IF(D54="Yes","Already in Category","Add to Category"))</f>
        <v/>
      </c>
    </row>
    <row r="55">
      <c r="A55" s="10" t="inlineStr">
        <is>
          <t>Setsu Niseko HOKKAIDO</t>
        </is>
      </c>
      <c r="B55" s="10" t="inlineStr">
        <is>
          <t>Hotel</t>
        </is>
      </c>
      <c r="C55" s="10" t="inlineStr">
        <is>
          <t>Family</t>
        </is>
      </c>
      <c r="D55" s="10">
        <f>IF(COUNTIF(Category!$A:$A,E55)&gt;0,"Yes","No")</f>
        <v/>
      </c>
      <c r="E55" s="10">
        <f>LEFT(A55,80)</f>
        <v/>
      </c>
      <c r="F55" s="10">
        <f>IF(OR(B55="Uncategorised",C55="",C55="Review"),"Needs category/owner",IF(D55="Yes","Already in Category","Add to Category"))</f>
        <v/>
      </c>
    </row>
    <row r="56">
      <c r="A56" s="10" t="inlineStr">
        <is>
          <t>LIMITLESS SNOWSPORTS ABUTAGUN</t>
        </is>
      </c>
      <c r="B56" s="10" t="inlineStr">
        <is>
          <t>Uncategorised</t>
        </is>
      </c>
      <c r="C56" s="10" t="inlineStr">
        <is>
          <t>Review</t>
        </is>
      </c>
      <c r="D56" s="10">
        <f>IF(COUNTIF(Category!$A:$A,E56)&gt;0,"Yes","No")</f>
        <v/>
      </c>
      <c r="E56" s="10">
        <f>LEFT(A56,80)</f>
        <v/>
      </c>
      <c r="F56" s="10">
        <f>IF(OR(B56="Uncategorised",C56="",C56="Review"),"Needs category/owner",IF(D56="Yes","Already in Category","Add to Category"))</f>
        <v/>
      </c>
    </row>
    <row r="57">
      <c r="A57" s="10" t="inlineStr">
        <is>
          <t>BRITISH AIRWAYS GB DIRE WEST DRAYTON</t>
        </is>
      </c>
      <c r="B57" s="10" t="inlineStr">
        <is>
          <t>Airfare</t>
        </is>
      </c>
      <c r="C57" s="10" t="inlineStr">
        <is>
          <t>Family</t>
        </is>
      </c>
      <c r="D57" s="10">
        <f>IF(COUNTIF(Category!$A:$A,E57)&gt;0,"Yes","No")</f>
        <v/>
      </c>
      <c r="E57" s="10">
        <f>LEFT(A57,80)</f>
        <v/>
      </c>
      <c r="F57" s="10">
        <f>IF(OR(B57="Uncategorised",C57="",C57="Review"),"Needs category/owner",IF(D57="Yes","Already in Category","Add to Category"))</f>
        <v/>
      </c>
    </row>
    <row r="58">
      <c r="A58" s="10" t="inlineStr">
        <is>
          <t>BASSIKE RETAIL PTY LTD PADDINGTON</t>
        </is>
      </c>
      <c r="B58" s="10" t="inlineStr">
        <is>
          <t>Clothes &amp; Shoes</t>
        </is>
      </c>
      <c r="C58" s="10" t="inlineStr">
        <is>
          <t>Su</t>
        </is>
      </c>
      <c r="D58" s="10">
        <f>IF(COUNTIF(Category!$A:$A,E58)&gt;0,"Yes","No")</f>
        <v/>
      </c>
      <c r="E58" s="10">
        <f>LEFT(A58,80)</f>
        <v/>
      </c>
      <c r="F58" s="10">
        <f>IF(OR(B58="Uncategorised",C58="",C58="Review"),"Needs category/owner",IF(D58="Yes","Already in Category","Add to Category"))</f>
        <v/>
      </c>
    </row>
    <row r="59">
      <c r="A59" s="10" t="inlineStr">
        <is>
          <t>SP LOUISE JACKSON LONDON</t>
        </is>
      </c>
      <c r="B59" s="10" t="inlineStr">
        <is>
          <t>Clothes &amp; Shoes</t>
        </is>
      </c>
      <c r="C59" s="10" t="inlineStr">
        <is>
          <t>Su</t>
        </is>
      </c>
      <c r="D59" s="10">
        <f>IF(COUNTIF(Category!$A:$A,E59)&gt;0,"Yes","No")</f>
        <v/>
      </c>
      <c r="E59" s="10">
        <f>LEFT(A59,80)</f>
        <v/>
      </c>
      <c r="F59" s="10">
        <f>IF(OR(B59="Uncategorised",C59="",C59="Review"),"Needs category/owner",IF(D59="Yes","Already in Category","Add to Category"))</f>
        <v/>
      </c>
    </row>
    <row r="60">
      <c r="A60" s="10" t="inlineStr">
        <is>
          <t>ROMEO ALBERGHI NAPOLI</t>
        </is>
      </c>
      <c r="B60" s="10" t="inlineStr">
        <is>
          <t>Uncategorised</t>
        </is>
      </c>
      <c r="C60" s="10" t="inlineStr">
        <is>
          <t>Review</t>
        </is>
      </c>
      <c r="D60" s="10">
        <f>IF(COUNTIF(Category!$A:$A,E60)&gt;0,"Yes","No")</f>
        <v/>
      </c>
      <c r="E60" s="10">
        <f>LEFT(A60,80)</f>
        <v/>
      </c>
      <c r="F60" s="10">
        <f>IF(OR(B60="Uncategorised",C60="",C60="Review"),"Needs category/owner",IF(D60="Yes","Already in Category","Add to Category"))</f>
        <v/>
      </c>
    </row>
    <row r="61">
      <c r="A61" s="10" t="inlineStr">
        <is>
          <t>Rh yt hm J apa n me ng ti a n j un j</t>
        </is>
      </c>
      <c r="B61" s="10" t="inlineStr">
        <is>
          <t>Travel</t>
        </is>
      </c>
      <c r="C61" s="10" t="inlineStr">
        <is>
          <t>Family</t>
        </is>
      </c>
      <c r="D61" s="10">
        <f>IF(COUNTIF(Category!$A:$A,E61)&gt;0,"Yes","No")</f>
        <v/>
      </c>
      <c r="E61" s="10">
        <f>LEFT(A61,80)</f>
        <v/>
      </c>
      <c r="F61" s="10">
        <f>IF(OR(B61="Uncategorised",C61="",C61="Review"),"Needs category/owner",IF(D61="Yes","Already in Category","Add to Category"))</f>
        <v/>
      </c>
    </row>
    <row r="62">
      <c r="A62" s="10" t="inlineStr">
        <is>
          <t>COMO METROPOLITAN SINGA SINGAPORE</t>
        </is>
      </c>
      <c r="B62" s="10" t="inlineStr">
        <is>
          <t>Hotel</t>
        </is>
      </c>
      <c r="C62" s="10" t="inlineStr">
        <is>
          <t>Family</t>
        </is>
      </c>
      <c r="D62" s="10">
        <f>IF(COUNTIF(Category!$A:$A,E62)&gt;0,"Yes","No")</f>
        <v/>
      </c>
      <c r="E62" s="10">
        <f>LEFT(A62,80)</f>
        <v/>
      </c>
      <c r="F62" s="10">
        <f>IF(OR(B62="Uncategorised",C62="",C62="Review"),"Needs category/owner",IF(D62="Yes","Already in Category","Add to Category"))</f>
        <v/>
      </c>
    </row>
    <row r="63">
      <c r="A63" s="10" t="inlineStr">
        <is>
          <t>ST REGIS KUALA LUMPUR ( FKUALA LUMPUR</t>
        </is>
      </c>
      <c r="B63" s="10" t="inlineStr">
        <is>
          <t>Uncategorised</t>
        </is>
      </c>
      <c r="C63" s="10" t="inlineStr">
        <is>
          <t>Review</t>
        </is>
      </c>
      <c r="D63" s="10">
        <f>IF(COUNTIF(Category!$A:$A,E63)&gt;0,"Yes","No")</f>
        <v/>
      </c>
      <c r="E63" s="10">
        <f>LEFT(A63,80)</f>
        <v/>
      </c>
      <c r="F63" s="10">
        <f>IF(OR(B63="Uncategorised",C63="",C63="Review"),"Needs category/owner",IF(D63="Yes","Already in Category","Add to Category"))</f>
        <v/>
      </c>
    </row>
    <row r="64">
      <c r="A64" s="10" t="inlineStr">
        <is>
          <t>COHIBA CIGAR DIVAN HONG KONG</t>
        </is>
      </c>
      <c r="B64" s="10" t="inlineStr">
        <is>
          <t>Uncategorised</t>
        </is>
      </c>
      <c r="C64" s="10" t="inlineStr">
        <is>
          <t>Review</t>
        </is>
      </c>
      <c r="D64" s="10">
        <f>IF(COUNTIF(Category!$A:$A,E64)&gt;0,"Yes","No")</f>
        <v/>
      </c>
      <c r="E64" s="10">
        <f>LEFT(A64,80)</f>
        <v/>
      </c>
      <c r="F64" s="10">
        <f>IF(OR(B64="Uncategorised",C64="",C64="Review"),"Needs category/owner",IF(D64="Yes","Already in Category","Add to Category"))</f>
        <v/>
      </c>
    </row>
    <row r="65">
      <c r="A65" s="10" t="inlineStr">
        <is>
          <t>KPAY * GALLERY TETE HONG HONG KONG</t>
        </is>
      </c>
      <c r="B65" s="10" t="inlineStr">
        <is>
          <t>Art</t>
        </is>
      </c>
      <c r="C65" s="10" t="inlineStr">
        <is>
          <t>Family</t>
        </is>
      </c>
      <c r="D65" s="10">
        <f>IF(COUNTIF(Category!$A:$A,E65)&gt;0,"Yes","No")</f>
        <v/>
      </c>
      <c r="E65" s="10">
        <f>LEFT(A65,80)</f>
        <v/>
      </c>
      <c r="F65" s="10">
        <f>IF(OR(B65="Uncategorised",C65="",C65="Review"),"Needs category/owner",IF(D65="Yes","Already in Category","Add to Category"))</f>
        <v/>
      </c>
    </row>
    <row r="66">
      <c r="A66" s="10" t="inlineStr">
        <is>
          <t>3CPAYMENT*SIX SENSES IB PORTINATX</t>
        </is>
      </c>
      <c r="B66" s="10" t="inlineStr">
        <is>
          <t>Hotel</t>
        </is>
      </c>
      <c r="C66" s="10" t="inlineStr">
        <is>
          <t>Family</t>
        </is>
      </c>
      <c r="D66" s="10">
        <f>IF(COUNTIF(Category!$A:$A,E66)&gt;0,"Yes","No")</f>
        <v/>
      </c>
      <c r="E66" s="10">
        <f>LEFT(A66,80)</f>
        <v/>
      </c>
      <c r="F66" s="10">
        <f>IF(OR(B66="Uncategorised",C66="",C66="Review"),"Needs category/owner",IF(D66="Yes","Already in Category","Add to Category"))</f>
        <v/>
      </c>
    </row>
    <row r="67">
      <c r="A67" s="10" t="inlineStr">
        <is>
          <t>FORTRESS - 205 CENTRAL</t>
        </is>
      </c>
      <c r="B67" s="10" t="inlineStr">
        <is>
          <t>Uncategorised</t>
        </is>
      </c>
      <c r="C67" s="10" t="inlineStr">
        <is>
          <t>Review</t>
        </is>
      </c>
      <c r="D67" s="10">
        <f>IF(COUNTIF(Category!$A:$A,E67)&gt;0,"Yes","No")</f>
        <v/>
      </c>
      <c r="E67" s="10">
        <f>LEFT(A67,80)</f>
        <v/>
      </c>
      <c r="F67" s="10">
        <f>IF(OR(B67="Uncategorised",C67="",C67="Review"),"Needs category/owner",IF(D67="Yes","Already in Category","Add to Category"))</f>
        <v/>
      </c>
    </row>
    <row r="68">
      <c r="A68" s="10" t="inlineStr">
        <is>
          <t>SINGAPOREAIR HONGKONG HONGKONG</t>
        </is>
      </c>
      <c r="B68" s="10" t="inlineStr">
        <is>
          <t>Uncategorised</t>
        </is>
      </c>
      <c r="C68" s="10" t="inlineStr">
        <is>
          <t>Review</t>
        </is>
      </c>
      <c r="D68" s="10">
        <f>IF(COUNTIF(Category!$A:$A,E68)&gt;0,"Yes","No")</f>
        <v/>
      </c>
      <c r="E68" s="10">
        <f>LEFT(A68,80)</f>
        <v/>
      </c>
      <c r="F68" s="10">
        <f>IF(OR(B68="Uncategorised",C68="",C68="Review"),"Needs category/owner",IF(D68="Yes","Already in Category","Add to Category"))</f>
        <v/>
      </c>
    </row>
    <row r="69">
      <c r="A69" s="10" t="inlineStr">
        <is>
          <t>THE DIPLOMAT CENTRAL</t>
        </is>
      </c>
      <c r="B69" s="10" t="inlineStr">
        <is>
          <t>Dining out</t>
        </is>
      </c>
      <c r="C69" s="10" t="inlineStr">
        <is>
          <t>Family</t>
        </is>
      </c>
      <c r="D69" s="10">
        <f>IF(COUNTIF(Category!$A:$A,E69)&gt;0,"Yes","No")</f>
        <v/>
      </c>
      <c r="E69" s="10">
        <f>LEFT(A69,80)</f>
        <v/>
      </c>
      <c r="F69" s="10">
        <f>IF(OR(B69="Uncategorised",C69="",C69="Review"),"Needs category/owner",IF(D69="Yes","Already in Category","Add to Category"))</f>
        <v/>
      </c>
    </row>
    <row r="70">
      <c r="A70" s="10" t="inlineStr">
        <is>
          <t>CAMPOS POLANCO MIGUEL HIDALG</t>
        </is>
      </c>
      <c r="B70" s="10" t="inlineStr">
        <is>
          <t>Uncategorised</t>
        </is>
      </c>
      <c r="C70" s="10" t="inlineStr">
        <is>
          <t>Review</t>
        </is>
      </c>
      <c r="D70" s="10">
        <f>IF(COUNTIF(Category!$A:$A,E70)&gt;0,"Yes","No")</f>
        <v/>
      </c>
      <c r="E70" s="10">
        <f>LEFT(A70,80)</f>
        <v/>
      </c>
      <c r="F70" s="10">
        <f>IF(OR(B70="Uncategorised",C70="",C70="Review"),"Needs category/owner",IF(D70="Yes","Already in Category","Add to Category"))</f>
        <v/>
      </c>
    </row>
    <row r="71">
      <c r="A71" s="10" t="inlineStr">
        <is>
          <t>PEKING GARDEN - ALE XAND CENTRAL</t>
        </is>
      </c>
      <c r="B71" s="10" t="inlineStr">
        <is>
          <t>Dining out</t>
        </is>
      </c>
      <c r="C71" s="10" t="inlineStr">
        <is>
          <t>Family</t>
        </is>
      </c>
      <c r="D71" s="10">
        <f>IF(COUNTIF(Category!$A:$A,E71)&gt;0,"Yes","No")</f>
        <v/>
      </c>
      <c r="E71" s="10">
        <f>LEFT(A71,80)</f>
        <v/>
      </c>
      <c r="F71" s="10">
        <f>IF(OR(B71="Uncategorised",C71="",C71="Review"),"Needs category/owner",IF(D71="Yes","Already in Category","Add to Category"))</f>
        <v/>
      </c>
    </row>
    <row r="72">
      <c r="A72" s="10" t="inlineStr">
        <is>
          <t>CITY ' SUPER CENTRAL</t>
        </is>
      </c>
      <c r="B72" s="10" t="inlineStr">
        <is>
          <t>Groceries</t>
        </is>
      </c>
      <c r="C72" s="10" t="inlineStr">
        <is>
          <t>Family</t>
        </is>
      </c>
      <c r="D72" s="10">
        <f>IF(COUNTIF(Category!$A:$A,E72)&gt;0,"Yes","No")</f>
        <v/>
      </c>
      <c r="E72" s="10">
        <f>LEFT(A72,80)</f>
        <v/>
      </c>
      <c r="F72" s="10">
        <f>IF(OR(B72="Uncategorised",C72="",C72="Review"),"Needs category/owner",IF(D72="Yes","Already in Category","Add to Category"))</f>
        <v/>
      </c>
    </row>
    <row r="73">
      <c r="A73" s="10" t="inlineStr">
        <is>
          <t>HARVEY NICHOLS CENTRAL</t>
        </is>
      </c>
      <c r="B73" s="10" t="inlineStr">
        <is>
          <t>Clothes &amp; Shoes</t>
        </is>
      </c>
      <c r="C73" s="10" t="inlineStr">
        <is>
          <t>Su</t>
        </is>
      </c>
      <c r="D73" s="10">
        <f>IF(COUNTIF(Category!$A:$A,E73)&gt;0,"Yes","No")</f>
        <v/>
      </c>
      <c r="E73" s="10">
        <f>LEFT(A73,80)</f>
        <v/>
      </c>
      <c r="F73" s="10">
        <f>IF(OR(B73="Uncategorised",C73="",C73="Review"),"Needs category/owner",IF(D73="Yes","Already in Category","Add to Category"))</f>
        <v/>
      </c>
    </row>
    <row r="74">
      <c r="A74" s="10" t="inlineStr">
        <is>
          <t>COMO METROPOLITAN HOTEL LONDON</t>
        </is>
      </c>
      <c r="B74" s="10" t="inlineStr">
        <is>
          <t>Hotel</t>
        </is>
      </c>
      <c r="C74" s="10" t="inlineStr">
        <is>
          <t>Family</t>
        </is>
      </c>
      <c r="D74" s="10">
        <f>IF(COUNTIF(Category!$A:$A,E74)&gt;0,"Yes","No")</f>
        <v/>
      </c>
      <c r="E74" s="10">
        <f>LEFT(A74,80)</f>
        <v/>
      </c>
      <c r="F74" s="10">
        <f>IF(OR(B74="Uncategorised",C74="",C74="Review"),"Needs category/owner",IF(D74="Yes","Already in Category","Add to Category"))</f>
        <v/>
      </c>
    </row>
    <row r="75">
      <c r="A75" s="10" t="inlineStr">
        <is>
          <t>SP VIOLETGREYSTORE LOS ANGELES</t>
        </is>
      </c>
      <c r="B75" s="10" t="inlineStr">
        <is>
          <t>Beauty</t>
        </is>
      </c>
      <c r="C75" s="10" t="inlineStr">
        <is>
          <t>Su</t>
        </is>
      </c>
      <c r="D75" s="10">
        <f>IF(COUNTIF(Category!$A:$A,E75)&gt;0,"Yes","No")</f>
        <v/>
      </c>
      <c r="E75" s="10">
        <f>LEFT(A75,80)</f>
        <v/>
      </c>
      <c r="F75" s="10">
        <f>IF(OR(B75="Uncategorised",C75="",C75="Review"),"Needs category/owner",IF(D75="Yes","Already in Category","Add to Category"))</f>
        <v/>
      </c>
    </row>
    <row r="76">
      <c r="A76" s="10" t="inlineStr">
        <is>
          <t>VINCE LLC NE WYORK</t>
        </is>
      </c>
      <c r="B76" s="10" t="inlineStr">
        <is>
          <t>Uncategorised</t>
        </is>
      </c>
      <c r="C76" s="10" t="inlineStr">
        <is>
          <t>Review</t>
        </is>
      </c>
      <c r="D76" s="10">
        <f>IF(COUNTIF(Category!$A:$A,E76)&gt;0,"Yes","No")</f>
        <v/>
      </c>
      <c r="E76" s="10">
        <f>LEFT(A76,80)</f>
        <v/>
      </c>
      <c r="F76" s="10">
        <f>IF(OR(B76="Uncategorised",C76="",C76="Review"),"Needs category/owner",IF(D76="Yes","Already in Category","Add to Category"))</f>
        <v/>
      </c>
    </row>
    <row r="77">
      <c r="A77" s="10" t="inlineStr">
        <is>
          <t>Ocea n payme nt * hype rs he ll HK</t>
        </is>
      </c>
      <c r="B77" s="10" t="inlineStr">
        <is>
          <t>Uncategorised</t>
        </is>
      </c>
      <c r="C77" s="10" t="inlineStr">
        <is>
          <t>Review</t>
        </is>
      </c>
      <c r="D77" s="10">
        <f>IF(COUNTIF(Category!$A:$A,E77)&gt;0,"Yes","No")</f>
        <v/>
      </c>
      <c r="E77" s="10">
        <f>LEFT(A77,80)</f>
        <v/>
      </c>
      <c r="F77" s="10">
        <f>IF(OR(B77="Uncategorised",C77="",C77="Review"),"Needs category/owner",IF(D77="Yes","Already in Category","Add to Category"))</f>
        <v/>
      </c>
    </row>
    <row r="78">
      <c r="A78" s="10" t="inlineStr">
        <is>
          <t>3CPAYMENT*PARK HZ OPCO BERN</t>
        </is>
      </c>
      <c r="B78" s="10" t="inlineStr">
        <is>
          <t>Uncategorised</t>
        </is>
      </c>
      <c r="C78" s="10" t="inlineStr">
        <is>
          <t>Review</t>
        </is>
      </c>
      <c r="D78" s="10">
        <f>IF(COUNTIF(Category!$A:$A,E78)&gt;0,"Yes","No")</f>
        <v/>
      </c>
      <c r="E78" s="10">
        <f>LEFT(A78,80)</f>
        <v/>
      </c>
      <c r="F78" s="10">
        <f>IF(OR(B78="Uncategorised",C78="",C78="Review"),"Needs category/owner",IF(D78="Yes","Already in Category","Add to Category"))</f>
        <v/>
      </c>
    </row>
    <row r="79">
      <c r="A79" s="10" t="inlineStr">
        <is>
          <t>SUIT SUPPLY HK NHH LIMI HONG KONG</t>
        </is>
      </c>
      <c r="B79" s="10" t="inlineStr">
        <is>
          <t>Clothes &amp; Shoes</t>
        </is>
      </c>
      <c r="C79" s="10" t="inlineStr">
        <is>
          <t>Family</t>
        </is>
      </c>
      <c r="D79" s="10">
        <f>IF(COUNTIF(Category!$A:$A,E79)&gt;0,"Yes","No")</f>
        <v/>
      </c>
      <c r="E79" s="10">
        <f>LEFT(A79,80)</f>
        <v/>
      </c>
      <c r="F79" s="10">
        <f>IF(OR(B79="Uncategorised",C79="",C79="Review"),"Needs category/owner",IF(D79="Yes","Already in Category","Add to Category"))</f>
        <v/>
      </c>
    </row>
    <row r="80">
      <c r="A80" s="10" t="inlineStr">
        <is>
          <t>SMCP UK LIMITED LONDON</t>
        </is>
      </c>
      <c r="B80" s="10" t="inlineStr">
        <is>
          <t>Uncategorised</t>
        </is>
      </c>
      <c r="C80" s="10" t="inlineStr">
        <is>
          <t>Review</t>
        </is>
      </c>
      <c r="D80" s="10">
        <f>IF(COUNTIF(Category!$A:$A,E80)&gt;0,"Yes","No")</f>
        <v/>
      </c>
      <c r="E80" s="10">
        <f>LEFT(A80,80)</f>
        <v/>
      </c>
      <c r="F80" s="10">
        <f>IF(OR(B80="Uncategorised",C80="",C80="Review"),"Needs category/owner",IF(D80="Yes","Already in Category","Add to Category"))</f>
        <v/>
      </c>
    </row>
    <row r="81">
      <c r="A81" s="10" t="inlineStr">
        <is>
          <t>EIGHTH DAY SKINCA SANTA ANA</t>
        </is>
      </c>
      <c r="B81" s="10" t="inlineStr">
        <is>
          <t>Beauty</t>
        </is>
      </c>
      <c r="C81" s="10" t="inlineStr">
        <is>
          <t>Su</t>
        </is>
      </c>
      <c r="D81" s="10">
        <f>IF(COUNTIF(Category!$A:$A,E81)&gt;0,"Yes","No")</f>
        <v/>
      </c>
      <c r="E81" s="10">
        <f>LEFT(A81,80)</f>
        <v/>
      </c>
      <c r="F81" s="10">
        <f>IF(OR(B81="Uncategorised",C81="",C81="Review"),"Needs category/owner",IF(D81="Yes","Already in Category","Add to Category"))</f>
        <v/>
      </c>
    </row>
    <row r="82">
      <c r="A82" s="10" t="inlineStr">
        <is>
          <t>Luke's Alpine Club meng tian jun</t>
        </is>
      </c>
      <c r="B82" s="10" t="inlineStr">
        <is>
          <t>Dining out</t>
        </is>
      </c>
      <c r="C82" s="10" t="inlineStr">
        <is>
          <t>Family</t>
        </is>
      </c>
      <c r="D82" s="10">
        <f>IF(COUNTIF(Category!$A:$A,E82)&gt;0,"Yes","No")</f>
        <v/>
      </c>
      <c r="E82" s="10">
        <f>LEFT(A82,80)</f>
        <v/>
      </c>
      <c r="F82" s="10">
        <f>IF(OR(B82="Uncategorised",C82="",C82="Review"),"Needs category/owner",IF(D82="Yes","Already in Category","Add to Category"))</f>
        <v/>
      </c>
    </row>
    <row r="83">
      <c r="A83" s="10" t="inlineStr">
        <is>
          <t>REGENT HK STEAKHOUSE TSI MSHATSUI</t>
        </is>
      </c>
      <c r="B83" s="10" t="inlineStr">
        <is>
          <t>Uncategorised</t>
        </is>
      </c>
      <c r="C83" s="10" t="inlineStr">
        <is>
          <t>Review</t>
        </is>
      </c>
      <c r="D83" s="10">
        <f>IF(COUNTIF(Category!$A:$A,E83)&gt;0,"Yes","No")</f>
        <v/>
      </c>
      <c r="E83" s="10">
        <f>LEFT(A83,80)</f>
        <v/>
      </c>
      <c r="F83" s="10">
        <f>IF(OR(B83="Uncategorised",C83="",C83="Review"),"Needs category/owner",IF(D83="Yes","Already in Category","Add to Category"))</f>
        <v/>
      </c>
    </row>
    <row r="84">
      <c r="A84" s="10" t="inlineStr">
        <is>
          <t>G.HEYWOOD HILL LTD LONDON</t>
        </is>
      </c>
      <c r="B84" s="10" t="inlineStr">
        <is>
          <t>Uncategorised</t>
        </is>
      </c>
      <c r="C84" s="10" t="inlineStr">
        <is>
          <t>Review</t>
        </is>
      </c>
      <c r="D84" s="10">
        <f>IF(COUNTIF(Category!$A:$A,E84)&gt;0,"Yes","No")</f>
        <v/>
      </c>
      <c r="E84" s="10">
        <f>LEFT(A84,80)</f>
        <v/>
      </c>
      <c r="F84" s="10">
        <f>IF(OR(B84="Uncategorised",C84="",C84="Review"),"Needs category/owner",IF(D84="Yes","Already in Category","Add to Category"))</f>
        <v/>
      </c>
    </row>
    <row r="85">
      <c r="A85" s="10" t="inlineStr">
        <is>
          <t>GLO BAL-E * BSIDES JEANS LONDON</t>
        </is>
      </c>
      <c r="B85" s="10" t="inlineStr">
        <is>
          <t>Clothes &amp; Shoes</t>
        </is>
      </c>
      <c r="C85" s="10" t="inlineStr">
        <is>
          <t>Su</t>
        </is>
      </c>
      <c r="D85" s="10">
        <f>IF(COUNTIF(Category!$A:$A,E85)&gt;0,"Yes","No")</f>
        <v/>
      </c>
      <c r="E85" s="10">
        <f>LEFT(A85,80)</f>
        <v/>
      </c>
      <c r="F85" s="10">
        <f>IF(OR(B85="Uncategorised",C85="",C85="Review"),"Needs category/owner",IF(D85="Yes","Already in Category","Add to Category"))</f>
        <v/>
      </c>
    </row>
    <row r="86">
      <c r="A86" s="10" t="inlineStr">
        <is>
          <t>RESTAURANTE NUDO 367354 SANT CARLESD</t>
        </is>
      </c>
      <c r="B86" s="10" t="inlineStr">
        <is>
          <t>Dining out</t>
        </is>
      </c>
      <c r="C86" s="10" t="inlineStr">
        <is>
          <t>Family</t>
        </is>
      </c>
      <c r="D86" s="10">
        <f>IF(COUNTIF(Category!$A:$A,E86)&gt;0,"Yes","No")</f>
        <v/>
      </c>
      <c r="E86" s="10">
        <f>LEFT(A86,80)</f>
        <v/>
      </c>
      <c r="F86" s="10">
        <f>IF(OR(B86="Uncategorised",C86="",C86="Review"),"Needs category/owner",IF(D86="Yes","Already in Category","Add to Category"))</f>
        <v/>
      </c>
    </row>
    <row r="87">
      <c r="A87" s="10" t="inlineStr">
        <is>
          <t>skPinx Go l f C l u b J E J U-DO</t>
        </is>
      </c>
      <c r="B87" s="10" t="inlineStr">
        <is>
          <t>Sport</t>
        </is>
      </c>
      <c r="C87" s="10" t="inlineStr">
        <is>
          <t>Family</t>
        </is>
      </c>
      <c r="D87" s="10">
        <f>IF(COUNTIF(Category!$A:$A,E87)&gt;0,"Yes","No")</f>
        <v/>
      </c>
      <c r="E87" s="10">
        <f>LEFT(A87,80)</f>
        <v/>
      </c>
      <c r="F87" s="10">
        <f>IF(OR(B87="Uncategorised",C87="",C87="Review"),"Needs category/owner",IF(D87="Yes","Already in Category","Add to Category"))</f>
        <v/>
      </c>
    </row>
    <row r="88">
      <c r="A88" s="10" t="inlineStr">
        <is>
          <t>RACINES SHEUNG WAN</t>
        </is>
      </c>
      <c r="B88" s="10" t="inlineStr">
        <is>
          <t>Dining out</t>
        </is>
      </c>
      <c r="C88" s="10" t="inlineStr">
        <is>
          <t>Family</t>
        </is>
      </c>
      <c r="D88" s="10">
        <f>IF(COUNTIF(Category!$A:$A,E88)&gt;0,"Yes","No")</f>
        <v/>
      </c>
      <c r="E88" s="10">
        <f>LEFT(A88,80)</f>
        <v/>
      </c>
      <c r="F88" s="10">
        <f>IF(OR(B88="Uncategorised",C88="",C88="Review"),"Needs category/owner",IF(D88="Yes","Already in Category","Add to Category"))</f>
        <v/>
      </c>
    </row>
    <row r="89">
      <c r="A89" s="10" t="inlineStr">
        <is>
          <t>SP VIOLETGREYSTORE WILMINGTON</t>
        </is>
      </c>
      <c r="B89" s="10" t="inlineStr">
        <is>
          <t>Beauty</t>
        </is>
      </c>
      <c r="C89" s="10" t="inlineStr">
        <is>
          <t>Su</t>
        </is>
      </c>
      <c r="D89" s="10">
        <f>IF(COUNTIF(Category!$A:$A,E89)&gt;0,"Yes","No")</f>
        <v/>
      </c>
      <c r="E89" s="10">
        <f>LEFT(A89,80)</f>
        <v/>
      </c>
      <c r="F89" s="10">
        <f>IF(OR(B89="Uncategorised",C89="",C89="Review"),"Needs category/owner",IF(D89="Yes","Already in Category","Add to Category"))</f>
        <v/>
      </c>
    </row>
    <row r="90">
      <c r="A90" s="10" t="inlineStr">
        <is>
          <t>GARRAFEIRA NACIONAL LISBOA</t>
        </is>
      </c>
      <c r="B90" s="10" t="inlineStr">
        <is>
          <t>Uncategorised</t>
        </is>
      </c>
      <c r="C90" s="10" t="inlineStr">
        <is>
          <t>Review</t>
        </is>
      </c>
      <c r="D90" s="10">
        <f>IF(COUNTIF(Category!$A:$A,E90)&gt;0,"Yes","No")</f>
        <v/>
      </c>
      <c r="E90" s="10">
        <f>LEFT(A90,80)</f>
        <v/>
      </c>
      <c r="F90" s="10">
        <f>IF(OR(B90="Uncategorised",C90="",C90="Review"),"Needs category/owner",IF(D90="Yes","Already in Category","Add to Category"))</f>
        <v/>
      </c>
    </row>
    <row r="91">
      <c r="A91" s="10" t="inlineStr">
        <is>
          <t>RIMOWA - ECOMMERCE 832 DALLAS</t>
        </is>
      </c>
      <c r="B91" s="10" t="inlineStr">
        <is>
          <t>Uncategorised</t>
        </is>
      </c>
      <c r="C91" s="10" t="inlineStr">
        <is>
          <t>Review</t>
        </is>
      </c>
      <c r="D91" s="10">
        <f>IF(COUNTIF(Category!$A:$A,E91)&gt;0,"Yes","No")</f>
        <v/>
      </c>
      <c r="E91" s="10">
        <f>LEFT(A91,80)</f>
        <v/>
      </c>
      <c r="F91" s="10">
        <f>IF(OR(B91="Uncategorised",C91="",C91="Review"),"Needs category/owner",IF(D91="Yes","Already in Category","Add to Category"))</f>
        <v/>
      </c>
    </row>
    <row r="92">
      <c r="A92" s="10" t="inlineStr">
        <is>
          <t>THE MANDARIN SALON CENTRAL</t>
        </is>
      </c>
      <c r="B92" s="10" t="inlineStr">
        <is>
          <t>Salon</t>
        </is>
      </c>
      <c r="C92" s="10" t="inlineStr">
        <is>
          <t>Su</t>
        </is>
      </c>
      <c r="D92" s="10">
        <f>IF(COUNTIF(Category!$A:$A,E92)&gt;0,"Yes","No")</f>
        <v/>
      </c>
      <c r="E92" s="10">
        <f>LEFT(A92,80)</f>
        <v/>
      </c>
      <c r="F92" s="10">
        <f>IF(OR(B92="Uncategorised",C92="",C92="Review"),"Needs category/owner",IF(D92="Yes","Already in Category","Add to Category"))</f>
        <v/>
      </c>
    </row>
    <row r="93">
      <c r="A93" s="10" t="inlineStr">
        <is>
          <t>ERES FASHION UK LTD LONDON</t>
        </is>
      </c>
      <c r="B93" s="10" t="inlineStr">
        <is>
          <t>Uncategorised</t>
        </is>
      </c>
      <c r="C93" s="10" t="inlineStr">
        <is>
          <t>Review</t>
        </is>
      </c>
      <c r="D93" s="10">
        <f>IF(COUNTIF(Category!$A:$A,E93)&gt;0,"Yes","No")</f>
        <v/>
      </c>
      <c r="E93" s="10">
        <f>LEFT(A93,80)</f>
        <v/>
      </c>
      <c r="F93" s="10">
        <f>IF(OR(B93="Uncategorised",C93="",C93="Review"),"Needs category/owner",IF(D93="Yes","Already in Category","Add to Category"))</f>
        <v/>
      </c>
    </row>
    <row r="94">
      <c r="A94" s="10" t="inlineStr">
        <is>
          <t>NANZENJI OGATA KYOTO</t>
        </is>
      </c>
      <c r="B94" s="10" t="inlineStr">
        <is>
          <t>Uncategorised</t>
        </is>
      </c>
      <c r="C94" s="10" t="inlineStr">
        <is>
          <t>Review</t>
        </is>
      </c>
      <c r="D94" s="10">
        <f>IF(COUNTIF(Category!$A:$A,E94)&gt;0,"Yes","No")</f>
        <v/>
      </c>
      <c r="E94" s="10">
        <f>LEFT(A94,80)</f>
        <v/>
      </c>
      <c r="F94" s="10">
        <f>IF(OR(B94="Uncategorised",C94="",C94="Review"),"Needs category/owner",IF(D94="Yes","Already in Category","Add to Category"))</f>
        <v/>
      </c>
    </row>
    <row r="95">
      <c r="A95" s="10" t="inlineStr">
        <is>
          <t>SP FARM RIO LONDON</t>
        </is>
      </c>
      <c r="B95" s="10" t="inlineStr">
        <is>
          <t>Clothes &amp; Shoes</t>
        </is>
      </c>
      <c r="C95" s="10" t="inlineStr">
        <is>
          <t>Su</t>
        </is>
      </c>
      <c r="D95" s="10">
        <f>IF(COUNTIF(Category!$A:$A,E95)&gt;0,"Yes","No")</f>
        <v/>
      </c>
      <c r="E95" s="10">
        <f>LEFT(A95,80)</f>
        <v/>
      </c>
      <c r="F95" s="10">
        <f>IF(OR(B95="Uncategorised",C95="",C95="Review"),"Needs category/owner",IF(D95="Yes","Already in Category","Add to Category"))</f>
        <v/>
      </c>
    </row>
    <row r="96">
      <c r="A96" s="10" t="inlineStr">
        <is>
          <t>FOUR SEASONS RESORT LOS LOS CA BOS</t>
        </is>
      </c>
      <c r="B96" s="10" t="inlineStr">
        <is>
          <t>Uncategorised</t>
        </is>
      </c>
      <c r="C96" s="10" t="inlineStr">
        <is>
          <t>Review</t>
        </is>
      </c>
      <c r="D96" s="10">
        <f>IF(COUNTIF(Category!$A:$A,E96)&gt;0,"Yes","No")</f>
        <v/>
      </c>
      <c r="E96" s="10">
        <f>LEFT(A96,80)</f>
        <v/>
      </c>
      <c r="F96" s="10">
        <f>IF(OR(B96="Uncategorised",C96="",C96="Review"),"Needs category/owner",IF(D96="Yes","Already in Category","Add to Category"))</f>
        <v/>
      </c>
    </row>
    <row r="97">
      <c r="A97" s="10" t="inlineStr">
        <is>
          <t>BB MSL * FLE XSTUDIO HK</t>
        </is>
      </c>
      <c r="B97" s="10" t="inlineStr">
        <is>
          <t>Uncategorised</t>
        </is>
      </c>
      <c r="C97" s="10" t="inlineStr">
        <is>
          <t>Review</t>
        </is>
      </c>
      <c r="D97" s="10">
        <f>IF(COUNTIF(Category!$A:$A,E97)&gt;0,"Yes","No")</f>
        <v/>
      </c>
      <c r="E97" s="10">
        <f>LEFT(A97,80)</f>
        <v/>
      </c>
      <c r="F97" s="10">
        <f>IF(OR(B97="Uncategorised",C97="",C97="Review"),"Needs category/owner",IF(D97="Yes","Already in Category","Add to Category"))</f>
        <v/>
      </c>
    </row>
    <row r="98">
      <c r="A98" s="10" t="inlineStr">
        <is>
          <t>XIAN JING FU YUAN CAN YSHANGHAI</t>
        </is>
      </c>
      <c r="B98" s="10" t="inlineStr">
        <is>
          <t>Uncategorised</t>
        </is>
      </c>
      <c r="C98" s="10" t="inlineStr">
        <is>
          <t>Review</t>
        </is>
      </c>
      <c r="D98" s="10">
        <f>IF(COUNTIF(Category!$A:$A,E98)&gt;0,"Yes","No")</f>
        <v/>
      </c>
      <c r="E98" s="10">
        <f>LEFT(A98,80)</f>
        <v/>
      </c>
      <c r="F98" s="10">
        <f>IF(OR(B98="Uncategorised",C98="",C98="Review"),"Needs category/owner",IF(D98="Yes","Already in Category","Add to Category"))</f>
        <v/>
      </c>
    </row>
    <row r="99">
      <c r="A99" s="10" t="inlineStr">
        <is>
          <t>SP TOAST UK LONDON</t>
        </is>
      </c>
      <c r="B99" s="10" t="inlineStr">
        <is>
          <t>Clothes &amp; Shoes</t>
        </is>
      </c>
      <c r="C99" s="10" t="inlineStr">
        <is>
          <t>Su</t>
        </is>
      </c>
      <c r="D99" s="10">
        <f>IF(COUNTIF(Category!$A:$A,E99)&gt;0,"Yes","No")</f>
        <v/>
      </c>
      <c r="E99" s="10">
        <f>LEFT(A99,80)</f>
        <v/>
      </c>
      <c r="F99" s="10">
        <f>IF(OR(B99="Uncategorised",C99="",C99="Review"),"Needs category/owner",IF(D99="Yes","Already in Category","Add to Category"))</f>
        <v/>
      </c>
    </row>
    <row r="100">
      <c r="A100" s="10" t="inlineStr">
        <is>
          <t>CLARINS LIMITED CENTRAL</t>
        </is>
      </c>
      <c r="B100" s="10" t="inlineStr">
        <is>
          <t>Beauty</t>
        </is>
      </c>
      <c r="C100" s="10" t="inlineStr">
        <is>
          <t>Su</t>
        </is>
      </c>
      <c r="D100" s="10">
        <f>IF(COUNTIF(Category!$A:$A,E100)&gt;0,"Yes","No")</f>
        <v/>
      </c>
      <c r="E100" s="10">
        <f>LEFT(A100,80)</f>
        <v/>
      </c>
      <c r="F100" s="10">
        <f>IF(OR(B100="Uncategorised",C100="",C100="Review"),"Needs category/owner",IF(D100="Yes","Already in Category","Add to Category"))</f>
        <v/>
      </c>
    </row>
    <row r="101">
      <c r="A101" s="10" t="inlineStr">
        <is>
          <t>5 HERTFORD STREET LIMIT LONDON</t>
        </is>
      </c>
      <c r="B101" s="10" t="inlineStr">
        <is>
          <t>Dining out</t>
        </is>
      </c>
      <c r="C101" s="10" t="inlineStr">
        <is>
          <t>Family</t>
        </is>
      </c>
      <c r="D101" s="10">
        <f>IF(COUNTIF(Category!$A:$A,E101)&gt;0,"Yes","No")</f>
        <v/>
      </c>
      <c r="E101" s="10">
        <f>LEFT(A101,80)</f>
        <v/>
      </c>
      <c r="F101" s="10">
        <f>IF(OR(B101="Uncategorised",C101="",C101="Review"),"Needs category/owner",IF(D101="Yes","Already in Category","Add to Category"))</f>
        <v/>
      </c>
    </row>
    <row r="102">
      <c r="A102" s="10" t="inlineStr">
        <is>
          <t>LIU YUAN PAVILION WAN CHAI</t>
        </is>
      </c>
      <c r="B102" s="10" t="inlineStr">
        <is>
          <t>Dining out</t>
        </is>
      </c>
      <c r="C102" s="10" t="inlineStr">
        <is>
          <t>Family</t>
        </is>
      </c>
      <c r="D102" s="10">
        <f>IF(COUNTIF(Category!$A:$A,E102)&gt;0,"Yes","No")</f>
        <v/>
      </c>
      <c r="E102" s="10">
        <f>LEFT(A102,80)</f>
        <v/>
      </c>
      <c r="F102" s="10">
        <f>IF(OR(B102="Uncategorised",C102="",C102="Review"),"Needs category/owner",IF(D102="Yes","Already in Category","Add to Category"))</f>
        <v/>
      </c>
    </row>
    <row r="103">
      <c r="A103" s="10" t="inlineStr">
        <is>
          <t>52 GAGE CENTRAL</t>
        </is>
      </c>
      <c r="B103" s="10" t="inlineStr">
        <is>
          <t>Uncategorised</t>
        </is>
      </c>
      <c r="C103" s="10" t="inlineStr">
        <is>
          <t>Review</t>
        </is>
      </c>
      <c r="D103" s="10">
        <f>IF(COUNTIF(Category!$A:$A,E103)&gt;0,"Yes","No")</f>
        <v/>
      </c>
      <c r="E103" s="10">
        <f>LEFT(A103,80)</f>
        <v/>
      </c>
      <c r="F103" s="10">
        <f>IF(OR(B103="Uncategorised",C103="",C103="Review"),"Needs category/owner",IF(D103="Yes","Already in Category","Add to Category"))</f>
        <v/>
      </c>
    </row>
    <row r="104">
      <c r="A104" s="10" t="inlineStr">
        <is>
          <t>SHSSFSCYGLY XGS s ha n g ha i</t>
        </is>
      </c>
      <c r="B104" s="10" t="inlineStr">
        <is>
          <t>Uncategorised</t>
        </is>
      </c>
      <c r="C104" s="10" t="inlineStr">
        <is>
          <t>Review</t>
        </is>
      </c>
      <c r="D104" s="10">
        <f>IF(COUNTIF(Category!$A:$A,E104)&gt;0,"Yes","No")</f>
        <v/>
      </c>
      <c r="E104" s="10">
        <f>LEFT(A104,80)</f>
        <v/>
      </c>
      <c r="F104" s="10">
        <f>IF(OR(B104="Uncategorised",C104="",C104="Review"),"Needs category/owner",IF(D104="Yes","Already in Category","Add to Category"))</f>
        <v/>
      </c>
    </row>
    <row r="105">
      <c r="A105" s="10" t="inlineStr">
        <is>
          <t>THE NEWT IN SOMERSET SOMERSET</t>
        </is>
      </c>
      <c r="B105" s="10" t="inlineStr">
        <is>
          <t>Uncategorised</t>
        </is>
      </c>
      <c r="C105" s="10" t="inlineStr">
        <is>
          <t>Review</t>
        </is>
      </c>
      <c r="D105" s="10">
        <f>IF(COUNTIF(Category!$A:$A,E105)&gt;0,"Yes","No")</f>
        <v/>
      </c>
      <c r="E105" s="10">
        <f>LEFT(A105,80)</f>
        <v/>
      </c>
      <c r="F105" s="10">
        <f>IF(OR(B105="Uncategorised",C105="",C105="Review"),"Needs category/owner",IF(D105="Yes","Already in Category","Add to Category"))</f>
        <v/>
      </c>
    </row>
    <row r="106">
      <c r="A106" s="10" t="inlineStr">
        <is>
          <t>PUYI OPTICAL LIMITED CENTRAL</t>
        </is>
      </c>
      <c r="B106" s="10" t="inlineStr">
        <is>
          <t>Uncategorised</t>
        </is>
      </c>
      <c r="C106" s="10" t="inlineStr">
        <is>
          <t>Review</t>
        </is>
      </c>
      <c r="D106" s="10">
        <f>IF(COUNTIF(Category!$A:$A,E106)&gt;0,"Yes","No")</f>
        <v/>
      </c>
      <c r="E106" s="10">
        <f>LEFT(A106,80)</f>
        <v/>
      </c>
      <c r="F106" s="10">
        <f>IF(OR(B106="Uncategorised",C106="",C106="Review"),"Needs category/owner",IF(D106="Yes","Already in Category","Add to Category"))</f>
        <v/>
      </c>
    </row>
    <row r="107">
      <c r="A107" s="10" t="inlineStr">
        <is>
          <t>KPAY*GALLERY TETE HONG HONG KONG</t>
        </is>
      </c>
      <c r="B107" s="10" t="inlineStr">
        <is>
          <t>Art</t>
        </is>
      </c>
      <c r="C107" s="10" t="inlineStr">
        <is>
          <t>Family</t>
        </is>
      </c>
      <c r="D107" s="10">
        <f>IF(COUNTIF(Category!$A:$A,E107)&gt;0,"Yes","No")</f>
        <v/>
      </c>
      <c r="E107" s="10">
        <f>LEFT(A107,80)</f>
        <v/>
      </c>
      <c r="F107" s="10">
        <f>IF(OR(B107="Uncategorised",C107="",C107="Review"),"Needs category/owner",IF(D107="Yes","Already in Category","Add to Category"))</f>
        <v/>
      </c>
    </row>
    <row r="108">
      <c r="A108" s="10" t="inlineStr">
        <is>
          <t>ORIENTAL Club (HOTEL / LONDON</t>
        </is>
      </c>
      <c r="B108" s="10" t="inlineStr">
        <is>
          <t>Hotel</t>
        </is>
      </c>
      <c r="C108" s="10" t="inlineStr">
        <is>
          <t>Family</t>
        </is>
      </c>
      <c r="D108" s="10">
        <f>IF(COUNTIF(Category!$A:$A,E108)&gt;0,"Yes","No")</f>
        <v/>
      </c>
      <c r="E108" s="10">
        <f>LEFT(A108,80)</f>
        <v/>
      </c>
      <c r="F108" s="10">
        <f>IF(OR(B108="Uncategorised",C108="",C108="Review"),"Needs category/owner",IF(D108="Yes","Already in Category","Add to Category"))</f>
        <v/>
      </c>
    </row>
    <row r="109">
      <c r="A109" s="10" t="inlineStr">
        <is>
          <t>Apple Store 9815038161 HongKong</t>
        </is>
      </c>
      <c r="B109" s="10" t="inlineStr">
        <is>
          <t>Electronics</t>
        </is>
      </c>
      <c r="C109" s="10" t="inlineStr">
        <is>
          <t>Family</t>
        </is>
      </c>
      <c r="D109" s="10">
        <f>IF(COUNTIF(Category!$A:$A,E109)&gt;0,"Yes","No")</f>
        <v/>
      </c>
      <c r="E109" s="10">
        <f>LEFT(A109,80)</f>
        <v/>
      </c>
      <c r="F109" s="10">
        <f>IF(OR(B109="Uncategorised",C109="",C109="Review"),"Needs category/owner",IF(D109="Yes","Already in Category","Add to Category"))</f>
        <v/>
      </c>
    </row>
    <row r="110">
      <c r="A110" s="10" t="inlineStr">
        <is>
          <t>TABLECHECK ONLINE PAY TOKYO</t>
        </is>
      </c>
      <c r="B110" s="10" t="inlineStr">
        <is>
          <t>Uncategorised</t>
        </is>
      </c>
      <c r="C110" s="10" t="inlineStr">
        <is>
          <t>Review</t>
        </is>
      </c>
      <c r="D110" s="10">
        <f>IF(COUNTIF(Category!$A:$A,E110)&gt;0,"Yes","No")</f>
        <v/>
      </c>
      <c r="E110" s="10">
        <f>LEFT(A110,80)</f>
        <v/>
      </c>
      <c r="F110" s="10">
        <f>IF(OR(B110="Uncategorised",C110="",C110="Review"),"Needs category/owner",IF(D110="Yes","Already in Category","Add to Category"))</f>
        <v/>
      </c>
    </row>
    <row r="111">
      <c r="A111" s="10" t="inlineStr">
        <is>
          <t>AMERICAN VINTAGE SIGNES</t>
        </is>
      </c>
      <c r="B111" s="10" t="inlineStr">
        <is>
          <t>Clothes &amp; Shoes</t>
        </is>
      </c>
      <c r="C111" s="10" t="inlineStr">
        <is>
          <t>Su</t>
        </is>
      </c>
      <c r="D111" s="10">
        <f>IF(COUNTIF(Category!$A:$A,E111)&gt;0,"Yes","No")</f>
        <v/>
      </c>
      <c r="E111" s="10">
        <f>LEFT(A111,80)</f>
        <v/>
      </c>
      <c r="F111" s="10">
        <f>IF(OR(B111="Uncategorised",C111="",C111="Review"),"Needs category/owner",IF(D111="Yes","Already in Category","Add to Category"))</f>
        <v/>
      </c>
    </row>
    <row r="112">
      <c r="A112" s="10" t="inlineStr">
        <is>
          <t>SP SIRTHELA BEL.CO MTA MARAM A</t>
        </is>
      </c>
      <c r="B112" s="10" t="inlineStr">
        <is>
          <t>Uncategorised</t>
        </is>
      </c>
      <c r="C112" s="10" t="inlineStr">
        <is>
          <t>Review</t>
        </is>
      </c>
      <c r="D112" s="10">
        <f>IF(COUNTIF(Category!$A:$A,E112)&gt;0,"Yes","No")</f>
        <v/>
      </c>
      <c r="E112" s="10">
        <f>LEFT(A112,80)</f>
        <v/>
      </c>
      <c r="F112" s="10">
        <f>IF(OR(B112="Uncategorised",C112="",C112="Review"),"Needs category/owner",IF(D112="Yes","Already in Category","Add to Category"))</f>
        <v/>
      </c>
    </row>
    <row r="113">
      <c r="A113" s="10" t="inlineStr">
        <is>
          <t>SEROJA SINGAPORE</t>
        </is>
      </c>
      <c r="B113" s="10" t="inlineStr">
        <is>
          <t>Dining out</t>
        </is>
      </c>
      <c r="C113" s="10" t="inlineStr">
        <is>
          <t>Family</t>
        </is>
      </c>
      <c r="D113" s="10">
        <f>IF(COUNTIF(Category!$A:$A,E113)&gt;0,"Yes","No")</f>
        <v/>
      </c>
      <c r="E113" s="10">
        <f>LEFT(A113,80)</f>
        <v/>
      </c>
      <c r="F113" s="10">
        <f>IF(OR(B113="Uncategorised",C113="",C113="Review"),"Needs category/owner",IF(D113="Yes","Already in Category","Add to Category"))</f>
        <v/>
      </c>
    </row>
    <row r="114">
      <c r="A114" s="10" t="inlineStr">
        <is>
          <t>HAY FEVER FLORAL &amp; GIFT MONGKOK</t>
        </is>
      </c>
      <c r="B114" s="10" t="inlineStr">
        <is>
          <t>Uncategorised</t>
        </is>
      </c>
      <c r="C114" s="10" t="inlineStr">
        <is>
          <t>Review</t>
        </is>
      </c>
      <c r="D114" s="10">
        <f>IF(COUNTIF(Category!$A:$A,E114)&gt;0,"Yes","No")</f>
        <v/>
      </c>
      <c r="E114" s="10">
        <f>LEFT(A114,80)</f>
        <v/>
      </c>
      <c r="F114" s="10">
        <f>IF(OR(B114="Uncategorised",C114="",C114="Review"),"Needs category/owner",IF(D114="Yes","Already in Category","Add to Category"))</f>
        <v/>
      </c>
    </row>
    <row r="115">
      <c r="A115" s="10" t="inlineStr">
        <is>
          <t>SALOMON CAUSE WAY BAY</t>
        </is>
      </c>
      <c r="B115" s="10" t="inlineStr">
        <is>
          <t>Uncategorised</t>
        </is>
      </c>
      <c r="C115" s="10" t="inlineStr">
        <is>
          <t>Review</t>
        </is>
      </c>
      <c r="D115" s="10">
        <f>IF(COUNTIF(Category!$A:$A,E115)&gt;0,"Yes","No")</f>
        <v/>
      </c>
      <c r="E115" s="10">
        <f>LEFT(A115,80)</f>
        <v/>
      </c>
      <c r="F115" s="10">
        <f>IF(OR(B115="Uncategorised",C115="",C115="Review"),"Needs category/owner",IF(D115="Yes","Already in Category","Add to Category"))</f>
        <v/>
      </c>
    </row>
    <row r="116">
      <c r="A116" s="10" t="inlineStr">
        <is>
          <t>EVENTBK*EVENT TICKET HONG KONG</t>
        </is>
      </c>
      <c r="B116" s="10" t="inlineStr">
        <is>
          <t>Uncategorised</t>
        </is>
      </c>
      <c r="C116" s="10" t="inlineStr">
        <is>
          <t>Review</t>
        </is>
      </c>
      <c r="D116" s="10">
        <f>IF(COUNTIF(Category!$A:$A,E116)&gt;0,"Yes","No")</f>
        <v/>
      </c>
      <c r="E116" s="10">
        <f>LEFT(A116,80)</f>
        <v/>
      </c>
      <c r="F116" s="10">
        <f>IF(OR(B116="Uncategorised",C116="",C116="Review"),"Needs category/owner",IF(D116="Yes","Already in Category","Add to Category"))</f>
        <v/>
      </c>
    </row>
    <row r="117">
      <c r="A117" s="10" t="inlineStr">
        <is>
          <t>STUDIO AL MPTY LTD WOOLLAHRA</t>
        </is>
      </c>
      <c r="B117" s="10" t="inlineStr">
        <is>
          <t>Uncategorised</t>
        </is>
      </c>
      <c r="C117" s="10" t="inlineStr">
        <is>
          <t>Review</t>
        </is>
      </c>
      <c r="D117" s="10">
        <f>IF(COUNTIF(Category!$A:$A,E117)&gt;0,"Yes","No")</f>
        <v/>
      </c>
      <c r="E117" s="10">
        <f>LEFT(A117,80)</f>
        <v/>
      </c>
      <c r="F117" s="10">
        <f>IF(OR(B117="Uncategorised",C117="",C117="Review"),"Needs category/owner",IF(D117="Yes","Already in Category","Add to Category"))</f>
        <v/>
      </c>
    </row>
    <row r="118">
      <c r="A118" s="10" t="inlineStr">
        <is>
          <t>AVIDA PORTUGUESA LISBOA</t>
        </is>
      </c>
      <c r="B118" s="10" t="inlineStr">
        <is>
          <t>Uncategorised</t>
        </is>
      </c>
      <c r="C118" s="10" t="inlineStr">
        <is>
          <t>Review</t>
        </is>
      </c>
      <c r="D118" s="10">
        <f>IF(COUNTIF(Category!$A:$A,E118)&gt;0,"Yes","No")</f>
        <v/>
      </c>
      <c r="E118" s="10">
        <f>LEFT(A118,80)</f>
        <v/>
      </c>
      <c r="F118" s="10">
        <f>IF(OR(B118="Uncategorised",C118="",C118="Review"),"Needs category/owner",IF(D118="Yes","Already in Category","Add to Category"))</f>
        <v/>
      </c>
    </row>
    <row r="119">
      <c r="A119" s="10" t="inlineStr">
        <is>
          <t>PATHLAB MEDICAL LA BORAT CENTRAL</t>
        </is>
      </c>
      <c r="B119" s="10" t="inlineStr">
        <is>
          <t>Uncategorised</t>
        </is>
      </c>
      <c r="C119" s="10" t="inlineStr">
        <is>
          <t>Review</t>
        </is>
      </c>
      <c r="D119" s="10">
        <f>IF(COUNTIF(Category!$A:$A,E119)&gt;0,"Yes","No")</f>
        <v/>
      </c>
      <c r="E119" s="10">
        <f>LEFT(A119,80)</f>
        <v/>
      </c>
      <c r="F119" s="10">
        <f>IF(OR(B119="Uncategorised",C119="",C119="Review"),"Needs category/owner",IF(D119="Yes","Already in Category","Add to Category"))</f>
        <v/>
      </c>
    </row>
    <row r="120">
      <c r="A120" s="10" t="inlineStr">
        <is>
          <t>DOJO*WILTONS LONDON</t>
        </is>
      </c>
      <c r="B120" s="10" t="inlineStr">
        <is>
          <t>Dining out</t>
        </is>
      </c>
      <c r="C120" s="10" t="inlineStr">
        <is>
          <t>Family</t>
        </is>
      </c>
      <c r="D120" s="10">
        <f>IF(COUNTIF(Category!$A:$A,E120)&gt;0,"Yes","No")</f>
        <v/>
      </c>
      <c r="E120" s="10">
        <f>LEFT(A120,80)</f>
        <v/>
      </c>
      <c r="F120" s="10">
        <f>IF(OR(B120="Uncategorised",C120="",C120="Review"),"Needs category/owner",IF(D120="Yes","Already in Category","Add to Category"))</f>
        <v/>
      </c>
    </row>
    <row r="121">
      <c r="A121" s="10" t="inlineStr">
        <is>
          <t>SUITSUPPLYPOS_LACENTURY WILMINGTON</t>
        </is>
      </c>
      <c r="B121" s="10" t="inlineStr">
        <is>
          <t>Clothes &amp; Shoes</t>
        </is>
      </c>
      <c r="C121" s="10" t="inlineStr">
        <is>
          <t>Family</t>
        </is>
      </c>
      <c r="D121" s="10">
        <f>IF(COUNTIF(Category!$A:$A,E121)&gt;0,"Yes","No")</f>
        <v/>
      </c>
      <c r="E121" s="10">
        <f>LEFT(A121,80)</f>
        <v/>
      </c>
      <c r="F121" s="10">
        <f>IF(OR(B121="Uncategorised",C121="",C121="Review"),"Needs category/owner",IF(D121="Yes","Already in Category","Add to Category"))</f>
        <v/>
      </c>
    </row>
    <row r="122">
      <c r="A122" s="10" t="inlineStr">
        <is>
          <t>BAR LEONE SHEUNG WAN</t>
        </is>
      </c>
      <c r="B122" s="10" t="inlineStr">
        <is>
          <t>Dining out</t>
        </is>
      </c>
      <c r="C122" s="10" t="inlineStr">
        <is>
          <t>Family</t>
        </is>
      </c>
      <c r="D122" s="10">
        <f>IF(COUNTIF(Category!$A:$A,E122)&gt;0,"Yes","No")</f>
        <v/>
      </c>
      <c r="E122" s="10">
        <f>LEFT(A122,80)</f>
        <v/>
      </c>
      <c r="F122" s="10">
        <f>IF(OR(B122="Uncategorised",C122="",C122="Review"),"Needs category/owner",IF(D122="Yes","Already in Category","Add to Category"))</f>
        <v/>
      </c>
    </row>
    <row r="123">
      <c r="A123" s="10" t="inlineStr">
        <is>
          <t>COTE SINGAPORE SINGAPORE</t>
        </is>
      </c>
      <c r="B123" s="10" t="inlineStr">
        <is>
          <t>Uncategorised</t>
        </is>
      </c>
      <c r="C123" s="10" t="inlineStr">
        <is>
          <t>Review</t>
        </is>
      </c>
      <c r="D123" s="10">
        <f>IF(COUNTIF(Category!$A:$A,E123)&gt;0,"Yes","No")</f>
        <v/>
      </c>
      <c r="E123" s="10">
        <f>LEFT(A123,80)</f>
        <v/>
      </c>
      <c r="F123" s="10">
        <f>IF(OR(B123="Uncategorised",C123="",C123="Review"),"Needs category/owner",IF(D123="Yes","Already in Category","Add to Category"))</f>
        <v/>
      </c>
    </row>
    <row r="124">
      <c r="A124" s="10" t="inlineStr">
        <is>
          <t>KPAY * ASTA CLINIC LIMITE HONG KONG</t>
        </is>
      </c>
      <c r="B124" s="10" t="inlineStr">
        <is>
          <t>Clinic</t>
        </is>
      </c>
      <c r="C124" s="10" t="inlineStr">
        <is>
          <t>Su</t>
        </is>
      </c>
      <c r="D124" s="10">
        <f>IF(COUNTIF(Category!$A:$A,E124)&gt;0,"Yes","No")</f>
        <v/>
      </c>
      <c r="E124" s="10">
        <f>LEFT(A124,80)</f>
        <v/>
      </c>
      <c r="F124" s="10">
        <f>IF(OR(B124="Uncategorised",C124="",C124="Review"),"Needs category/owner",IF(D124="Yes","Already in Category","Add to Category"))</f>
        <v/>
      </c>
    </row>
    <row r="125">
      <c r="A125" s="10" t="inlineStr">
        <is>
          <t>TUMI ASIA LIMITED CENTRAL</t>
        </is>
      </c>
      <c r="B125" s="10" t="inlineStr">
        <is>
          <t>Uncategorised</t>
        </is>
      </c>
      <c r="C125" s="10" t="inlineStr">
        <is>
          <t>Review</t>
        </is>
      </c>
      <c r="D125" s="10">
        <f>IF(COUNTIF(Category!$A:$A,E125)&gt;0,"Yes","No")</f>
        <v/>
      </c>
      <c r="E125" s="10">
        <f>LEFT(A125,80)</f>
        <v/>
      </c>
      <c r="F125" s="10">
        <f>IF(OR(B125="Uncategorised",C125="",C125="Review"),"Needs category/owner",IF(D125="Yes","Already in Category","Add to Category"))</f>
        <v/>
      </c>
    </row>
    <row r="126">
      <c r="A126" s="10" t="inlineStr">
        <is>
          <t>GLO BALE * /ISA BEL MARANT LONDON</t>
        </is>
      </c>
      <c r="B126" s="10" t="inlineStr">
        <is>
          <t>Uncategorised</t>
        </is>
      </c>
      <c r="C126" s="10" t="inlineStr">
        <is>
          <t>Review</t>
        </is>
      </c>
      <c r="D126" s="10">
        <f>IF(COUNTIF(Category!$A:$A,E126)&gt;0,"Yes","No")</f>
        <v/>
      </c>
      <c r="E126" s="10">
        <f>LEFT(A126,80)</f>
        <v/>
      </c>
      <c r="F126" s="10">
        <f>IF(OR(B126="Uncategorised",C126="",C126="Review"),"Needs category/owner",IF(D126="Yes","Already in Category","Add to Category"))</f>
        <v/>
      </c>
    </row>
    <row r="127">
      <c r="A127" s="10" t="inlineStr">
        <is>
          <t>351 LIS BOA LIS BOA</t>
        </is>
      </c>
      <c r="B127" s="10" t="inlineStr">
        <is>
          <t>Uncategorised</t>
        </is>
      </c>
      <c r="C127" s="10" t="inlineStr">
        <is>
          <t>Review</t>
        </is>
      </c>
      <c r="D127" s="10">
        <f>IF(COUNTIF(Category!$A:$A,E127)&gt;0,"Yes","No")</f>
        <v/>
      </c>
      <c r="E127" s="10">
        <f>LEFT(A127,80)</f>
        <v/>
      </c>
      <c r="F127" s="10">
        <f>IF(OR(B127="Uncategorised",C127="",C127="Review"),"Needs category/owner",IF(D127="Yes","Already in Category","Add to Category"))</f>
        <v/>
      </c>
    </row>
    <row r="128">
      <c r="A128" s="10" t="inlineStr">
        <is>
          <t>WP - CHEF TAM SSEASONS MACAO</t>
        </is>
      </c>
      <c r="B128" s="10" t="inlineStr">
        <is>
          <t>Uncategorised</t>
        </is>
      </c>
      <c r="C128" s="10" t="inlineStr">
        <is>
          <t>Review</t>
        </is>
      </c>
      <c r="D128" s="10">
        <f>IF(COUNTIF(Category!$A:$A,E128)&gt;0,"Yes","No")</f>
        <v/>
      </c>
      <c r="E128" s="10">
        <f>LEFT(A128,80)</f>
        <v/>
      </c>
      <c r="F128" s="10">
        <f>IF(OR(B128="Uncategorised",C128="",C128="Review"),"Needs category/owner",IF(D128="Yes","Already in Category","Add to Category"))</f>
        <v/>
      </c>
    </row>
    <row r="129">
      <c r="A129" s="10" t="inlineStr">
        <is>
          <t>LIYUAN s ha n gha is h i</t>
        </is>
      </c>
      <c r="B129" s="10" t="inlineStr">
        <is>
          <t>Uncategorised</t>
        </is>
      </c>
      <c r="C129" s="10" t="inlineStr">
        <is>
          <t>Review</t>
        </is>
      </c>
      <c r="D129" s="10">
        <f>IF(COUNTIF(Category!$A:$A,E129)&gt;0,"Yes","No")</f>
        <v/>
      </c>
      <c r="E129" s="10">
        <f>LEFT(A129,80)</f>
        <v/>
      </c>
      <c r="F129" s="10">
        <f>IF(OR(B129="Uncategorised",C129="",C129="Review"),"Needs category/owner",IF(D129="Yes","Already in Category","Add to Category"))</f>
        <v/>
      </c>
    </row>
    <row r="130">
      <c r="A130" s="10" t="inlineStr">
        <is>
          <t>RIKKA AIR HOKKAIDO</t>
        </is>
      </c>
      <c r="B130" s="10" t="inlineStr">
        <is>
          <t>Airfare</t>
        </is>
      </c>
      <c r="C130" s="10" t="inlineStr">
        <is>
          <t>Family</t>
        </is>
      </c>
      <c r="D130" s="10">
        <f>IF(COUNTIF(Category!$A:$A,E130)&gt;0,"Yes","No")</f>
        <v/>
      </c>
      <c r="E130" s="10">
        <f>LEFT(A130,80)</f>
        <v/>
      </c>
      <c r="F130" s="10">
        <f>IF(OR(B130="Uncategorised",C130="",C130="Review"),"Needs category/owner",IF(D130="Yes","Already in Category","Add to Category"))</f>
        <v/>
      </c>
    </row>
    <row r="131">
      <c r="A131" s="10" t="inlineStr">
        <is>
          <t>PAYPAL *CHAPELIER 4029357733</t>
        </is>
      </c>
      <c r="B131" s="10" t="inlineStr">
        <is>
          <t>Uncategorised</t>
        </is>
      </c>
      <c r="C131" s="10" t="inlineStr">
        <is>
          <t>Review</t>
        </is>
      </c>
      <c r="D131" s="10">
        <f>IF(COUNTIF(Category!$A:$A,E131)&gt;0,"Yes","No")</f>
        <v/>
      </c>
      <c r="E131" s="10">
        <f>LEFT(A131,80)</f>
        <v/>
      </c>
      <c r="F131" s="10">
        <f>IF(OR(B131="Uncategorised",C131="",C131="Review"),"Needs category/owner",IF(D131="Yes","Already in Category","Add to Category"))</f>
        <v/>
      </c>
    </row>
    <row r="132">
      <c r="A132" s="10" t="inlineStr">
        <is>
          <t>ZADIGVOLTAIRE US NEW YORK</t>
        </is>
      </c>
      <c r="B132" s="10" t="inlineStr">
        <is>
          <t>Clothes &amp; Shoes</t>
        </is>
      </c>
      <c r="C132" s="10" t="inlineStr">
        <is>
          <t>Su</t>
        </is>
      </c>
      <c r="D132" s="10">
        <f>IF(COUNTIF(Category!$A:$A,E132)&gt;0,"Yes","No")</f>
        <v/>
      </c>
      <c r="E132" s="10">
        <f>LEFT(A132,80)</f>
        <v/>
      </c>
      <c r="F132" s="10">
        <f>IF(OR(B132="Uncategorised",C132="",C132="Review"),"Needs category/owner",IF(D132="Yes","Already in Category","Add to Category"))</f>
        <v/>
      </c>
    </row>
    <row r="133">
      <c r="A133" s="10" t="inlineStr">
        <is>
          <t>AMV RETAIL ASIA HONG KO ADMIRALTY</t>
        </is>
      </c>
      <c r="B133" s="10" t="inlineStr">
        <is>
          <t>Clothes &amp; Shoes</t>
        </is>
      </c>
      <c r="C133" s="10" t="inlineStr">
        <is>
          <t>Su</t>
        </is>
      </c>
      <c r="D133" s="10">
        <f>IF(COUNTIF(Category!$A:$A,E133)&gt;0,"Yes","No")</f>
        <v/>
      </c>
      <c r="E133" s="10">
        <f>LEFT(A133,80)</f>
        <v/>
      </c>
      <c r="F133" s="10">
        <f>IF(OR(B133="Uncategorised",C133="",C133="Review"),"Needs category/owner",IF(D133="Yes","Already in Category","Add to Category"))</f>
        <v/>
      </c>
    </row>
    <row r="134">
      <c r="A134" s="10" t="inlineStr">
        <is>
          <t>IL COLPO PACIFIC PLACE AD MIRALTY</t>
        </is>
      </c>
      <c r="B134" s="10" t="inlineStr">
        <is>
          <t>Salon</t>
        </is>
      </c>
      <c r="C134" s="10" t="inlineStr">
        <is>
          <t>Su</t>
        </is>
      </c>
      <c r="D134" s="10">
        <f>IF(COUNTIF(Category!$A:$A,E134)&gt;0,"Yes","No")</f>
        <v/>
      </c>
      <c r="E134" s="10">
        <f>LEFT(A134,80)</f>
        <v/>
      </c>
      <c r="F134" s="10">
        <f>IF(OR(B134="Uncategorised",C134="",C134="Review"),"Needs category/owner",IF(D134="Yes","Already in Category","Add to Category"))</f>
        <v/>
      </c>
    </row>
    <row r="135">
      <c r="A135" s="10" t="inlineStr">
        <is>
          <t>3CPAYMENT*ISABEL MARANT LONDON</t>
        </is>
      </c>
      <c r="B135" s="10" t="inlineStr">
        <is>
          <t>Uncategorised</t>
        </is>
      </c>
      <c r="C135" s="10" t="inlineStr">
        <is>
          <t>Review</t>
        </is>
      </c>
      <c r="D135" s="10">
        <f>IF(COUNTIF(Category!$A:$A,E135)&gt;0,"Yes","No")</f>
        <v/>
      </c>
      <c r="E135" s="10">
        <f>LEFT(A135,80)</f>
        <v/>
      </c>
      <c r="F135" s="10">
        <f>IF(OR(B135="Uncategorised",C135="",C135="Review"),"Needs category/owner",IF(D135="Yes","Already in Category","Add to Category"))</f>
        <v/>
      </c>
    </row>
    <row r="136">
      <c r="A136" s="10" t="inlineStr">
        <is>
          <t>FORTRESS - 220 QUARRY BAY</t>
        </is>
      </c>
      <c r="B136" s="10" t="inlineStr">
        <is>
          <t>Uncategorised</t>
        </is>
      </c>
      <c r="C136" s="10" t="inlineStr">
        <is>
          <t>Review</t>
        </is>
      </c>
      <c r="D136" s="10">
        <f>IF(COUNTIF(Category!$A:$A,E136)&gt;0,"Yes","No")</f>
        <v/>
      </c>
      <c r="E136" s="10">
        <f>LEFT(A136,80)</f>
        <v/>
      </c>
      <c r="F136" s="10">
        <f>IF(OR(B136="Uncategorised",C136="",C136="Review"),"Needs category/owner",IF(D136="Yes","Already in Category","Add to Category"))</f>
        <v/>
      </c>
    </row>
    <row r="137">
      <c r="A137" s="10" t="inlineStr">
        <is>
          <t>THE WING ON DEPARTMENT SHEUNG WAN</t>
        </is>
      </c>
      <c r="B137" s="10" t="inlineStr">
        <is>
          <t>Housewares</t>
        </is>
      </c>
      <c r="C137" s="10" t="inlineStr">
        <is>
          <t>Family</t>
        </is>
      </c>
      <c r="D137" s="10">
        <f>IF(COUNTIF(Category!$A:$A,E137)&gt;0,"Yes","No")</f>
        <v/>
      </c>
      <c r="E137" s="10">
        <f>LEFT(A137,80)</f>
        <v/>
      </c>
      <c r="F137" s="10">
        <f>IF(OR(B137="Uncategorised",C137="",C137="Review"),"Needs category/owner",IF(D137="Yes","Already in Category","Add to Category"))</f>
        <v/>
      </c>
    </row>
    <row r="138">
      <c r="A138" s="10" t="inlineStr">
        <is>
          <t>LS POEPKE PADDINGTON</t>
        </is>
      </c>
      <c r="B138" s="10" t="inlineStr">
        <is>
          <t>Clothes &amp; Shoes</t>
        </is>
      </c>
      <c r="C138" s="10" t="inlineStr">
        <is>
          <t>Su</t>
        </is>
      </c>
      <c r="D138" s="10">
        <f>IF(COUNTIF(Category!$A:$A,E138)&gt;0,"Yes","No")</f>
        <v/>
      </c>
      <c r="E138" s="10">
        <f>LEFT(A138,80)</f>
        <v/>
      </c>
      <c r="F138" s="10">
        <f>IF(OR(B138="Uncategorised",C138="",C138="Review"),"Needs category/owner",IF(D138="Yes","Already in Category","Add to Category"))</f>
        <v/>
      </c>
    </row>
    <row r="139">
      <c r="A139" s="10" t="inlineStr">
        <is>
          <t>HK SANATORIUM &amp; HOSP - HAPPY VALLEY</t>
        </is>
      </c>
      <c r="B139" s="10" t="inlineStr">
        <is>
          <t>Clinic</t>
        </is>
      </c>
      <c r="C139" s="10" t="inlineStr">
        <is>
          <t>Family</t>
        </is>
      </c>
      <c r="D139" s="10">
        <f>IF(COUNTIF(Category!$A:$A,E139)&gt;0,"Yes","No")</f>
        <v/>
      </c>
      <c r="E139" s="10">
        <f>LEFT(A139,80)</f>
        <v/>
      </c>
      <c r="F139" s="10">
        <f>IF(OR(B139="Uncategorised",C139="",C139="Review"),"Needs category/owner",IF(D139="Yes","Already in Category","Add to Category"))</f>
        <v/>
      </c>
    </row>
    <row r="140">
      <c r="A140" s="10" t="inlineStr">
        <is>
          <t>SP HEALF MANCHESTER</t>
        </is>
      </c>
      <c r="B140" s="10" t="inlineStr">
        <is>
          <t>Uncategorised</t>
        </is>
      </c>
      <c r="C140" s="10" t="inlineStr">
        <is>
          <t>Review</t>
        </is>
      </c>
      <c r="D140" s="10">
        <f>IF(COUNTIF(Category!$A:$A,E140)&gt;0,"Yes","No")</f>
        <v/>
      </c>
      <c r="E140" s="10">
        <f>LEFT(A140,80)</f>
        <v/>
      </c>
      <c r="F140" s="10">
        <f>IF(OR(B140="Uncategorised",C140="",C140="Review"),"Needs category/owner",IF(D140="Yes","Already in Category","Add to Category"))</f>
        <v/>
      </c>
    </row>
    <row r="141">
      <c r="A141" s="10" t="inlineStr">
        <is>
          <t>SAINT PETER PADDINGTON</t>
        </is>
      </c>
      <c r="B141" s="10" t="inlineStr">
        <is>
          <t>Uncategorised</t>
        </is>
      </c>
      <c r="C141" s="10" t="inlineStr">
        <is>
          <t>Review</t>
        </is>
      </c>
      <c r="D141" s="10">
        <f>IF(COUNTIF(Category!$A:$A,E141)&gt;0,"Yes","No")</f>
        <v/>
      </c>
      <c r="E141" s="10">
        <f>LEFT(A141,80)</f>
        <v/>
      </c>
      <c r="F141" s="10">
        <f>IF(OR(B141="Uncategorised",C141="",C141="Review"),"Needs category/owner",IF(D141="Yes","Already in Category","Add to Category"))</f>
        <v/>
      </c>
    </row>
    <row r="142">
      <c r="A142" s="10" t="inlineStr">
        <is>
          <t>CIPRIANI ORIENTAL LIMIT CENTRAL</t>
        </is>
      </c>
      <c r="B142" s="10" t="inlineStr">
        <is>
          <t>Uncategorised</t>
        </is>
      </c>
      <c r="C142" s="10" t="inlineStr">
        <is>
          <t>Review</t>
        </is>
      </c>
      <c r="D142" s="10">
        <f>IF(COUNTIF(Category!$A:$A,E142)&gt;0,"Yes","No")</f>
        <v/>
      </c>
      <c r="E142" s="10">
        <f>LEFT(A142,80)</f>
        <v/>
      </c>
      <c r="F142" s="10">
        <f>IF(OR(B142="Uncategorised",C142="",C142="Review"),"Needs category/owner",IF(D142="Yes","Already in Category","Add to Category"))</f>
        <v/>
      </c>
    </row>
    <row r="143">
      <c r="A143" s="10" t="inlineStr">
        <is>
          <t>GLOBAL-E.45R GLOBAL-EUNITED KINGDOM</t>
        </is>
      </c>
      <c r="B143" s="10" t="inlineStr">
        <is>
          <t>Clothes &amp; Shoes</t>
        </is>
      </c>
      <c r="C143" s="10" t="inlineStr">
        <is>
          <t>Su</t>
        </is>
      </c>
      <c r="D143" s="10">
        <f>IF(COUNTIF(Category!$A:$A,E143)&gt;0,"Yes","No")</f>
        <v/>
      </c>
      <c r="E143" s="10">
        <f>LEFT(A143,80)</f>
        <v/>
      </c>
      <c r="F143" s="10">
        <f>IF(OR(B143="Uncategorised",C143="",C143="Review"),"Needs category/owner",IF(D143="Yes","Already in Category","Add to Category"))</f>
        <v/>
      </c>
    </row>
    <row r="144">
      <c r="A144" s="10" t="inlineStr">
        <is>
          <t>OLD PARSONAGE HOTELO X FORD</t>
        </is>
      </c>
      <c r="B144" s="10" t="inlineStr">
        <is>
          <t>Hotel</t>
        </is>
      </c>
      <c r="C144" s="10" t="inlineStr">
        <is>
          <t>Family</t>
        </is>
      </c>
      <c r="D144" s="10">
        <f>IF(COUNTIF(Category!$A:$A,E144)&gt;0,"Yes","No")</f>
        <v/>
      </c>
      <c r="E144" s="10">
        <f>LEFT(A144,80)</f>
        <v/>
      </c>
      <c r="F144" s="10">
        <f>IF(OR(B144="Uncategorised",C144="",C144="Review"),"Needs category/owner",IF(D144="Yes","Already in Category","Add to Category"))</f>
        <v/>
      </c>
    </row>
    <row r="145">
      <c r="A145" s="10" t="inlineStr">
        <is>
          <t>45 RCENTRAL</t>
        </is>
      </c>
      <c r="B145" s="10" t="inlineStr">
        <is>
          <t>Uncategorised</t>
        </is>
      </c>
      <c r="C145" s="10" t="inlineStr">
        <is>
          <t>Review</t>
        </is>
      </c>
      <c r="D145" s="10">
        <f>IF(COUNTIF(Category!$A:$A,E145)&gt;0,"Yes","No")</f>
        <v/>
      </c>
      <c r="E145" s="10">
        <f>LEFT(A145,80)</f>
        <v/>
      </c>
      <c r="F145" s="10">
        <f>IF(OR(B145="Uncategorised",C145="",C145="Review"),"Needs category/owner",IF(D145="Yes","Already in Category","Add to Category"))</f>
        <v/>
      </c>
    </row>
    <row r="146">
      <c r="A146" s="10" t="inlineStr">
        <is>
          <t>SP SUMMERILLBISHOP LONDON</t>
        </is>
      </c>
      <c r="B146" s="10" t="inlineStr">
        <is>
          <t>Uncategorised</t>
        </is>
      </c>
      <c r="C146" s="10" t="inlineStr">
        <is>
          <t>Review</t>
        </is>
      </c>
      <c r="D146" s="10">
        <f>IF(COUNTIF(Category!$A:$A,E146)&gt;0,"Yes","No")</f>
        <v/>
      </c>
      <c r="E146" s="10">
        <f>LEFT(A146,80)</f>
        <v/>
      </c>
      <c r="F146" s="10">
        <f>IF(OR(B146="Uncategorised",C146="",C146="Review"),"Needs category/owner",IF(D146="Yes","Already in Category","Add to Category"))</f>
        <v/>
      </c>
    </row>
    <row r="147">
      <c r="A147" s="10" t="inlineStr">
        <is>
          <t>ZETTLE *BECKFORD BOTTLE TISBURY</t>
        </is>
      </c>
      <c r="B147" s="10" t="inlineStr">
        <is>
          <t>Uncategorised</t>
        </is>
      </c>
      <c r="C147" s="10" t="inlineStr">
        <is>
          <t>Review</t>
        </is>
      </c>
      <c r="D147" s="10">
        <f>IF(COUNTIF(Category!$A:$A,E147)&gt;0,"Yes","No")</f>
        <v/>
      </c>
      <c r="E147" s="10">
        <f>LEFT(A147,80)</f>
        <v/>
      </c>
      <c r="F147" s="10">
        <f>IF(OR(B147="Uncategorised",C147="",C147="Review"),"Needs category/owner",IF(D147="Yes","Already in Category","Add to Category"))</f>
        <v/>
      </c>
    </row>
    <row r="148">
      <c r="A148" s="10" t="inlineStr">
        <is>
          <t>A MONGE QUALS BRONTE</t>
        </is>
      </c>
      <c r="B148" s="10" t="inlineStr">
        <is>
          <t>Uncategorised</t>
        </is>
      </c>
      <c r="C148" s="10" t="inlineStr">
        <is>
          <t>Review</t>
        </is>
      </c>
      <c r="D148" s="10">
        <f>IF(COUNTIF(Category!$A:$A,E148)&gt;0,"Yes","No")</f>
        <v/>
      </c>
      <c r="E148" s="10">
        <f>LEFT(A148,80)</f>
        <v/>
      </c>
      <c r="F148" s="10">
        <f>IF(OR(B148="Uncategorised",C148="",C148="Review"),"Needs category/owner",IF(D148="Yes","Already in Category","Add to Category"))</f>
        <v/>
      </c>
    </row>
    <row r="149">
      <c r="A149" s="10" t="inlineStr">
        <is>
          <t>EL RAIS 335128740 MAO</t>
        </is>
      </c>
      <c r="B149" s="10" t="inlineStr">
        <is>
          <t>Uncategorised</t>
        </is>
      </c>
      <c r="C149" s="10" t="inlineStr">
        <is>
          <t>Review</t>
        </is>
      </c>
      <c r="D149" s="10">
        <f>IF(COUNTIF(Category!$A:$A,E149)&gt;0,"Yes","No")</f>
        <v/>
      </c>
      <c r="E149" s="10">
        <f>LEFT(A149,80)</f>
        <v/>
      </c>
      <c r="F149" s="10">
        <f>IF(OR(B149="Uncategorised",C149="",C149="Review"),"Needs category/owner",IF(D149="Yes","Already in Category","Add to Category"))</f>
        <v/>
      </c>
    </row>
    <row r="150">
      <c r="A150" s="10" t="inlineStr">
        <is>
          <t>ISA BEL MARANT - LANDMAR CENTRAL</t>
        </is>
      </c>
      <c r="B150" s="10" t="inlineStr">
        <is>
          <t>Uncategorised</t>
        </is>
      </c>
      <c r="C150" s="10" t="inlineStr">
        <is>
          <t>Review</t>
        </is>
      </c>
      <c r="D150" s="10">
        <f>IF(COUNTIF(Category!$A:$A,E150)&gt;0,"Yes","No")</f>
        <v/>
      </c>
      <c r="E150" s="10">
        <f>LEFT(A150,80)</f>
        <v/>
      </c>
      <c r="F150" s="10">
        <f>IF(OR(B150="Uncategorised",C150="",C150="Review"),"Needs category/owner",IF(D150="Yes","Already in Category","Add to Category"))</f>
        <v/>
      </c>
    </row>
    <row r="151">
      <c r="A151" s="10" t="inlineStr">
        <is>
          <t>EAST CAPE CO PESOS LOS CABOS</t>
        </is>
      </c>
      <c r="B151" s="10" t="inlineStr">
        <is>
          <t>Uncategorised</t>
        </is>
      </c>
      <c r="C151" s="10" t="inlineStr">
        <is>
          <t>Review</t>
        </is>
      </c>
      <c r="D151" s="10">
        <f>IF(COUNTIF(Category!$A:$A,E151)&gt;0,"Yes","No")</f>
        <v/>
      </c>
      <c r="E151" s="10">
        <f>LEFT(A151,80)</f>
        <v/>
      </c>
      <c r="F151" s="10">
        <f>IF(OR(B151="Uncategorised",C151="",C151="Review"),"Needs category/owner",IF(D151="Yes","Already in Category","Add to Category"))</f>
        <v/>
      </c>
    </row>
    <row r="152">
      <c r="A152" s="10" t="inlineStr">
        <is>
          <t>AMATHUS (Bath) Bath</t>
        </is>
      </c>
      <c r="B152" s="10" t="inlineStr">
        <is>
          <t>Dining out</t>
        </is>
      </c>
      <c r="C152" s="10" t="inlineStr">
        <is>
          <t>Family</t>
        </is>
      </c>
      <c r="D152" s="10">
        <f>IF(COUNTIF(Category!$A:$A,E152)&gt;0,"Yes","No")</f>
        <v/>
      </c>
      <c r="E152" s="10">
        <f>LEFT(A152,80)</f>
        <v/>
      </c>
      <c r="F152" s="10">
        <f>IF(OR(B152="Uncategorised",C152="",C152="Review"),"Needs category/owner",IF(D152="Yes","Already in Category","Add to Category"))</f>
        <v/>
      </c>
    </row>
    <row r="153">
      <c r="A153" s="10" t="inlineStr">
        <is>
          <t>SPA.P.C. NE WYORK</t>
        </is>
      </c>
      <c r="B153" s="10" t="inlineStr">
        <is>
          <t>Uncategorised</t>
        </is>
      </c>
      <c r="C153" s="10" t="inlineStr">
        <is>
          <t>Review</t>
        </is>
      </c>
      <c r="D153" s="10">
        <f>IF(COUNTIF(Category!$A:$A,E153)&gt;0,"Yes","No")</f>
        <v/>
      </c>
      <c r="E153" s="10">
        <f>LEFT(A153,80)</f>
        <v/>
      </c>
      <c r="F153" s="10">
        <f>IF(OR(B153="Uncategorised",C153="",C153="Review"),"Needs category/owner",IF(D153="Yes","Already in Category","Add to Category"))</f>
        <v/>
      </c>
    </row>
    <row r="154">
      <c r="A154" s="10" t="inlineStr">
        <is>
          <t>HARVEY NICHOLS KNIGHTSB LONDON</t>
        </is>
      </c>
      <c r="B154" s="10" t="inlineStr">
        <is>
          <t>Clothes &amp; Shoes</t>
        </is>
      </c>
      <c r="C154" s="10" t="inlineStr">
        <is>
          <t>Su</t>
        </is>
      </c>
      <c r="D154" s="10">
        <f>IF(COUNTIF(Category!$A:$A,E154)&gt;0,"Yes","No")</f>
        <v/>
      </c>
      <c r="E154" s="10">
        <f>LEFT(A154,80)</f>
        <v/>
      </c>
      <c r="F154" s="10">
        <f>IF(OR(B154="Uncategorised",C154="",C154="Review"),"Needs category/owner",IF(D154="Yes","Already in Category","Add to Category"))</f>
        <v/>
      </c>
    </row>
    <row r="155">
      <c r="A155" s="10" t="inlineStr">
        <is>
          <t>SHANGHAI TANG - HKIA EA LANTAU</t>
        </is>
      </c>
      <c r="B155" s="10" t="inlineStr">
        <is>
          <t>Clothes &amp; Shoes</t>
        </is>
      </c>
      <c r="C155" s="10" t="inlineStr">
        <is>
          <t>Su</t>
        </is>
      </c>
      <c r="D155" s="10">
        <f>IF(COUNTIF(Category!$A:$A,E155)&gt;0,"Yes","No")</f>
        <v/>
      </c>
      <c r="E155" s="10">
        <f>LEFT(A155,80)</f>
        <v/>
      </c>
      <c r="F155" s="10">
        <f>IF(OR(B155="Uncategorised",C155="",C155="Review"),"Needs category/owner",IF(D155="Yes","Already in Category","Add to Category"))</f>
        <v/>
      </c>
    </row>
    <row r="156">
      <c r="A156" s="10" t="inlineStr">
        <is>
          <t>TST* KABAW A 000763 4 3 NE WYORK</t>
        </is>
      </c>
      <c r="B156" s="10" t="inlineStr">
        <is>
          <t>Uncategorised</t>
        </is>
      </c>
      <c r="C156" s="10" t="inlineStr">
        <is>
          <t>Review</t>
        </is>
      </c>
      <c r="D156" s="10">
        <f>IF(COUNTIF(Category!$A:$A,E156)&gt;0,"Yes","No")</f>
        <v/>
      </c>
      <c r="E156" s="10">
        <f>LEFT(A156,80)</f>
        <v/>
      </c>
      <c r="F156" s="10">
        <f>IF(OR(B156="Uncategorised",C156="",C156="Review"),"Needs category/owner",IF(D156="Yes","Already in Category","Add to Category"))</f>
        <v/>
      </c>
    </row>
    <row r="157">
      <c r="A157" s="10" t="inlineStr">
        <is>
          <t>LANE CRA WFORD ( FURNITUR AD MIRALTY</t>
        </is>
      </c>
      <c r="B157" s="10" t="inlineStr">
        <is>
          <t>Housewares</t>
        </is>
      </c>
      <c r="C157" s="10" t="inlineStr">
        <is>
          <t>Family</t>
        </is>
      </c>
      <c r="D157" s="10">
        <f>IF(COUNTIF(Category!$A:$A,E157)&gt;0,"Yes","No")</f>
        <v/>
      </c>
      <c r="E157" s="10">
        <f>LEFT(A157,80)</f>
        <v/>
      </c>
      <c r="F157" s="10">
        <f>IF(OR(B157="Uncategorised",C157="",C157="Review"),"Needs category/owner",IF(D157="Yes","Already in Category","Add to Category"))</f>
        <v/>
      </c>
    </row>
    <row r="158">
      <c r="A158" s="10" t="inlineStr">
        <is>
          <t>LANE CRA WF ORD ( I F C ) CENTRAL</t>
        </is>
      </c>
      <c r="B158" s="10" t="inlineStr">
        <is>
          <t>Uncategorised</t>
        </is>
      </c>
      <c r="C158" s="10" t="inlineStr">
        <is>
          <t>Review</t>
        </is>
      </c>
      <c r="D158" s="10">
        <f>IF(COUNTIF(Category!$A:$A,E158)&gt;0,"Yes","No")</f>
        <v/>
      </c>
      <c r="E158" s="10">
        <f>LEFT(A158,80)</f>
        <v/>
      </c>
      <c r="F158" s="10">
        <f>IF(OR(B158="Uncategorised",C158="",C158="Review"),"Needs category/owner",IF(D158="Yes","Already in Category","Add to Category"))</f>
        <v/>
      </c>
    </row>
    <row r="159">
      <c r="A159" s="10" t="inlineStr">
        <is>
          <t>Rhythm Niseko Setsu meng tian jun</t>
        </is>
      </c>
      <c r="B159" s="10" t="inlineStr">
        <is>
          <t>Travel</t>
        </is>
      </c>
      <c r="C159" s="10" t="inlineStr">
        <is>
          <t>Family</t>
        </is>
      </c>
      <c r="D159" s="10">
        <f>IF(COUNTIF(Category!$A:$A,E159)&gt;0,"Yes","No")</f>
        <v/>
      </c>
      <c r="E159" s="10">
        <f>LEFT(A159,80)</f>
        <v/>
      </c>
      <c r="F159" s="10">
        <f>IF(OR(B159="Uncategorised",C159="",C159="Review"),"Needs category/owner",IF(D159="Yes","Already in Category","Add to Category"))</f>
        <v/>
      </c>
    </row>
    <row r="160">
      <c r="A160" s="10" t="inlineStr">
        <is>
          <t>SOLACE LONDON LONDON</t>
        </is>
      </c>
      <c r="B160" s="10" t="inlineStr">
        <is>
          <t>Clothes &amp; Shoes</t>
        </is>
      </c>
      <c r="C160" s="10" t="inlineStr">
        <is>
          <t>Su</t>
        </is>
      </c>
      <c r="D160" s="10">
        <f>IF(COUNTIF(Category!$A:$A,E160)&gt;0,"Yes","No")</f>
        <v/>
      </c>
      <c r="E160" s="10">
        <f>LEFT(A160,80)</f>
        <v/>
      </c>
      <c r="F160" s="10">
        <f>IF(OR(B160="Uncategorised",C160="",C160="Review"),"Needs category/owner",IF(D160="Yes","Already in Category","Add to Category"))</f>
        <v/>
      </c>
    </row>
    <row r="161">
      <c r="A161" s="10" t="inlineStr">
        <is>
          <t>ISABEL MARANT - LANDMAR CENTRAL</t>
        </is>
      </c>
      <c r="B161" s="10" t="inlineStr">
        <is>
          <t>Uncategorised</t>
        </is>
      </c>
      <c r="C161" s="10" t="inlineStr">
        <is>
          <t>Review</t>
        </is>
      </c>
      <c r="D161" s="10">
        <f>IF(COUNTIF(Category!$A:$A,E161)&gt;0,"Yes","No")</f>
        <v/>
      </c>
      <c r="E161" s="10">
        <f>LEFT(A161,80)</f>
        <v/>
      </c>
      <c r="F161" s="10">
        <f>IF(OR(B161="Uncategorised",C161="",C161="Review"),"Needs category/owner",IF(D161="Yes","Already in Category","Add to Category"))</f>
        <v/>
      </c>
    </row>
    <row r="162">
      <c r="A162" s="10" t="inlineStr">
        <is>
          <t>HOMELOFT LEWES</t>
        </is>
      </c>
      <c r="B162" s="10" t="inlineStr">
        <is>
          <t>Housewares</t>
        </is>
      </c>
      <c r="C162" s="10" t="inlineStr">
        <is>
          <t>Family</t>
        </is>
      </c>
      <c r="D162" s="10">
        <f>IF(COUNTIF(Category!$A:$A,E162)&gt;0,"Yes","No")</f>
        <v/>
      </c>
      <c r="E162" s="10">
        <f>LEFT(A162,80)</f>
        <v/>
      </c>
      <c r="F162" s="10">
        <f>IF(OR(B162="Uncategorised",C162="",C162="Review"),"Needs category/owner",IF(D162="Yes","Already in Category","Add to Category"))</f>
        <v/>
      </c>
    </row>
    <row r="163">
      <c r="A163" s="10" t="inlineStr">
        <is>
          <t>ON HONG KONG LTD. WAN CHAI</t>
        </is>
      </c>
      <c r="B163" s="10" t="inlineStr">
        <is>
          <t>Uncategorised</t>
        </is>
      </c>
      <c r="C163" s="10" t="inlineStr">
        <is>
          <t>Review</t>
        </is>
      </c>
      <c r="D163" s="10">
        <f>IF(COUNTIF(Category!$A:$A,E163)&gt;0,"Yes","No")</f>
        <v/>
      </c>
      <c r="E163" s="10">
        <f>LEFT(A163,80)</f>
        <v/>
      </c>
      <c r="F163" s="10">
        <f>IF(OR(B163="Uncategorised",C163="",C163="Review"),"Needs category/owner",IF(D163="Yes","Already in Category","Add to Category"))</f>
        <v/>
      </c>
    </row>
    <row r="164">
      <c r="A164" s="10" t="inlineStr">
        <is>
          <t>LUCALE SAI YING PUN</t>
        </is>
      </c>
      <c r="B164" s="10" t="inlineStr">
        <is>
          <t>Dining out</t>
        </is>
      </c>
      <c r="C164" s="10" t="inlineStr">
        <is>
          <t>Family</t>
        </is>
      </c>
      <c r="D164" s="10">
        <f>IF(COUNTIF(Category!$A:$A,E164)&gt;0,"Yes","No")</f>
        <v/>
      </c>
      <c r="E164" s="10">
        <f>LEFT(A164,80)</f>
        <v/>
      </c>
      <c r="F164" s="10">
        <f>IF(OR(B164="Uncategorised",C164="",C164="Review"),"Needs category/owner",IF(D164="Yes","Already in Category","Add to Category"))</f>
        <v/>
      </c>
    </row>
    <row r="165">
      <c r="A165" s="10" t="inlineStr">
        <is>
          <t>CITYSUPER STORE @ SOUTH WONG CHUK HANG</t>
        </is>
      </c>
      <c r="B165" s="10" t="inlineStr">
        <is>
          <t>Groceries</t>
        </is>
      </c>
      <c r="C165" s="10" t="inlineStr">
        <is>
          <t>Family</t>
        </is>
      </c>
      <c r="D165" s="10">
        <f>IF(COUNTIF(Category!$A:$A,E165)&gt;0,"Yes","No")</f>
        <v/>
      </c>
      <c r="E165" s="10">
        <f>LEFT(A165,80)</f>
        <v/>
      </c>
      <c r="F165" s="10">
        <f>IF(OR(B165="Uncategorised",C165="",C165="Review"),"Needs category/owner",IF(D165="Yes","Already in Category","Add to Category"))</f>
        <v/>
      </c>
    </row>
    <row r="166">
      <c r="A166" s="10" t="inlineStr">
        <is>
          <t>L u ke ' s Alpine Club meng t ian j u n</t>
        </is>
      </c>
      <c r="B166" s="10" t="inlineStr">
        <is>
          <t>Dining out</t>
        </is>
      </c>
      <c r="C166" s="10" t="inlineStr">
        <is>
          <t>Family</t>
        </is>
      </c>
      <c r="D166" s="10">
        <f>IF(COUNTIF(Category!$A:$A,E166)&gt;0,"Yes","No")</f>
        <v/>
      </c>
      <c r="E166" s="10">
        <f>LEFT(A166,80)</f>
        <v/>
      </c>
      <c r="F166" s="10">
        <f>IF(OR(B166="Uncategorised",C166="",C166="Review"),"Needs category/owner",IF(D166="Yes","Already in Category","Add to Category"))</f>
        <v/>
      </c>
    </row>
    <row r="167">
      <c r="A167" s="10" t="inlineStr">
        <is>
          <t>KANESAKA HONG KONG CENTRAL</t>
        </is>
      </c>
      <c r="B167" s="10" t="inlineStr">
        <is>
          <t>Uncategorised</t>
        </is>
      </c>
      <c r="C167" s="10" t="inlineStr">
        <is>
          <t>Review</t>
        </is>
      </c>
      <c r="D167" s="10">
        <f>IF(COUNTIF(Category!$A:$A,E167)&gt;0,"Yes","No")</f>
        <v/>
      </c>
      <c r="E167" s="10">
        <f>LEFT(A167,80)</f>
        <v/>
      </c>
      <c r="F167" s="10">
        <f>IF(OR(B167="Uncategorised",C167="",C167="Review"),"Needs category/owner",IF(D167="Yes","Already in Category","Add to Category"))</f>
        <v/>
      </c>
    </row>
    <row r="168">
      <c r="A168" s="10" t="inlineStr">
        <is>
          <t>sus hia z a bu meng t ian j u n j</t>
        </is>
      </c>
      <c r="B168" s="10" t="inlineStr">
        <is>
          <t>Uncategorised</t>
        </is>
      </c>
      <c r="C168" s="10" t="inlineStr">
        <is>
          <t>Review</t>
        </is>
      </c>
      <c r="D168" s="10">
        <f>IF(COUNTIF(Category!$A:$A,E168)&gt;0,"Yes","No")</f>
        <v/>
      </c>
      <c r="E168" s="10">
        <f>LEFT(A168,80)</f>
        <v/>
      </c>
      <c r="F168" s="10">
        <f>IF(OR(B168="Uncategorised",C168="",C168="Review"),"Needs category/owner",IF(D168="Yes","Already in Category","Add to Category"))</f>
        <v/>
      </c>
    </row>
    <row r="169">
      <c r="A169" s="10" t="inlineStr">
        <is>
          <t>JEAN MAY WAN CHAI</t>
        </is>
      </c>
      <c r="B169" s="10" t="inlineStr">
        <is>
          <t>Clothes &amp; Shoes</t>
        </is>
      </c>
      <c r="C169" s="10" t="inlineStr">
        <is>
          <t>Su</t>
        </is>
      </c>
      <c r="D169" s="10">
        <f>IF(COUNTIF(Category!$A:$A,E169)&gt;0,"Yes","No")</f>
        <v/>
      </c>
      <c r="E169" s="10">
        <f>LEFT(A169,80)</f>
        <v/>
      </c>
      <c r="F169" s="10">
        <f>IF(OR(B169="Uncategorised",C169="",C169="Review"),"Needs category/owner",IF(D169="Yes","Already in Category","Add to Category"))</f>
        <v/>
      </c>
    </row>
    <row r="170">
      <c r="A170" s="10" t="inlineStr">
        <is>
          <t>( JOO ) HYEONDAI BAIKHOA JEO SEOUL</t>
        </is>
      </c>
      <c r="B170" s="10" t="inlineStr">
        <is>
          <t>Dining out</t>
        </is>
      </c>
      <c r="C170" s="10" t="inlineStr">
        <is>
          <t>Family</t>
        </is>
      </c>
      <c r="D170" s="10">
        <f>IF(COUNTIF(Category!$A:$A,E170)&gt;0,"Yes","No")</f>
        <v/>
      </c>
      <c r="E170" s="10">
        <f>LEFT(A170,80)</f>
        <v/>
      </c>
      <c r="F170" s="10">
        <f>IF(OR(B170="Uncategorised",C170="",C170="Review"),"Needs category/owner",IF(D170="Yes","Already in Category","Add to Category"))</f>
        <v/>
      </c>
    </row>
    <row r="171">
      <c r="A171" s="10" t="inlineStr">
        <is>
          <t>ASIA MILES LIMITED HONG KONG</t>
        </is>
      </c>
      <c r="B171" s="10" t="inlineStr">
        <is>
          <t>Airfare</t>
        </is>
      </c>
      <c r="C171" s="10" t="inlineStr">
        <is>
          <t>Family</t>
        </is>
      </c>
      <c r="D171" s="10">
        <f>IF(COUNTIF(Category!$A:$A,E171)&gt;0,"Yes","No")</f>
        <v/>
      </c>
      <c r="E171" s="10">
        <f>LEFT(A171,80)</f>
        <v/>
      </c>
      <c r="F171" s="10">
        <f>IF(OR(B171="Uncategorised",C171="",C171="Review"),"Needs category/owner",IF(D171="Yes","Already in Category","Add to Category"))</f>
        <v/>
      </c>
    </row>
    <row r="172">
      <c r="A172" s="10" t="inlineStr">
        <is>
          <t>RAG &amp; BONE HOLDINGS , LL NE WYORK</t>
        </is>
      </c>
      <c r="B172" s="10" t="inlineStr">
        <is>
          <t>Clothes &amp; Shoes</t>
        </is>
      </c>
      <c r="C172" s="10" t="inlineStr">
        <is>
          <t>Su</t>
        </is>
      </c>
      <c r="D172" s="10">
        <f>IF(COUNTIF(Category!$A:$A,E172)&gt;0,"Yes","No")</f>
        <v/>
      </c>
      <c r="E172" s="10">
        <f>LEFT(A172,80)</f>
        <v/>
      </c>
      <c r="F172" s="10">
        <f>IF(OR(B172="Uncategorised",C172="",C172="Review"),"Needs category/owner",IF(D172="Yes","Already in Category","Add to Category"))</f>
        <v/>
      </c>
    </row>
    <row r="173">
      <c r="A173" s="10" t="inlineStr">
        <is>
          <t>BENNELONG SYDNEY</t>
        </is>
      </c>
      <c r="B173" s="10" t="inlineStr">
        <is>
          <t>Uncategorised</t>
        </is>
      </c>
      <c r="C173" s="10" t="inlineStr">
        <is>
          <t>Review</t>
        </is>
      </c>
      <c r="D173" s="10">
        <f>IF(COUNTIF(Category!$A:$A,E173)&gt;0,"Yes","No")</f>
        <v/>
      </c>
      <c r="E173" s="10">
        <f>LEFT(A173,80)</f>
        <v/>
      </c>
      <c r="F173" s="10">
        <f>IF(OR(B173="Uncategorised",C173="",C173="Review"),"Needs category/owner",IF(D173="Yes","Already in Category","Add to Category"))</f>
        <v/>
      </c>
    </row>
    <row r="174">
      <c r="A174" s="10" t="inlineStr">
        <is>
          <t>45R CENTRAL</t>
        </is>
      </c>
      <c r="B174" s="10" t="inlineStr">
        <is>
          <t>Clothes &amp; Shoes</t>
        </is>
      </c>
      <c r="C174" s="10" t="inlineStr">
        <is>
          <t>Su</t>
        </is>
      </c>
      <c r="D174" s="10">
        <f>IF(COUNTIF(Category!$A:$A,E174)&gt;0,"Yes","No")</f>
        <v/>
      </c>
      <c r="E174" s="10">
        <f>LEFT(A174,80)</f>
        <v/>
      </c>
      <c r="F174" s="10">
        <f>IF(OR(B174="Uncategorised",C174="",C174="Review"),"Needs category/owner",IF(D174="Yes","Already in Category","Add to Category"))</f>
        <v/>
      </c>
    </row>
    <row r="175">
      <c r="A175" s="10" t="inlineStr">
        <is>
          <t>NOBU LONDON LONDON</t>
        </is>
      </c>
      <c r="B175" s="10" t="inlineStr">
        <is>
          <t>Uncategorised</t>
        </is>
      </c>
      <c r="C175" s="10" t="inlineStr">
        <is>
          <t>Review</t>
        </is>
      </c>
      <c r="D175" s="10">
        <f>IF(COUNTIF(Category!$A:$A,E175)&gt;0,"Yes","No")</f>
        <v/>
      </c>
      <c r="E175" s="10">
        <f>LEFT(A175,80)</f>
        <v/>
      </c>
      <c r="F175" s="10">
        <f>IF(OR(B175="Uncategorised",C175="",C175="Review"),"Needs category/owner",IF(D175="Yes","Already in Category","Add to Category"))</f>
        <v/>
      </c>
    </row>
    <row r="176">
      <c r="A176" s="10" t="inlineStr">
        <is>
          <t>ST REGIS MACAO - HOTEL MACAU</t>
        </is>
      </c>
      <c r="B176" s="10" t="inlineStr">
        <is>
          <t>Uncategorised</t>
        </is>
      </c>
      <c r="C176" s="10" t="inlineStr">
        <is>
          <t>Review</t>
        </is>
      </c>
      <c r="D176" s="10">
        <f>IF(COUNTIF(Category!$A:$A,E176)&gt;0,"Yes","No")</f>
        <v/>
      </c>
      <c r="E176" s="10">
        <f>LEFT(A176,80)</f>
        <v/>
      </c>
      <c r="F176" s="10">
        <f>IF(OR(B176="Uncategorised",C176="",C176="Review"),"Needs category/owner",IF(D176="Yes","Already in Category","Add to Category"))</f>
        <v/>
      </c>
    </row>
    <row r="177">
      <c r="A177" s="10" t="inlineStr">
        <is>
          <t>SP SEOUL RECIPE HK TSEUN WAN</t>
        </is>
      </c>
      <c r="B177" s="10" t="inlineStr">
        <is>
          <t>Dining out</t>
        </is>
      </c>
      <c r="C177" s="10" t="inlineStr">
        <is>
          <t>Family</t>
        </is>
      </c>
      <c r="D177" s="10">
        <f>IF(COUNTIF(Category!$A:$A,E177)&gt;0,"Yes","No")</f>
        <v/>
      </c>
      <c r="E177" s="10">
        <f>LEFT(A177,80)</f>
        <v/>
      </c>
      <c r="F177" s="10">
        <f>IF(OR(B177="Uncategorised",C177="",C177="Review"),"Needs category/owner",IF(D177="Yes","Already in Category","Add to Category"))</f>
        <v/>
      </c>
    </row>
    <row r="178">
      <c r="A178" s="10" t="inlineStr">
        <is>
          <t>GLOBALE*/ZADIGVOLTAIRE LONDON</t>
        </is>
      </c>
      <c r="B178" s="10" t="inlineStr">
        <is>
          <t>Clothes &amp; Shoes</t>
        </is>
      </c>
      <c r="C178" s="10" t="inlineStr">
        <is>
          <t>Su</t>
        </is>
      </c>
      <c r="D178" s="10">
        <f>IF(COUNTIF(Category!$A:$A,E178)&gt;0,"Yes","No")</f>
        <v/>
      </c>
      <c r="E178" s="10">
        <f>LEFT(A178,80)</f>
        <v/>
      </c>
      <c r="F178" s="10">
        <f>IF(OR(B178="Uncategorised",C178="",C178="Review"),"Needs category/owner",IF(D178="Yes","Already in Category","Add to Category"))</f>
        <v/>
      </c>
    </row>
    <row r="179">
      <c r="A179" s="10" t="inlineStr">
        <is>
          <t>NisekoBion meng tian jun</t>
        </is>
      </c>
      <c r="B179" s="10" t="inlineStr">
        <is>
          <t>Uncategorised</t>
        </is>
      </c>
      <c r="C179" s="10" t="inlineStr">
        <is>
          <t>Review</t>
        </is>
      </c>
      <c r="D179" s="10">
        <f>IF(COUNTIF(Category!$A:$A,E179)&gt;0,"Yes","No")</f>
        <v/>
      </c>
      <c r="E179" s="10">
        <f>LEFT(A179,80)</f>
        <v/>
      </c>
      <c r="F179" s="10">
        <f>IF(OR(B179="Uncategorised",C179="",C179="Review"),"Needs category/owner",IF(D179="Yes","Already in Category","Add to Category"))</f>
        <v/>
      </c>
    </row>
    <row r="180">
      <c r="A180" s="10" t="inlineStr">
        <is>
          <t>IKEA CAUSEWAY BAY</t>
        </is>
      </c>
      <c r="B180" s="10" t="inlineStr">
        <is>
          <t>Housewares</t>
        </is>
      </c>
      <c r="C180" s="10" t="inlineStr">
        <is>
          <t>Family</t>
        </is>
      </c>
      <c r="D180" s="10">
        <f>IF(COUNTIF(Category!$A:$A,E180)&gt;0,"Yes","No")</f>
        <v/>
      </c>
      <c r="E180" s="10">
        <f>LEFT(A180,80)</f>
        <v/>
      </c>
      <c r="F180" s="10">
        <f>IF(OR(B180="Uncategorised",C180="",C180="Review"),"Needs category/owner",IF(D180="Yes","Already in Category","Add to Category"))</f>
        <v/>
      </c>
    </row>
    <row r="181">
      <c r="A181" s="10" t="inlineStr">
        <is>
          <t>SP HOMELESS.HK WONG CHUK HANG</t>
        </is>
      </c>
      <c r="B181" s="10" t="inlineStr">
        <is>
          <t>Housewares</t>
        </is>
      </c>
      <c r="C181" s="10" t="inlineStr">
        <is>
          <t>Family</t>
        </is>
      </c>
      <c r="D181" s="10">
        <f>IF(COUNTIF(Category!$A:$A,E181)&gt;0,"Yes","No")</f>
        <v/>
      </c>
      <c r="E181" s="10">
        <f>LEFT(A181,80)</f>
        <v/>
      </c>
      <c r="F181" s="10">
        <f>IF(OR(B181="Uncategorised",C181="",C181="Review"),"Needs category/owner",IF(D181="Yes","Already in Category","Add to Category"))</f>
        <v/>
      </c>
    </row>
    <row r="182">
      <c r="A182" s="10" t="inlineStr">
        <is>
          <t>O.N.SKAPOK AD MIRALTY</t>
        </is>
      </c>
      <c r="B182" s="10" t="inlineStr">
        <is>
          <t>Uncategorised</t>
        </is>
      </c>
      <c r="C182" s="10" t="inlineStr">
        <is>
          <t>Review</t>
        </is>
      </c>
      <c r="D182" s="10">
        <f>IF(COUNTIF(Category!$A:$A,E182)&gt;0,"Yes","No")</f>
        <v/>
      </c>
      <c r="E182" s="10">
        <f>LEFT(A182,80)</f>
        <v/>
      </c>
      <c r="F182" s="10">
        <f>IF(OR(B182="Uncategorised",C182="",C182="Review"),"Needs category/owner",IF(D182="Yes","Already in Category","Add to Category"))</f>
        <v/>
      </c>
    </row>
    <row r="183">
      <c r="A183" s="10" t="inlineStr">
        <is>
          <t>NISEKOVILLA HOKKAIDO</t>
        </is>
      </c>
      <c r="B183" s="10" t="inlineStr">
        <is>
          <t>Travel</t>
        </is>
      </c>
      <c r="C183" s="10" t="inlineStr">
        <is>
          <t>Family</t>
        </is>
      </c>
      <c r="D183" s="10">
        <f>IF(COUNTIF(Category!$A:$A,E183)&gt;0,"Yes","No")</f>
        <v/>
      </c>
      <c r="E183" s="10">
        <f>LEFT(A183,80)</f>
        <v/>
      </c>
      <c r="F183" s="10">
        <f>IF(OR(B183="Uncategorised",C183="",C183="Review"),"Needs category/owner",IF(D183="Yes","Already in Category","Add to Category"))</f>
        <v/>
      </c>
    </row>
    <row r="184">
      <c r="A184" s="10" t="inlineStr">
        <is>
          <t>PEKING GARDEN - ALEXAND CENTRAL</t>
        </is>
      </c>
      <c r="B184" s="10" t="inlineStr">
        <is>
          <t>Dining out</t>
        </is>
      </c>
      <c r="C184" s="10" t="inlineStr">
        <is>
          <t>Family</t>
        </is>
      </c>
      <c r="D184" s="10">
        <f>IF(COUNTIF(Category!$A:$A,E184)&gt;0,"Yes","No")</f>
        <v/>
      </c>
      <c r="E184" s="10">
        <f>LEFT(A184,80)</f>
        <v/>
      </c>
      <c r="F184" s="10">
        <f>IF(OR(B184="Uncategorised",C184="",C184="Review"),"Needs category/owner",IF(D184="Yes","Already in Category","Add to Category"))</f>
        <v/>
      </c>
    </row>
    <row r="185">
      <c r="A185" s="10" t="inlineStr">
        <is>
          <t>SIXT PORTUGAL RAC_307_M PAREDES</t>
        </is>
      </c>
      <c r="B185" s="10" t="inlineStr">
        <is>
          <t>Transport</t>
        </is>
      </c>
      <c r="C185" s="10" t="inlineStr">
        <is>
          <t>Family</t>
        </is>
      </c>
      <c r="D185" s="10">
        <f>IF(COUNTIF(Category!$A:$A,E185)&gt;0,"Yes","No")</f>
        <v/>
      </c>
      <c r="E185" s="10">
        <f>LEFT(A185,80)</f>
        <v/>
      </c>
      <c r="F185" s="10">
        <f>IF(OR(B185="Uncategorised",C185="",C185="Review"),"Needs category/owner",IF(D185="Yes","Already in Category","Add to Category"))</f>
        <v/>
      </c>
    </row>
    <row r="186">
      <c r="A186" s="10" t="inlineStr">
        <is>
          <t>PSTNISEKO HOKKAIDO</t>
        </is>
      </c>
      <c r="B186" s="10" t="inlineStr">
        <is>
          <t>Travel</t>
        </is>
      </c>
      <c r="C186" s="10" t="inlineStr">
        <is>
          <t>Family</t>
        </is>
      </c>
      <c r="D186" s="10">
        <f>IF(COUNTIF(Category!$A:$A,E186)&gt;0,"Yes","No")</f>
        <v/>
      </c>
      <c r="E186" s="10">
        <f>LEFT(A186,80)</f>
        <v/>
      </c>
      <c r="F186" s="10">
        <f>IF(OR(B186="Uncategorised",C186="",C186="Review"),"Needs category/owner",IF(D186="Yes","Already in Category","Add to Category"))</f>
        <v/>
      </c>
    </row>
    <row r="187">
      <c r="A187" s="10" t="inlineStr">
        <is>
          <t>WRH LK LIS STA JOANA LISBOA</t>
        </is>
      </c>
      <c r="B187" s="10" t="inlineStr">
        <is>
          <t>Uncategorised</t>
        </is>
      </c>
      <c r="C187" s="10" t="inlineStr">
        <is>
          <t>Review</t>
        </is>
      </c>
      <c r="D187" s="10">
        <f>IF(COUNTIF(Category!$A:$A,E187)&gt;0,"Yes","No")</f>
        <v/>
      </c>
      <c r="E187" s="10">
        <f>LEFT(A187,80)</f>
        <v/>
      </c>
      <c r="F187" s="10">
        <f>IF(OR(B187="Uncategorised",C187="",C187="Review"),"Needs category/owner",IF(D187="Yes","Already in Category","Add to Category"))</f>
        <v/>
      </c>
    </row>
    <row r="188">
      <c r="A188" s="10" t="inlineStr">
        <is>
          <t>SP AWAKE-MODE LONDON</t>
        </is>
      </c>
      <c r="B188" s="10" t="inlineStr">
        <is>
          <t>Uncategorised</t>
        </is>
      </c>
      <c r="C188" s="10" t="inlineStr">
        <is>
          <t>Review</t>
        </is>
      </c>
      <c r="D188" s="10">
        <f>IF(COUNTIF(Category!$A:$A,E188)&gt;0,"Yes","No")</f>
        <v/>
      </c>
      <c r="E188" s="10">
        <f>LEFT(A188,80)</f>
        <v/>
      </c>
      <c r="F188" s="10">
        <f>IF(OR(B188="Uncategorised",C188="",C188="Review"),"Needs category/owner",IF(D188="Yes","Already in Category","Add to Category"))</f>
        <v/>
      </c>
    </row>
    <row r="189">
      <c r="A189" s="10" t="inlineStr">
        <is>
          <t>SP AMONG EQUALS CLOVELLY</t>
        </is>
      </c>
      <c r="B189" s="10" t="inlineStr">
        <is>
          <t>Uncategorised</t>
        </is>
      </c>
      <c r="C189" s="10" t="inlineStr">
        <is>
          <t>Review</t>
        </is>
      </c>
      <c r="D189" s="10">
        <f>IF(COUNTIF(Category!$A:$A,E189)&gt;0,"Yes","No")</f>
        <v/>
      </c>
      <c r="E189" s="10">
        <f>LEFT(A189,80)</f>
        <v/>
      </c>
      <c r="F189" s="10">
        <f>IF(OR(B189="Uncategorised",C189="",C189="Review"),"Needs category/owner",IF(D189="Yes","Already in Category","Add to Category"))</f>
        <v/>
      </c>
    </row>
    <row r="190">
      <c r="A190" s="10" t="inlineStr">
        <is>
          <t>CATHAY PACIFIC AIR WAYS HONG KONG</t>
        </is>
      </c>
      <c r="B190" s="10" t="inlineStr">
        <is>
          <t>Airfare</t>
        </is>
      </c>
      <c r="C190" s="10" t="inlineStr">
        <is>
          <t>Family</t>
        </is>
      </c>
      <c r="D190" s="10">
        <f>IF(COUNTIF(Category!$A:$A,E190)&gt;0,"Yes","No")</f>
        <v/>
      </c>
      <c r="E190" s="10">
        <f>LEFT(A190,80)</f>
        <v/>
      </c>
      <c r="F190" s="10">
        <f>IF(OR(B190="Uncategorised",C190="",C190="Review"),"Needs category/owner",IF(D190="Yes","Already in Category","Add to Category"))</f>
        <v/>
      </c>
    </row>
    <row r="191">
      <c r="A191" s="10" t="inlineStr">
        <is>
          <t>FU RONG--CENTRAL CENTRAL</t>
        </is>
      </c>
      <c r="B191" s="10" t="inlineStr">
        <is>
          <t>Dining out</t>
        </is>
      </c>
      <c r="C191" s="10" t="inlineStr">
        <is>
          <t>Family</t>
        </is>
      </c>
      <c r="D191" s="10">
        <f>IF(COUNTIF(Category!$A:$A,E191)&gt;0,"Yes","No")</f>
        <v/>
      </c>
      <c r="E191" s="10">
        <f>LEFT(A191,80)</f>
        <v/>
      </c>
      <c r="F191" s="10">
        <f>IF(OR(B191="Uncategorised",C191="",C191="Review"),"Needs category/owner",IF(D191="Yes","Already in Category","Add to Category"))</f>
        <v/>
      </c>
    </row>
    <row r="192">
      <c r="A192" s="10" t="inlineStr">
        <is>
          <t>THE PENINSULA - SPRING TSIM SHA TSUI</t>
        </is>
      </c>
      <c r="B192" s="10" t="inlineStr">
        <is>
          <t>Hotel</t>
        </is>
      </c>
      <c r="C192" s="10" t="inlineStr">
        <is>
          <t>Family</t>
        </is>
      </c>
      <c r="D192" s="10">
        <f>IF(COUNTIF(Category!$A:$A,E192)&gt;0,"Yes","No")</f>
        <v/>
      </c>
      <c r="E192" s="10">
        <f>LEFT(A192,80)</f>
        <v/>
      </c>
      <c r="F192" s="10">
        <f>IF(OR(B192="Uncategorised",C192="",C192="Review"),"Needs category/owner",IF(D192="Yes","Already in Category","Add to Category"))</f>
        <v/>
      </c>
    </row>
    <row r="193">
      <c r="A193" s="10" t="inlineStr">
        <is>
          <t>NASU MUKUNONE TOCHIGI</t>
        </is>
      </c>
      <c r="B193" s="10" t="inlineStr">
        <is>
          <t>Uncategorised</t>
        </is>
      </c>
      <c r="C193" s="10" t="inlineStr">
        <is>
          <t>Review</t>
        </is>
      </c>
      <c r="D193" s="10">
        <f>IF(COUNTIF(Category!$A:$A,E193)&gt;0,"Yes","No")</f>
        <v/>
      </c>
      <c r="E193" s="10">
        <f>LEFT(A193,80)</f>
        <v/>
      </c>
      <c r="F193" s="10">
        <f>IF(OR(B193="Uncategorised",C193="",C193="Review"),"Needs category/owner",IF(D193="Yes","Already in Category","Add to Category"))</f>
        <v/>
      </c>
    </row>
    <row r="194">
      <c r="A194" s="10" t="inlineStr">
        <is>
          <t>MOBILE NEWT SOMERSET</t>
        </is>
      </c>
      <c r="B194" s="10" t="inlineStr">
        <is>
          <t>Transport</t>
        </is>
      </c>
      <c r="C194" s="10" t="inlineStr">
        <is>
          <t>Family</t>
        </is>
      </c>
      <c r="D194" s="10">
        <f>IF(COUNTIF(Category!$A:$A,E194)&gt;0,"Yes","No")</f>
        <v/>
      </c>
      <c r="E194" s="10">
        <f>LEFT(A194,80)</f>
        <v/>
      </c>
      <c r="F194" s="10">
        <f>IF(OR(B194="Uncategorised",C194="",C194="Review"),"Needs category/owner",IF(D194="Yes","Already in Category","Add to Category"))</f>
        <v/>
      </c>
    </row>
    <row r="195">
      <c r="A195" s="10" t="inlineStr">
        <is>
          <t>SP IPPODOTEAGLO BAL KYOUTOSHINAKAGY</t>
        </is>
      </c>
      <c r="B195" s="10" t="inlineStr">
        <is>
          <t>Food</t>
        </is>
      </c>
      <c r="C195" s="10" t="inlineStr">
        <is>
          <t>Family</t>
        </is>
      </c>
      <c r="D195" s="10">
        <f>IF(COUNTIF(Category!$A:$A,E195)&gt;0,"Yes","No")</f>
        <v/>
      </c>
      <c r="E195" s="10">
        <f>LEFT(A195,80)</f>
        <v/>
      </c>
      <c r="F195" s="10">
        <f>IF(OR(B195="Uncategorised",C195="",C195="Review"),"Needs category/owner",IF(D195="Yes","Already in Category","Add to Category"))</f>
        <v/>
      </c>
    </row>
    <row r="196">
      <c r="A196" s="10" t="inlineStr">
        <is>
          <t>PENINSULA HK - F&amp;BTSIMSHATSUI</t>
        </is>
      </c>
      <c r="B196" s="10" t="inlineStr">
        <is>
          <t>Hotel</t>
        </is>
      </c>
      <c r="C196" s="10" t="inlineStr">
        <is>
          <t>Family</t>
        </is>
      </c>
      <c r="D196" s="10">
        <f>IF(COUNTIF(Category!$A:$A,E196)&gt;0,"Yes","No")</f>
        <v/>
      </c>
      <c r="E196" s="10">
        <f>LEFT(A196,80)</f>
        <v/>
      </c>
      <c r="F196" s="10">
        <f>IF(OR(B196="Uncategorised",C196="",C196="Review"),"Needs category/owner",IF(D196="Yes","Already in Category","Add to Category"))</f>
        <v/>
      </c>
    </row>
    <row r="197">
      <c r="A197" s="10" t="inlineStr">
        <is>
          <t>CHEZ LUCETTE ET FILS BONIFACIO</t>
        </is>
      </c>
      <c r="B197" s="10" t="inlineStr">
        <is>
          <t>Uncategorised</t>
        </is>
      </c>
      <c r="C197" s="10" t="inlineStr">
        <is>
          <t>Review</t>
        </is>
      </c>
      <c r="D197" s="10">
        <f>IF(COUNTIF(Category!$A:$A,E197)&gt;0,"Yes","No")</f>
        <v/>
      </c>
      <c r="E197" s="10">
        <f>LEFT(A197,80)</f>
        <v/>
      </c>
      <c r="F197" s="10">
        <f>IF(OR(B197="Uncategorised",C197="",C197="Review"),"Needs category/owner",IF(D197="Yes","Already in Category","Add to Category"))</f>
        <v/>
      </c>
    </row>
    <row r="198">
      <c r="A198" s="10" t="inlineStr">
        <is>
          <t>LOUISE CENTRAL</t>
        </is>
      </c>
      <c r="B198" s="10" t="inlineStr">
        <is>
          <t>Uncategorised</t>
        </is>
      </c>
      <c r="C198" s="10" t="inlineStr">
        <is>
          <t>Review</t>
        </is>
      </c>
      <c r="D198" s="10">
        <f>IF(COUNTIF(Category!$A:$A,E198)&gt;0,"Yes","No")</f>
        <v/>
      </c>
      <c r="E198" s="10">
        <f>LEFT(A198,80)</f>
        <v/>
      </c>
      <c r="F198" s="10">
        <f>IF(OR(B198="Uncategorised",C198="",C198="Review"),"Needs category/owner",IF(D198="Yes","Already in Category","Add to Category"))</f>
        <v/>
      </c>
    </row>
    <row r="199">
      <c r="A199" s="10" t="inlineStr">
        <is>
          <t>SP IPPODOTEAGLOBAL KYOUTOSHINAKAGY</t>
        </is>
      </c>
      <c r="B199" s="10" t="inlineStr">
        <is>
          <t>Food</t>
        </is>
      </c>
      <c r="C199" s="10" t="inlineStr">
        <is>
          <t>Family</t>
        </is>
      </c>
      <c r="D199" s="10">
        <f>IF(COUNTIF(Category!$A:$A,E199)&gt;0,"Yes","No")</f>
        <v/>
      </c>
      <c r="E199" s="10">
        <f>LEFT(A199,80)</f>
        <v/>
      </c>
      <c r="F199" s="10">
        <f>IF(OR(B199="Uncategorised",C199="",C199="Review"),"Needs category/owner",IF(D199="Yes","Already in Category","Add to Category"))</f>
        <v/>
      </c>
    </row>
    <row r="200">
      <c r="A200" s="10" t="inlineStr">
        <is>
          <t>COS BAR BEVERLY HILLS</t>
        </is>
      </c>
      <c r="B200" s="10" t="inlineStr">
        <is>
          <t>Uncategorised</t>
        </is>
      </c>
      <c r="C200" s="10" t="inlineStr">
        <is>
          <t>Review</t>
        </is>
      </c>
      <c r="D200" s="10">
        <f>IF(COUNTIF(Category!$A:$A,E200)&gt;0,"Yes","No")</f>
        <v/>
      </c>
      <c r="E200" s="10">
        <f>LEFT(A200,80)</f>
        <v/>
      </c>
      <c r="F200" s="10">
        <f>IF(OR(B200="Uncategorised",C200="",C200="Review"),"Needs category/owner",IF(D200="Yes","Already in Category","Add to Category"))</f>
        <v/>
      </c>
    </row>
    <row r="201">
      <c r="A201" s="10" t="inlineStr">
        <is>
          <t>APPLE.COM/HK HONG KONG</t>
        </is>
      </c>
      <c r="B201" s="10" t="inlineStr">
        <is>
          <t>Electronics</t>
        </is>
      </c>
      <c r="C201" s="10" t="inlineStr">
        <is>
          <t>Family</t>
        </is>
      </c>
      <c r="D201" s="10">
        <f>IF(COUNTIF(Category!$A:$A,E201)&gt;0,"Yes","No")</f>
        <v/>
      </c>
      <c r="E201" s="10">
        <f>LEFT(A201,80)</f>
        <v/>
      </c>
      <c r="F201" s="10">
        <f>IF(OR(B201="Uncategorised",C201="",C201="Review"),"Needs category/owner",IF(D201="Yes","Already in Category","Add to Category"))</f>
        <v/>
      </c>
    </row>
    <row r="202">
      <c r="A202" s="10" t="inlineStr">
        <is>
          <t>CITYLINE (HONG KONG) LT KWUN TONG</t>
        </is>
      </c>
      <c r="B202" s="10" t="inlineStr">
        <is>
          <t>Entertainment</t>
        </is>
      </c>
      <c r="C202" s="10" t="inlineStr">
        <is>
          <t>Family</t>
        </is>
      </c>
      <c r="D202" s="10">
        <f>IF(COUNTIF(Category!$A:$A,E202)&gt;0,"Yes","No")</f>
        <v/>
      </c>
      <c r="E202" s="10">
        <f>LEFT(A202,80)</f>
        <v/>
      </c>
      <c r="F202" s="10">
        <f>IF(OR(B202="Uncategorised",C202="",C202="Review"),"Needs category/owner",IF(D202="Yes","Already in Category","Add to Category"))</f>
        <v/>
      </c>
    </row>
    <row r="203">
      <c r="A203" s="10" t="inlineStr">
        <is>
          <t>SP PAIGE LLC CULVER CITY</t>
        </is>
      </c>
      <c r="B203" s="10" t="inlineStr">
        <is>
          <t>Uncategorised</t>
        </is>
      </c>
      <c r="C203" s="10" t="inlineStr">
        <is>
          <t>Review</t>
        </is>
      </c>
      <c r="D203" s="10">
        <f>IF(COUNTIF(Category!$A:$A,E203)&gt;0,"Yes","No")</f>
        <v/>
      </c>
      <c r="E203" s="10">
        <f>LEFT(A203,80)</f>
        <v/>
      </c>
      <c r="F203" s="10">
        <f>IF(OR(B203="Uncategorised",C203="",C203="Review"),"Needs category/owner",IF(D203="Yes","Already in Category","Add to Category"))</f>
        <v/>
      </c>
    </row>
    <row r="204">
      <c r="A204" s="10" t="inlineStr">
        <is>
          <t>KAMORI WEB TICKET SHOP HOKKAIDO</t>
        </is>
      </c>
      <c r="B204" s="10" t="inlineStr">
        <is>
          <t>Travel</t>
        </is>
      </c>
      <c r="C204" s="10" t="inlineStr">
        <is>
          <t>Family</t>
        </is>
      </c>
      <c r="D204" s="10">
        <f>IF(COUNTIF(Category!$A:$A,E204)&gt;0,"Yes","No")</f>
        <v/>
      </c>
      <c r="E204" s="10">
        <f>LEFT(A204,80)</f>
        <v/>
      </c>
      <c r="F204" s="10">
        <f>IF(OR(B204="Uncategorised",C204="",C204="Review"),"Needs category/owner",IF(D204="Yes","Already in Category","Add to Category"))</f>
        <v/>
      </c>
    </row>
    <row r="205">
      <c r="A205" s="10" t="inlineStr">
        <is>
          <t>COHIB ACIGAR DIVAN HONG KONG</t>
        </is>
      </c>
      <c r="B205" s="10" t="inlineStr">
        <is>
          <t>Uncategorised</t>
        </is>
      </c>
      <c r="C205" s="10" t="inlineStr">
        <is>
          <t>Review</t>
        </is>
      </c>
      <c r="D205" s="10">
        <f>IF(COUNTIF(Category!$A:$A,E205)&gt;0,"Yes","No")</f>
        <v/>
      </c>
      <c r="E205" s="10">
        <f>LEFT(A205,80)</f>
        <v/>
      </c>
      <c r="F205" s="10">
        <f>IF(OR(B205="Uncategorised",C205="",C205="Review"),"Needs category/owner",IF(D205="Yes","Already in Category","Add to Category"))</f>
        <v/>
      </c>
    </row>
    <row r="206">
      <c r="A206" s="10" t="inlineStr">
        <is>
          <t>WWW.HYUNDAI.COM SINGAPORE</t>
        </is>
      </c>
      <c r="B206" s="10" t="inlineStr">
        <is>
          <t>Uncategorised</t>
        </is>
      </c>
      <c r="C206" s="10" t="inlineStr">
        <is>
          <t>Review</t>
        </is>
      </c>
      <c r="D206" s="10">
        <f>IF(COUNTIF(Category!$A:$A,E206)&gt;0,"Yes","No")</f>
        <v/>
      </c>
      <c r="E206" s="10">
        <f>LEFT(A206,80)</f>
        <v/>
      </c>
      <c r="F206" s="10">
        <f>IF(OR(B206="Uncategorised",C206="",C206="Review"),"Needs category/owner",IF(D206="Yes","Already in Category","Add to Category"))</f>
        <v/>
      </c>
    </row>
    <row r="207">
      <c r="A207" s="10" t="inlineStr">
        <is>
          <t>GLO BALE LONDON</t>
        </is>
      </c>
      <c r="B207" s="10" t="inlineStr">
        <is>
          <t>Uncategorised</t>
        </is>
      </c>
      <c r="C207" s="10" t="inlineStr">
        <is>
          <t>Review</t>
        </is>
      </c>
      <c r="D207" s="10">
        <f>IF(COUNTIF(Category!$A:$A,E207)&gt;0,"Yes","No")</f>
        <v/>
      </c>
      <c r="E207" s="10">
        <f>LEFT(A207,80)</f>
        <v/>
      </c>
      <c r="F207" s="10">
        <f>IF(OR(B207="Uncategorised",C207="",C207="Review"),"Needs category/owner",IF(D207="Yes","Already in Category","Add to Category"))</f>
        <v/>
      </c>
    </row>
    <row r="208">
      <c r="A208" s="10" t="inlineStr">
        <is>
          <t>SP BAR TI MES STORE BUNKYOUKU</t>
        </is>
      </c>
      <c r="B208" s="10" t="inlineStr">
        <is>
          <t>Uncategorised</t>
        </is>
      </c>
      <c r="C208" s="10" t="inlineStr">
        <is>
          <t>Review</t>
        </is>
      </c>
      <c r="D208" s="10">
        <f>IF(COUNTIF(Category!$A:$A,E208)&gt;0,"Yes","No")</f>
        <v/>
      </c>
      <c r="E208" s="10">
        <f>LEFT(A208,80)</f>
        <v/>
      </c>
      <c r="F208" s="10">
        <f>IF(OR(B208="Uncategorised",C208="",C208="Review"),"Needs category/owner",IF(D208="Yes","Already in Category","Add to Category"))</f>
        <v/>
      </c>
    </row>
    <row r="209">
      <c r="A209" s="10" t="inlineStr">
        <is>
          <t>FDR.C.SANCHES II LIS BOA</t>
        </is>
      </c>
      <c r="B209" s="10" t="inlineStr">
        <is>
          <t>Uncategorised</t>
        </is>
      </c>
      <c r="C209" s="10" t="inlineStr">
        <is>
          <t>Review</t>
        </is>
      </c>
      <c r="D209" s="10">
        <f>IF(COUNTIF(Category!$A:$A,E209)&gt;0,"Yes","No")</f>
        <v/>
      </c>
      <c r="E209" s="10">
        <f>LEFT(A209,80)</f>
        <v/>
      </c>
      <c r="F209" s="10">
        <f>IF(OR(B209="Uncategorised",C209="",C209="Review"),"Needs category/owner",IF(D209="Yes","Already in Category","Add to Category"))</f>
        <v/>
      </c>
    </row>
    <row r="210">
      <c r="A210" s="10" t="inlineStr">
        <is>
          <t>NisekoBion meng tian jun j</t>
        </is>
      </c>
      <c r="B210" s="10" t="inlineStr">
        <is>
          <t>Uncategorised</t>
        </is>
      </c>
      <c r="C210" s="10" t="inlineStr">
        <is>
          <t>Review</t>
        </is>
      </c>
      <c r="D210" s="10">
        <f>IF(COUNTIF(Category!$A:$A,E210)&gt;0,"Yes","No")</f>
        <v/>
      </c>
      <c r="E210" s="10">
        <f>LEFT(A210,80)</f>
        <v/>
      </c>
      <c r="F210" s="10">
        <f>IF(OR(B210="Uncategorised",C210="",C210="Review"),"Needs category/owner",IF(D210="Yes","Already in Category","Add to Category"))</f>
        <v/>
      </c>
    </row>
    <row r="211">
      <c r="A211" s="10" t="inlineStr">
        <is>
          <t>TC NISEKOBION TOKYO</t>
        </is>
      </c>
      <c r="B211" s="10" t="inlineStr">
        <is>
          <t>Uncategorised</t>
        </is>
      </c>
      <c r="C211" s="10" t="inlineStr">
        <is>
          <t>Review</t>
        </is>
      </c>
      <c r="D211" s="10">
        <f>IF(COUNTIF(Category!$A:$A,E211)&gt;0,"Yes","No")</f>
        <v/>
      </c>
      <c r="E211" s="10">
        <f>LEFT(A211,80)</f>
        <v/>
      </c>
      <c r="F211" s="10">
        <f>IF(OR(B211="Uncategorised",C211="",C211="Review"),"Needs category/owner",IF(D211="Yes","Already in Category","Add to Category"))</f>
        <v/>
      </c>
    </row>
    <row r="212">
      <c r="A212" s="10" t="inlineStr">
        <is>
          <t>GEORG JENSEN (IFC) CENTRAL</t>
        </is>
      </c>
      <c r="B212" s="10" t="inlineStr">
        <is>
          <t>Jewellery</t>
        </is>
      </c>
      <c r="C212" s="10" t="inlineStr">
        <is>
          <t>Su</t>
        </is>
      </c>
      <c r="D212" s="10">
        <f>IF(COUNTIF(Category!$A:$A,E212)&gt;0,"Yes","No")</f>
        <v/>
      </c>
      <c r="E212" s="10">
        <f>LEFT(A212,80)</f>
        <v/>
      </c>
      <c r="F212" s="10">
        <f>IF(OR(B212="Uncategorised",C212="",C212="Review"),"Needs category/owner",IF(D212="Yes","Already in Category","Add to Category"))</f>
        <v/>
      </c>
    </row>
    <row r="213">
      <c r="A213" s="10" t="inlineStr">
        <is>
          <t>JUSIKHOESA NEMO JIPHANNA SEOUL</t>
        </is>
      </c>
      <c r="B213" s="10" t="inlineStr">
        <is>
          <t>Uncategorised</t>
        </is>
      </c>
      <c r="C213" s="10" t="inlineStr">
        <is>
          <t>Review</t>
        </is>
      </c>
      <c r="D213" s="10">
        <f>IF(COUNTIF(Category!$A:$A,E213)&gt;0,"Yes","No")</f>
        <v/>
      </c>
      <c r="E213" s="10">
        <f>LEFT(A213,80)</f>
        <v/>
      </c>
      <c r="F213" s="10">
        <f>IF(OR(B213="Uncategorised",C213="",C213="Review"),"Needs category/owner",IF(D213="Yes","Already in Category","Add to Category"))</f>
        <v/>
      </c>
    </row>
    <row r="214">
      <c r="A214" s="10" t="inlineStr">
        <is>
          <t>Hy u ndai Department Stor SEOUL</t>
        </is>
      </c>
      <c r="B214" s="10" t="inlineStr">
        <is>
          <t>Groceries</t>
        </is>
      </c>
      <c r="C214" s="10" t="inlineStr">
        <is>
          <t>Family</t>
        </is>
      </c>
      <c r="D214" s="10">
        <f>IF(COUNTIF(Category!$A:$A,E214)&gt;0,"Yes","No")</f>
        <v/>
      </c>
      <c r="E214" s="10">
        <f>LEFT(A214,80)</f>
        <v/>
      </c>
      <c r="F214" s="10">
        <f>IF(OR(B214="Uncategorised",C214="",C214="Review"),"Needs category/owner",IF(D214="Yes","Already in Category","Add to Category"))</f>
        <v/>
      </c>
    </row>
    <row r="215">
      <c r="A215" s="10" t="inlineStr">
        <is>
          <t>SHISHII W AHOUSE KARUIZ b ei zu o j i u ju n</t>
        </is>
      </c>
      <c r="B215" s="10" t="inlineStr">
        <is>
          <t>Food</t>
        </is>
      </c>
      <c r="C215" s="10" t="inlineStr">
        <is>
          <t>Family</t>
        </is>
      </c>
      <c r="D215" s="10">
        <f>IF(COUNTIF(Category!$A:$A,E215)&gt;0,"Yes","No")</f>
        <v/>
      </c>
      <c r="E215" s="10">
        <f>LEFT(A215,80)</f>
        <v/>
      </c>
      <c r="F215" s="10">
        <f>IF(OR(B215="Uncategorised",C215="",C215="Review"),"Needs category/owner",IF(D215="Yes","Already in Category","Add to Category"))</f>
        <v/>
      </c>
    </row>
    <row r="216">
      <c r="A216" s="10" t="inlineStr">
        <is>
          <t>UNI QLO - HK 2045 TAIKOO SHING</t>
        </is>
      </c>
      <c r="B216" s="10" t="inlineStr">
        <is>
          <t>Clothes &amp; Shoes</t>
        </is>
      </c>
      <c r="C216" s="10" t="inlineStr">
        <is>
          <t>Su</t>
        </is>
      </c>
      <c r="D216" s="10">
        <f>IF(COUNTIF(Category!$A:$A,E216)&gt;0,"Yes","No")</f>
        <v/>
      </c>
      <c r="E216" s="10">
        <f>LEFT(A216,80)</f>
        <v/>
      </c>
      <c r="F216" s="10">
        <f>IF(OR(B216="Uncategorised",C216="",C216="Review"),"Needs category/owner",IF(D216="Yes","Already in Category","Add to Category"))</f>
        <v/>
      </c>
    </row>
    <row r="217">
      <c r="A217" s="10" t="inlineStr">
        <is>
          <t>Rhythm Niseko Summit meng tian jun</t>
        </is>
      </c>
      <c r="B217" s="10" t="inlineStr">
        <is>
          <t>Travel</t>
        </is>
      </c>
      <c r="C217" s="10" t="inlineStr">
        <is>
          <t>Family</t>
        </is>
      </c>
      <c r="D217" s="10">
        <f>IF(COUNTIF(Category!$A:$A,E217)&gt;0,"Yes","No")</f>
        <v/>
      </c>
      <c r="E217" s="10">
        <f>LEFT(A217,80)</f>
        <v/>
      </c>
      <c r="F217" s="10">
        <f>IF(OR(B217="Uncategorised",C217="",C217="Review"),"Needs category/owner",IF(D217="Yes","Already in Category","Add to Category"))</f>
        <v/>
      </c>
    </row>
    <row r="218">
      <c r="A218" s="10" t="inlineStr">
        <is>
          <t>SP SHI- ZEN ZUSHISHI</t>
        </is>
      </c>
      <c r="B218" s="10" t="inlineStr">
        <is>
          <t>Uncategorised</t>
        </is>
      </c>
      <c r="C218" s="10" t="inlineStr">
        <is>
          <t>Review</t>
        </is>
      </c>
      <c r="D218" s="10">
        <f>IF(COUNTIF(Category!$A:$A,E218)&gt;0,"Yes","No")</f>
        <v/>
      </c>
      <c r="E218" s="10">
        <f>LEFT(A218,80)</f>
        <v/>
      </c>
      <c r="F218" s="10">
        <f>IF(OR(B218="Uncategorised",C218="",C218="Review"),"Needs category/owner",IF(D218="Yes","Already in Category","Add to Category"))</f>
        <v/>
      </c>
    </row>
    <row r="219">
      <c r="A219" s="10" t="inlineStr">
        <is>
          <t>CANALHA CASCAIS</t>
        </is>
      </c>
      <c r="B219" s="10" t="inlineStr">
        <is>
          <t>Uncategorised</t>
        </is>
      </c>
      <c r="C219" s="10" t="inlineStr">
        <is>
          <t>Review</t>
        </is>
      </c>
      <c r="D219" s="10">
        <f>IF(COUNTIF(Category!$A:$A,E219)&gt;0,"Yes","No")</f>
        <v/>
      </c>
      <c r="E219" s="10">
        <f>LEFT(A219,80)</f>
        <v/>
      </c>
      <c r="F219" s="10">
        <f>IF(OR(B219="Uncategorised",C219="",C219="Review"),"Needs category/owner",IF(D219="Yes","Already in Category","Add to Category"))</f>
        <v/>
      </c>
    </row>
    <row r="220">
      <c r="A220" s="10" t="inlineStr">
        <is>
          <t>SP VINGARDEVALISE BOYNTON BEACH</t>
        </is>
      </c>
      <c r="B220" s="10" t="inlineStr">
        <is>
          <t>Uncategorised</t>
        </is>
      </c>
      <c r="C220" s="10" t="inlineStr">
        <is>
          <t>Review</t>
        </is>
      </c>
      <c r="D220" s="10">
        <f>IF(COUNTIF(Category!$A:$A,E220)&gt;0,"Yes","No")</f>
        <v/>
      </c>
      <c r="E220" s="10">
        <f>LEFT(A220,80)</f>
        <v/>
      </c>
      <c r="F220" s="10">
        <f>IF(OR(B220="Uncategorised",C220="",C220="Review"),"Needs category/owner",IF(D220="Yes","Already in Category","Add to Category"))</f>
        <v/>
      </c>
    </row>
    <row r="221">
      <c r="A221" s="10" t="inlineStr">
        <is>
          <t>3CPAYMENT*EUROPCAR LISB LISBOA</t>
        </is>
      </c>
      <c r="B221" s="10" t="inlineStr">
        <is>
          <t>Transport</t>
        </is>
      </c>
      <c r="C221" s="10" t="inlineStr">
        <is>
          <t>Family</t>
        </is>
      </c>
      <c r="D221" s="10">
        <f>IF(COUNTIF(Category!$A:$A,E221)&gt;0,"Yes","No")</f>
        <v/>
      </c>
      <c r="E221" s="10">
        <f>LEFT(A221,80)</f>
        <v/>
      </c>
      <c r="F221" s="10">
        <f>IF(OR(B221="Uncategorised",C221="",C221="Review"),"Needs category/owner",IF(D221="Yes","Already in Category","Add to Category"))</f>
        <v/>
      </c>
    </row>
    <row r="222">
      <c r="A222" s="10" t="inlineStr">
        <is>
          <t>Le Cafe Lo uis V uitt o n Sha n gha i</t>
        </is>
      </c>
      <c r="B222" s="10" t="inlineStr">
        <is>
          <t>Dining out</t>
        </is>
      </c>
      <c r="C222" s="10" t="inlineStr">
        <is>
          <t>Family</t>
        </is>
      </c>
      <c r="D222" s="10">
        <f>IF(COUNTIF(Category!$A:$A,E222)&gt;0,"Yes","No")</f>
        <v/>
      </c>
      <c r="E222" s="10">
        <f>LEFT(A222,80)</f>
        <v/>
      </c>
      <c r="F222" s="10">
        <f>IF(OR(B222="Uncategorised",C222="",C222="Review"),"Needs category/owner",IF(D222="Yes","Already in Category","Add to Category"))</f>
        <v/>
      </c>
    </row>
    <row r="223">
      <c r="A223" s="10" t="inlineStr">
        <is>
          <t>NE WPUNJ A BCLU BCENTRAL</t>
        </is>
      </c>
      <c r="B223" s="10" t="inlineStr">
        <is>
          <t>Uncategorised</t>
        </is>
      </c>
      <c r="C223" s="10" t="inlineStr">
        <is>
          <t>Review</t>
        </is>
      </c>
      <c r="D223" s="10">
        <f>IF(COUNTIF(Category!$A:$A,E223)&gt;0,"Yes","No")</f>
        <v/>
      </c>
      <c r="E223" s="10">
        <f>LEFT(A223,80)</f>
        <v/>
      </c>
      <c r="F223" s="10">
        <f>IF(OR(B223="Uncategorised",C223="",C223="Review"),"Needs category/owner",IF(D223="Yes","Already in Category","Add to Category"))</f>
        <v/>
      </c>
    </row>
    <row r="224">
      <c r="A224" s="10" t="inlineStr">
        <is>
          <t>GLOBAL-ENL BV AMSTERDAM</t>
        </is>
      </c>
      <c r="B224" s="10" t="inlineStr">
        <is>
          <t>Uncategorised</t>
        </is>
      </c>
      <c r="C224" s="10" t="inlineStr">
        <is>
          <t>Review</t>
        </is>
      </c>
      <c r="D224" s="10">
        <f>IF(COUNTIF(Category!$A:$A,E224)&gt;0,"Yes","No")</f>
        <v/>
      </c>
      <c r="E224" s="10">
        <f>LEFT(A224,80)</f>
        <v/>
      </c>
      <c r="F224" s="10">
        <f>IF(OR(B224="Uncategorised",C224="",C224="Review"),"Needs category/owner",IF(D224="Yes","Already in Category","Add to Category"))</f>
        <v/>
      </c>
    </row>
    <row r="225">
      <c r="A225" s="10" t="inlineStr">
        <is>
          <t>BASSIKE PTY LTD SYDNEY</t>
        </is>
      </c>
      <c r="B225" s="10" t="inlineStr">
        <is>
          <t>Clothes &amp; Shoes</t>
        </is>
      </c>
      <c r="C225" s="10" t="inlineStr">
        <is>
          <t>Su</t>
        </is>
      </c>
      <c r="D225" s="10">
        <f>IF(COUNTIF(Category!$A:$A,E225)&gt;0,"Yes","No")</f>
        <v/>
      </c>
      <c r="E225" s="10">
        <f>LEFT(A225,80)</f>
        <v/>
      </c>
      <c r="F225" s="10">
        <f>IF(OR(B225="Uncategorised",C225="",C225="Review"),"Needs category/owner",IF(D225="Yes","Already in Category","Add to Category"))</f>
        <v/>
      </c>
    </row>
    <row r="226">
      <c r="A226" s="10" t="inlineStr">
        <is>
          <t>ARIA RESTAURANT SYDNEY</t>
        </is>
      </c>
      <c r="B226" s="10" t="inlineStr">
        <is>
          <t>Uncategorised</t>
        </is>
      </c>
      <c r="C226" s="10" t="inlineStr">
        <is>
          <t>Review</t>
        </is>
      </c>
      <c r="D226" s="10">
        <f>IF(COUNTIF(Category!$A:$A,E226)&gt;0,"Yes","No")</f>
        <v/>
      </c>
      <c r="E226" s="10">
        <f>LEFT(A226,80)</f>
        <v/>
      </c>
      <c r="F226" s="10">
        <f>IF(OR(B226="Uncategorised",C226="",C226="Review"),"Needs category/owner",IF(D226="Yes","Already in Category","Add to Category"))</f>
        <v/>
      </c>
    </row>
    <row r="227">
      <c r="A227" s="10" t="inlineStr">
        <is>
          <t>TRAINLINE Trainline LONDON</t>
        </is>
      </c>
      <c r="B227" s="10" t="inlineStr">
        <is>
          <t>Transport</t>
        </is>
      </c>
      <c r="C227" s="10" t="inlineStr">
        <is>
          <t>Family</t>
        </is>
      </c>
      <c r="D227" s="10">
        <f>IF(COUNTIF(Category!$A:$A,E227)&gt;0,"Yes","No")</f>
        <v/>
      </c>
      <c r="E227" s="10">
        <f>LEFT(A227,80)</f>
        <v/>
      </c>
      <c r="F227" s="10">
        <f>IF(OR(B227="Uncategorised",C227="",C227="Review"),"Needs category/owner",IF(D227="Yes","Already in Category","Add to Category"))</f>
        <v/>
      </c>
    </row>
    <row r="228">
      <c r="A228" s="10" t="inlineStr">
        <is>
          <t>THE DAIRY FARM - MANNIN CENTRAL</t>
        </is>
      </c>
      <c r="B228" s="10" t="inlineStr">
        <is>
          <t>Food</t>
        </is>
      </c>
      <c r="C228" s="10" t="inlineStr">
        <is>
          <t>Family</t>
        </is>
      </c>
      <c r="D228" s="10">
        <f>IF(COUNTIF(Category!$A:$A,E228)&gt;0,"Yes","No")</f>
        <v/>
      </c>
      <c r="E228" s="10">
        <f>LEFT(A228,80)</f>
        <v/>
      </c>
      <c r="F228" s="10">
        <f>IF(OR(B228="Uncategorised",C228="",C228="Review"),"Needs category/owner",IF(D228="Yes","Already in Category","Add to Category"))</f>
        <v/>
      </c>
    </row>
    <row r="229">
      <c r="A229" s="10" t="inlineStr">
        <is>
          <t>TENPURAARAKINISEKO HOKKAIDO</t>
        </is>
      </c>
      <c r="B229" s="10" t="inlineStr">
        <is>
          <t>Uncategorised</t>
        </is>
      </c>
      <c r="C229" s="10" t="inlineStr">
        <is>
          <t>Review</t>
        </is>
      </c>
      <c r="D229" s="10">
        <f>IF(COUNTIF(Category!$A:$A,E229)&gt;0,"Yes","No")</f>
        <v/>
      </c>
      <c r="E229" s="10">
        <f>LEFT(A229,80)</f>
        <v/>
      </c>
      <c r="F229" s="10">
        <f>IF(OR(B229="Uncategorised",C229="",C229="Review"),"Needs category/owner",IF(D229="Yes","Already in Category","Add to Category"))</f>
        <v/>
      </c>
    </row>
    <row r="230">
      <c r="A230" s="10" t="inlineStr">
        <is>
          <t>LANDRACE Bathwick</t>
        </is>
      </c>
      <c r="B230" s="10" t="inlineStr">
        <is>
          <t>Dining out</t>
        </is>
      </c>
      <c r="C230" s="10" t="inlineStr">
        <is>
          <t>Family</t>
        </is>
      </c>
      <c r="D230" s="10">
        <f>IF(COUNTIF(Category!$A:$A,E230)&gt;0,"Yes","No")</f>
        <v/>
      </c>
      <c r="E230" s="10">
        <f>LEFT(A230,80)</f>
        <v/>
      </c>
      <c r="F230" s="10">
        <f>IF(OR(B230="Uncategorised",C230="",C230="Review"),"Needs category/owner",IF(D230="Yes","Already in Category","Add to Category"))</f>
        <v/>
      </c>
    </row>
    <row r="231">
      <c r="A231" s="10" t="inlineStr">
        <is>
          <t>JNC QUOI DELI COMPORT ALC Á CER DO SAL</t>
        </is>
      </c>
      <c r="B231" s="10" t="inlineStr">
        <is>
          <t>Uncategorised</t>
        </is>
      </c>
      <c r="C231" s="10" t="inlineStr">
        <is>
          <t>Review</t>
        </is>
      </c>
      <c r="D231" s="10">
        <f>IF(COUNTIF(Category!$A:$A,E231)&gt;0,"Yes","No")</f>
        <v/>
      </c>
      <c r="E231" s="10">
        <f>LEFT(A231,80)</f>
        <v/>
      </c>
      <c r="F231" s="10">
        <f>IF(OR(B231="Uncategorised",C231="",C231="Review"),"Needs category/owner",IF(D231="Yes","Already in Category","Add to Category"))</f>
        <v/>
      </c>
    </row>
    <row r="232">
      <c r="A232" s="10" t="inlineStr">
        <is>
          <t>WATER MANS TAVERN PTY LT BARANGAROO</t>
        </is>
      </c>
      <c r="B232" s="10" t="inlineStr">
        <is>
          <t>Uncategorised</t>
        </is>
      </c>
      <c r="C232" s="10" t="inlineStr">
        <is>
          <t>Review</t>
        </is>
      </c>
      <c r="D232" s="10">
        <f>IF(COUNTIF(Category!$A:$A,E232)&gt;0,"Yes","No")</f>
        <v/>
      </c>
      <c r="E232" s="10">
        <f>LEFT(A232,80)</f>
        <v/>
      </c>
      <c r="F232" s="10">
        <f>IF(OR(B232="Uncategorised",C232="",C232="Review"),"Needs category/owner",IF(D232="Yes","Already in Category","Add to Category"))</f>
        <v/>
      </c>
    </row>
    <row r="233">
      <c r="A233" s="10" t="inlineStr">
        <is>
          <t>AESOP IFC II CENTRAL</t>
        </is>
      </c>
      <c r="B233" s="10" t="inlineStr">
        <is>
          <t>Beauty</t>
        </is>
      </c>
      <c r="C233" s="10" t="inlineStr">
        <is>
          <t>Su</t>
        </is>
      </c>
      <c r="D233" s="10">
        <f>IF(COUNTIF(Category!$A:$A,E233)&gt;0,"Yes","No")</f>
        <v/>
      </c>
      <c r="E233" s="10">
        <f>LEFT(A233,80)</f>
        <v/>
      </c>
      <c r="F233" s="10">
        <f>IF(OR(B233="Uncategorised",C233="",C233="Review"),"Needs category/owner",IF(D233="Yes","Already in Category","Add to Category"))</f>
        <v/>
      </c>
    </row>
    <row r="234">
      <c r="A234" s="10" t="inlineStr">
        <is>
          <t>VICTOR CHURCHILL WOOLLAHRA</t>
        </is>
      </c>
      <c r="B234" s="10" t="inlineStr">
        <is>
          <t>Groceries</t>
        </is>
      </c>
      <c r="C234" s="10" t="inlineStr">
        <is>
          <t>Family</t>
        </is>
      </c>
      <c r="D234" s="10">
        <f>IF(COUNTIF(Category!$A:$A,E234)&gt;0,"Yes","No")</f>
        <v/>
      </c>
      <c r="E234" s="10">
        <f>LEFT(A234,80)</f>
        <v/>
      </c>
      <c r="F234" s="10">
        <f>IF(OR(B234="Uncategorised",C234="",C234="Review"),"Needs category/owner",IF(D234="Yes","Already in Category","Add to Category"))</f>
        <v/>
      </c>
    </row>
    <row r="235">
      <c r="A235" s="10" t="inlineStr">
        <is>
          <t>AEON HOKKAIDO SM -SAPPO *</t>
        </is>
      </c>
      <c r="B235" s="10" t="inlineStr">
        <is>
          <t>Groceries</t>
        </is>
      </c>
      <c r="C235" s="10" t="inlineStr">
        <is>
          <t>Family</t>
        </is>
      </c>
      <c r="D235" s="10">
        <f>IF(COUNTIF(Category!$A:$A,E235)&gt;0,"Yes","No")</f>
        <v/>
      </c>
      <c r="E235" s="10">
        <f>LEFT(A235,80)</f>
        <v/>
      </c>
      <c r="F235" s="10">
        <f>IF(OR(B235="Uncategorised",C235="",C235="Review"),"Needs category/owner",IF(D235="Yes","Already in Category","Add to Category"))</f>
        <v/>
      </c>
    </row>
    <row r="236">
      <c r="A236" s="10" t="inlineStr">
        <is>
          <t>AZABUDAIHILLS TOKYO</t>
        </is>
      </c>
      <c r="B236" s="10" t="inlineStr">
        <is>
          <t>Uncategorised</t>
        </is>
      </c>
      <c r="C236" s="10" t="inlineStr">
        <is>
          <t>Review</t>
        </is>
      </c>
      <c r="D236" s="10">
        <f>IF(COUNTIF(Category!$A:$A,E236)&gt;0,"Yes","No")</f>
        <v/>
      </c>
      <c r="E236" s="10">
        <f>LEFT(A236,80)</f>
        <v/>
      </c>
      <c r="F236" s="10">
        <f>IF(OR(B236="Uncategorised",C236="",C236="Review"),"Needs category/owner",IF(D236="Yes","Already in Category","Add to Category"))</f>
        <v/>
      </c>
    </row>
    <row r="237">
      <c r="A237" s="10" t="inlineStr">
        <is>
          <t>G7Q ADMIRALTY</t>
        </is>
      </c>
      <c r="B237" s="10" t="inlineStr">
        <is>
          <t>Salon</t>
        </is>
      </c>
      <c r="C237" s="10" t="inlineStr">
        <is>
          <t>Su</t>
        </is>
      </c>
      <c r="D237" s="10">
        <f>IF(COUNTIF(Category!$A:$A,E237)&gt;0,"Yes","No")</f>
        <v/>
      </c>
      <c r="E237" s="10">
        <f>LEFT(A237,80)</f>
        <v/>
      </c>
      <c r="F237" s="10">
        <f>IF(OR(B237="Uncategorised",C237="",C237="Review"),"Needs category/owner",IF(D237="Yes","Already in Category","Add to Category"))</f>
        <v/>
      </c>
    </row>
    <row r="238">
      <c r="A238" s="10" t="inlineStr">
        <is>
          <t>B A &amp; SH CENTRAL</t>
        </is>
      </c>
      <c r="B238" s="10" t="inlineStr">
        <is>
          <t>Uncategorised</t>
        </is>
      </c>
      <c r="C238" s="10" t="inlineStr">
        <is>
          <t>Review</t>
        </is>
      </c>
      <c r="D238" s="10">
        <f>IF(COUNTIF(Category!$A:$A,E238)&gt;0,"Yes","No")</f>
        <v/>
      </c>
      <c r="E238" s="10">
        <f>LEFT(A238,80)</f>
        <v/>
      </c>
      <c r="F238" s="10">
        <f>IF(OR(B238="Uncategorised",C238="",C238="Review"),"Needs category/owner",IF(D238="Yes","Already in Category","Add to Category"))</f>
        <v/>
      </c>
    </row>
    <row r="239">
      <c r="A239" s="10" t="inlineStr">
        <is>
          <t>BB MSL * 1111 ONES HK</t>
        </is>
      </c>
      <c r="B239" s="10" t="inlineStr">
        <is>
          <t>Uncategorised</t>
        </is>
      </c>
      <c r="C239" s="10" t="inlineStr">
        <is>
          <t>Review</t>
        </is>
      </c>
      <c r="D239" s="10">
        <f>IF(COUNTIF(Category!$A:$A,E239)&gt;0,"Yes","No")</f>
        <v/>
      </c>
      <c r="E239" s="10">
        <f>LEFT(A239,80)</f>
        <v/>
      </c>
      <c r="F239" s="10">
        <f>IF(OR(B239="Uncategorised",C239="",C239="Review"),"Needs category/owner",IF(D239="Yes","Already in Category","Add to Category"))</f>
        <v/>
      </c>
    </row>
    <row r="240">
      <c r="A240" s="10" t="inlineStr">
        <is>
          <t>DRIES VAN NOTEN CENTRAL</t>
        </is>
      </c>
      <c r="B240" s="10" t="inlineStr">
        <is>
          <t>Uncategorised</t>
        </is>
      </c>
      <c r="C240" s="10" t="inlineStr">
        <is>
          <t>Review</t>
        </is>
      </c>
      <c r="D240" s="10">
        <f>IF(COUNTIF(Category!$A:$A,E240)&gt;0,"Yes","No")</f>
        <v/>
      </c>
      <c r="E240" s="10">
        <f>LEFT(A240,80)</f>
        <v/>
      </c>
      <c r="F240" s="10">
        <f>IF(OR(B240="Uncategorised",C240="",C240="Review"),"Needs category/owner",IF(D240="Yes","Already in Category","Add to Category"))</f>
        <v/>
      </c>
    </row>
    <row r="241">
      <c r="A241" s="10" t="inlineStr">
        <is>
          <t>EASYJET LUTON</t>
        </is>
      </c>
      <c r="B241" s="10" t="inlineStr">
        <is>
          <t>Uncategorised</t>
        </is>
      </c>
      <c r="C241" s="10" t="inlineStr">
        <is>
          <t>Review</t>
        </is>
      </c>
      <c r="D241" s="10">
        <f>IF(COUNTIF(Category!$A:$A,E241)&gt;0,"Yes","No")</f>
        <v/>
      </c>
      <c r="E241" s="10">
        <f>LEFT(A241,80)</f>
        <v/>
      </c>
      <c r="F241" s="10">
        <f>IF(OR(B241="Uncategorised",C241="",C241="Review"),"Needs category/owner",IF(D241="Yes","Already in Category","Add to Category"))</f>
        <v/>
      </c>
    </row>
    <row r="242">
      <c r="A242" s="10" t="inlineStr">
        <is>
          <t>EREWHON SANTA MONICA 00 Santa Monica</t>
        </is>
      </c>
      <c r="B242" s="10" t="inlineStr">
        <is>
          <t>Uncategorised</t>
        </is>
      </c>
      <c r="C242" s="10" t="inlineStr">
        <is>
          <t>Review</t>
        </is>
      </c>
      <c r="D242" s="10">
        <f>IF(COUNTIF(Category!$A:$A,E242)&gt;0,"Yes","No")</f>
        <v/>
      </c>
      <c r="E242" s="10">
        <f>LEFT(A242,80)</f>
        <v/>
      </c>
      <c r="F242" s="10">
        <f>IF(OR(B242="Uncategorised",C242="",C242="Review"),"Needs category/owner",IF(D242="Yes","Already in Category","Add to Category"))</f>
        <v/>
      </c>
    </row>
    <row r="243">
      <c r="A243" s="10" t="inlineStr">
        <is>
          <t>FIREDOOR Surry Hills</t>
        </is>
      </c>
      <c r="B243" s="10" t="inlineStr">
        <is>
          <t>Uncategorised</t>
        </is>
      </c>
      <c r="C243" s="10" t="inlineStr">
        <is>
          <t>Review</t>
        </is>
      </c>
      <c r="D243" s="10">
        <f>IF(COUNTIF(Category!$A:$A,E243)&gt;0,"Yes","No")</f>
        <v/>
      </c>
      <c r="E243" s="10">
        <f>LEFT(A243,80)</f>
        <v/>
      </c>
      <c r="F243" s="10">
        <f>IF(OR(B243="Uncategorised",C243="",C243="Review"),"Needs category/owner",IF(D243="Yes","Already in Category","Add to Category"))</f>
        <v/>
      </c>
    </row>
    <row r="244">
      <c r="A244" s="10" t="inlineStr">
        <is>
          <t>TENPURAARAKI TP HOKKAIDO</t>
        </is>
      </c>
      <c r="B244" s="10" t="inlineStr">
        <is>
          <t>Uncategorised</t>
        </is>
      </c>
      <c r="C244" s="10" t="inlineStr">
        <is>
          <t>Review</t>
        </is>
      </c>
      <c r="D244" s="10">
        <f>IF(COUNTIF(Category!$A:$A,E244)&gt;0,"Yes","No")</f>
        <v/>
      </c>
      <c r="E244" s="10">
        <f>LEFT(A244,80)</f>
        <v/>
      </c>
      <c r="F244" s="10">
        <f>IF(OR(B244="Uncategorised",C244="",C244="Review"),"Needs category/owner",IF(D244="Yes","Already in Category","Add to Category"))</f>
        <v/>
      </c>
    </row>
    <row r="245">
      <c r="A245" s="10" t="inlineStr">
        <is>
          <t>LANE CRAW FORD ( CANTON RTSIM SHA TSUI</t>
        </is>
      </c>
      <c r="B245" s="10" t="inlineStr">
        <is>
          <t>Uncategorised</t>
        </is>
      </c>
      <c r="C245" s="10" t="inlineStr">
        <is>
          <t>Review</t>
        </is>
      </c>
      <c r="D245" s="10">
        <f>IF(COUNTIF(Category!$A:$A,E245)&gt;0,"Yes","No")</f>
        <v/>
      </c>
      <c r="E245" s="10">
        <f>LEFT(A245,80)</f>
        <v/>
      </c>
      <c r="F245" s="10">
        <f>IF(OR(B245="Uncategorised",C245="",C245="Review"),"Needs category/owner",IF(D245="Yes","Already in Category","Add to Category"))</f>
        <v/>
      </c>
    </row>
    <row r="246">
      <c r="A246" s="10" t="inlineStr">
        <is>
          <t>UNI QLO HONG KONG LIMITE TSIM SHA TSUI</t>
        </is>
      </c>
      <c r="B246" s="10" t="inlineStr">
        <is>
          <t>Clothes &amp; Shoes</t>
        </is>
      </c>
      <c r="C246" s="10" t="inlineStr">
        <is>
          <t>Su</t>
        </is>
      </c>
      <c r="D246" s="10">
        <f>IF(COUNTIF(Category!$A:$A,E246)&gt;0,"Yes","No")</f>
        <v/>
      </c>
      <c r="E246" s="10">
        <f>LEFT(A246,80)</f>
        <v/>
      </c>
      <c r="F246" s="10">
        <f>IF(OR(B246="Uncategorised",C246="",C246="Review"),"Needs category/owner",IF(D246="Yes","Already in Category","Add to Category"))</f>
        <v/>
      </c>
    </row>
    <row r="247">
      <c r="A247" s="10" t="inlineStr">
        <is>
          <t>APPLE STORE R238 R238 SYDNEY</t>
        </is>
      </c>
      <c r="B247" s="10" t="inlineStr">
        <is>
          <t>Electronics</t>
        </is>
      </c>
      <c r="C247" s="10" t="inlineStr">
        <is>
          <t>Family</t>
        </is>
      </c>
      <c r="D247" s="10">
        <f>IF(COUNTIF(Category!$A:$A,E247)&gt;0,"Yes","No")</f>
        <v/>
      </c>
      <c r="E247" s="10">
        <f>LEFT(A247,80)</f>
        <v/>
      </c>
      <c r="F247" s="10">
        <f>IF(OR(B247="Uncategorised",C247="",C247="Review"),"Needs category/owner",IF(D247="Yes","Already in Category","Add to Category"))</f>
        <v/>
      </c>
    </row>
    <row r="248">
      <c r="A248" s="10" t="inlineStr">
        <is>
          <t>APITA QUARRY BAY</t>
        </is>
      </c>
      <c r="B248" s="10" t="inlineStr">
        <is>
          <t>Groceries</t>
        </is>
      </c>
      <c r="C248" s="10" t="inlineStr">
        <is>
          <t>Family</t>
        </is>
      </c>
      <c r="D248" s="10">
        <f>IF(COUNTIF(Category!$A:$A,E248)&gt;0,"Yes","No")</f>
        <v/>
      </c>
      <c r="E248" s="10">
        <f>LEFT(A248,80)</f>
        <v/>
      </c>
      <c r="F248" s="10">
        <f>IF(OR(B248="Uncategorised",C248="",C248="Review"),"Needs category/owner",IF(D248="Yes","Already in Category","Add to Category"))</f>
        <v/>
      </c>
    </row>
    <row r="249">
      <c r="A249" s="10" t="inlineStr">
        <is>
          <t>BASSIKE RETAIL PTY LTD DOUBLE BAY</t>
        </is>
      </c>
      <c r="B249" s="10" t="inlineStr">
        <is>
          <t>Clothes &amp; Shoes</t>
        </is>
      </c>
      <c r="C249" s="10" t="inlineStr">
        <is>
          <t>Su</t>
        </is>
      </c>
      <c r="D249" s="10">
        <f>IF(COUNTIF(Category!$A:$A,E249)&gt;0,"Yes","No")</f>
        <v/>
      </c>
      <c r="E249" s="10">
        <f>LEFT(A249,80)</f>
        <v/>
      </c>
      <c r="F249" s="10">
        <f>IF(OR(B249="Uncategorised",C249="",C249="Review"),"Needs category/owner",IF(D249="Yes","Already in Category","Add to Category"))</f>
        <v/>
      </c>
    </row>
    <row r="250">
      <c r="A250" s="10" t="inlineStr">
        <is>
          <t>KPAY * LALA 0000000000000 HONG KONG</t>
        </is>
      </c>
      <c r="B250" s="10" t="inlineStr">
        <is>
          <t>Uncategorised</t>
        </is>
      </c>
      <c r="C250" s="10" t="inlineStr">
        <is>
          <t>Review</t>
        </is>
      </c>
      <c r="D250" s="10">
        <f>IF(COUNTIF(Category!$A:$A,E250)&gt;0,"Yes","No")</f>
        <v/>
      </c>
      <c r="E250" s="10">
        <f>LEFT(A250,80)</f>
        <v/>
      </c>
      <c r="F250" s="10">
        <f>IF(OR(B250="Uncategorised",C250="",C250="Review"),"Needs category/owner",IF(D250="Yes","Already in Category","Add to Category"))</f>
        <v/>
      </c>
    </row>
    <row r="251">
      <c r="A251" s="10" t="inlineStr">
        <is>
          <t>SP HEIST LOS ANGELES</t>
        </is>
      </c>
      <c r="B251" s="10" t="inlineStr">
        <is>
          <t>Uncategorised</t>
        </is>
      </c>
      <c r="C251" s="10" t="inlineStr">
        <is>
          <t>Review</t>
        </is>
      </c>
      <c r="D251" s="10">
        <f>IF(COUNTIF(Category!$A:$A,E251)&gt;0,"Yes","No")</f>
        <v/>
      </c>
      <c r="E251" s="10">
        <f>LEFT(A251,80)</f>
        <v/>
      </c>
      <c r="F251" s="10">
        <f>IF(OR(B251="Uncategorised",C251="",C251="Review"),"Needs category/owner",IF(D251="Yes","Already in Category","Add to Category"))</f>
        <v/>
      </c>
    </row>
    <row r="252">
      <c r="A252" s="10" t="inlineStr">
        <is>
          <t>RUKUZ UOISUTA BA ABUTAGUN</t>
        </is>
      </c>
      <c r="B252" s="10" t="inlineStr">
        <is>
          <t>Uncategorised</t>
        </is>
      </c>
      <c r="C252" s="10" t="inlineStr">
        <is>
          <t>Review</t>
        </is>
      </c>
      <c r="D252" s="10">
        <f>IF(COUNTIF(Category!$A:$A,E252)&gt;0,"Yes","No")</f>
        <v/>
      </c>
      <c r="E252" s="10">
        <f>LEFT(A252,80)</f>
        <v/>
      </c>
      <c r="F252" s="10">
        <f>IF(OR(B252="Uncategorised",C252="",C252="Review"),"Needs category/owner",IF(D252="Yes","Already in Category","Add to Category"))</f>
        <v/>
      </c>
    </row>
    <row r="253">
      <c r="A253" s="10" t="inlineStr">
        <is>
          <t>KPAY*MOMOGAWANOU 000000 HONG KONG</t>
        </is>
      </c>
      <c r="B253" s="10" t="inlineStr">
        <is>
          <t>Uncategorised</t>
        </is>
      </c>
      <c r="C253" s="10" t="inlineStr">
        <is>
          <t>Review</t>
        </is>
      </c>
      <c r="D253" s="10">
        <f>IF(COUNTIF(Category!$A:$A,E253)&gt;0,"Yes","No")</f>
        <v/>
      </c>
      <c r="E253" s="10">
        <f>LEFT(A253,80)</f>
        <v/>
      </c>
      <c r="F253" s="10">
        <f>IF(OR(B253="Uncategorised",C253="",C253="Review"),"Needs category/owner",IF(D253="Yes","Already in Category","Add to Category"))</f>
        <v/>
      </c>
    </row>
    <row r="254">
      <c r="A254" s="10" t="inlineStr">
        <is>
          <t>MANDARIN ORIENTAL FRONT MACAU</t>
        </is>
      </c>
      <c r="B254" s="10" t="inlineStr">
        <is>
          <t>Uncategorised</t>
        </is>
      </c>
      <c r="C254" s="10" t="inlineStr">
        <is>
          <t>Review</t>
        </is>
      </c>
      <c r="D254" s="10">
        <f>IF(COUNTIF(Category!$A:$A,E254)&gt;0,"Yes","No")</f>
        <v/>
      </c>
      <c r="E254" s="10">
        <f>LEFT(A254,80)</f>
        <v/>
      </c>
      <c r="F254" s="10">
        <f>IF(OR(B254="Uncategorised",C254="",C254="Review"),"Needs category/owner",IF(D254="Yes","Already in Category","Add to Category"))</f>
        <v/>
      </c>
    </row>
    <row r="255">
      <c r="A255" s="10" t="inlineStr">
        <is>
          <t>Ni s ekoBion meng t ian j u n j</t>
        </is>
      </c>
      <c r="B255" s="10" t="inlineStr">
        <is>
          <t>Uncategorised</t>
        </is>
      </c>
      <c r="C255" s="10" t="inlineStr">
        <is>
          <t>Review</t>
        </is>
      </c>
      <c r="D255" s="10">
        <f>IF(COUNTIF(Category!$A:$A,E255)&gt;0,"Yes","No")</f>
        <v/>
      </c>
      <c r="E255" s="10">
        <f>LEFT(A255,80)</f>
        <v/>
      </c>
      <c r="F255" s="10">
        <f>IF(OR(B255="Uncategorised",C255="",C255="Review"),"Needs category/owner",IF(D255="Yes","Already in Category","Add to Category"))</f>
        <v/>
      </c>
    </row>
    <row r="256">
      <c r="A256" s="10" t="inlineStr">
        <is>
          <t>UNIQLO HONG KONG LIMITE TSIM SHA TSUI</t>
        </is>
      </c>
      <c r="B256" s="10" t="inlineStr">
        <is>
          <t>Clothes &amp; Shoes</t>
        </is>
      </c>
      <c r="C256" s="10" t="inlineStr">
        <is>
          <t>Su</t>
        </is>
      </c>
      <c r="D256" s="10">
        <f>IF(COUNTIF(Category!$A:$A,E256)&gt;0,"Yes","No")</f>
        <v/>
      </c>
      <c r="E256" s="10">
        <f>LEFT(A256,80)</f>
        <v/>
      </c>
      <c r="F256" s="10">
        <f>IF(OR(B256="Uncategorised",C256="",C256="Review"),"Needs category/owner",IF(D256="Yes","Already in Category","Add to Category"))</f>
        <v/>
      </c>
    </row>
    <row r="257">
      <c r="A257" s="10" t="inlineStr">
        <is>
          <t>PAYPAL *BIRKENSTOCK 4029357733</t>
        </is>
      </c>
      <c r="B257" s="10" t="inlineStr">
        <is>
          <t>Clothes &amp; Shoes</t>
        </is>
      </c>
      <c r="C257" s="10" t="inlineStr">
        <is>
          <t>Family</t>
        </is>
      </c>
      <c r="D257" s="10">
        <f>IF(COUNTIF(Category!$A:$A,E257)&gt;0,"Yes","No")</f>
        <v/>
      </c>
      <c r="E257" s="10">
        <f>LEFT(A257,80)</f>
        <v/>
      </c>
      <c r="F257" s="10">
        <f>IF(OR(B257="Uncategorised",C257="",C257="Review"),"Needs category/owner",IF(D257="Yes","Already in Category","Add to Category"))</f>
        <v/>
      </c>
    </row>
    <row r="258">
      <c r="A258" s="10" t="inlineStr">
        <is>
          <t>TOPPING &amp; COMPANY BOOKS Bathwick</t>
        </is>
      </c>
      <c r="B258" s="10" t="inlineStr">
        <is>
          <t>Book &amp; Kindle</t>
        </is>
      </c>
      <c r="C258" s="10" t="inlineStr">
        <is>
          <t>Family</t>
        </is>
      </c>
      <c r="D258" s="10">
        <f>IF(COUNTIF(Category!$A:$A,E258)&gt;0,"Yes","No")</f>
        <v/>
      </c>
      <c r="E258" s="10">
        <f>LEFT(A258,80)</f>
        <v/>
      </c>
      <c r="F258" s="10">
        <f>IF(OR(B258="Uncategorised",C258="",C258="Review"),"Needs category/owner",IF(D258="Yes","Already in Category","Add to Category"))</f>
        <v/>
      </c>
    </row>
    <row r="259">
      <c r="A259" s="10" t="inlineStr">
        <is>
          <t>NEIGH BORHOOD CENTRAL</t>
        </is>
      </c>
      <c r="B259" s="10" t="inlineStr">
        <is>
          <t>Uncategorised</t>
        </is>
      </c>
      <c r="C259" s="10" t="inlineStr">
        <is>
          <t>Review</t>
        </is>
      </c>
      <c r="D259" s="10">
        <f>IF(COUNTIF(Category!$A:$A,E259)&gt;0,"Yes","No")</f>
        <v/>
      </c>
      <c r="E259" s="10">
        <f>LEFT(A259,80)</f>
        <v/>
      </c>
      <c r="F259" s="10">
        <f>IF(OR(B259="Uncategorised",C259="",C259="Review"),"Needs category/owner",IF(D259="Yes","Already in Category","Add to Category"))</f>
        <v/>
      </c>
    </row>
    <row r="260">
      <c r="A260" s="10" t="inlineStr">
        <is>
          <t>SOGO HONG KONG CO LTD CAUSEWAY BAY</t>
        </is>
      </c>
      <c r="B260" s="10" t="inlineStr">
        <is>
          <t>Uncategorised</t>
        </is>
      </c>
      <c r="C260" s="10" t="inlineStr">
        <is>
          <t>Review</t>
        </is>
      </c>
      <c r="D260" s="10">
        <f>IF(COUNTIF(Category!$A:$A,E260)&gt;0,"Yes","No")</f>
        <v/>
      </c>
      <c r="E260" s="10">
        <f>LEFT(A260,80)</f>
        <v/>
      </c>
      <c r="F260" s="10">
        <f>IF(OR(B260="Uncategorised",C260="",C260="Review"),"Needs category/owner",IF(D260="Yes","Already in Category","Add to Category"))</f>
        <v/>
      </c>
    </row>
    <row r="261">
      <c r="A261" s="10" t="inlineStr">
        <is>
          <t>PETIT BATEAU LONDON</t>
        </is>
      </c>
      <c r="B261" s="10" t="inlineStr">
        <is>
          <t>Clothes &amp; Shoes</t>
        </is>
      </c>
      <c r="C261" s="10" t="inlineStr">
        <is>
          <t>Family</t>
        </is>
      </c>
      <c r="D261" s="10">
        <f>IF(COUNTIF(Category!$A:$A,E261)&gt;0,"Yes","No")</f>
        <v/>
      </c>
      <c r="E261" s="10">
        <f>LEFT(A261,80)</f>
        <v/>
      </c>
      <c r="F261" s="10">
        <f>IF(OR(B261="Uncategorised",C261="",C261="Review"),"Needs category/owner",IF(D261="Yes","Already in Category","Add to Category"))</f>
        <v/>
      </c>
    </row>
    <row r="262">
      <c r="A262" s="10" t="inlineStr">
        <is>
          <t>SP IM 8 HEALTH CHARLOTTE</t>
        </is>
      </c>
      <c r="B262" s="10" t="inlineStr">
        <is>
          <t>Health</t>
        </is>
      </c>
      <c r="C262" s="10" t="inlineStr">
        <is>
          <t>Su</t>
        </is>
      </c>
      <c r="D262" s="10">
        <f>IF(COUNTIF(Category!$A:$A,E262)&gt;0,"Yes","No")</f>
        <v/>
      </c>
      <c r="E262" s="10">
        <f>LEFT(A262,80)</f>
        <v/>
      </c>
      <c r="F262" s="10">
        <f>IF(OR(B262="Uncategorised",C262="",C262="Review"),"Needs category/owner",IF(D262="Yes","Already in Category","Add to Category"))</f>
        <v/>
      </c>
    </row>
    <row r="263">
      <c r="A263" s="10" t="inlineStr">
        <is>
          <t>OYADO TAMAK 0279722232</t>
        </is>
      </c>
      <c r="B263" s="10" t="inlineStr">
        <is>
          <t>Hotel</t>
        </is>
      </c>
      <c r="C263" s="10" t="inlineStr">
        <is>
          <t>Family</t>
        </is>
      </c>
      <c r="D263" s="10">
        <f>IF(COUNTIF(Category!$A:$A,E263)&gt;0,"Yes","No")</f>
        <v/>
      </c>
      <c r="E263" s="10">
        <f>LEFT(A263,80)</f>
        <v/>
      </c>
      <c r="F263" s="10">
        <f>IF(OR(B263="Uncategorised",C263="",C263="Review"),"Needs category/owner",IF(D263="Yes","Already in Category","Add to Category"))</f>
        <v/>
      </c>
    </row>
    <row r="264">
      <c r="A264" s="10" t="inlineStr">
        <is>
          <t>ZVUK LIMITED LONDON</t>
        </is>
      </c>
      <c r="B264" s="10" t="inlineStr">
        <is>
          <t>Uncategorised</t>
        </is>
      </c>
      <c r="C264" s="10" t="inlineStr">
        <is>
          <t>Review</t>
        </is>
      </c>
      <c r="D264" s="10">
        <f>IF(COUNTIF(Category!$A:$A,E264)&gt;0,"Yes","No")</f>
        <v/>
      </c>
      <c r="E264" s="10">
        <f>LEFT(A264,80)</f>
        <v/>
      </c>
      <c r="F264" s="10">
        <f>IF(OR(B264="Uncategorised",C264="",C264="Review"),"Needs category/owner",IF(D264="Yes","Already in Category","Add to Category"))</f>
        <v/>
      </c>
    </row>
    <row r="265">
      <c r="A265" s="10" t="inlineStr">
        <is>
          <t>THE POTTS POINT BOOK SELIZ A BETH BAY</t>
        </is>
      </c>
      <c r="B265" s="10" t="inlineStr">
        <is>
          <t>Uncategorised</t>
        </is>
      </c>
      <c r="C265" s="10" t="inlineStr">
        <is>
          <t>Review</t>
        </is>
      </c>
      <c r="D265" s="10">
        <f>IF(COUNTIF(Category!$A:$A,E265)&gt;0,"Yes","No")</f>
        <v/>
      </c>
      <c r="E265" s="10">
        <f>LEFT(A265,80)</f>
        <v/>
      </c>
      <c r="F265" s="10">
        <f>IF(OR(B265="Uncategorised",C265="",C265="Review"),"Needs category/owner",IF(D265="Yes","Already in Category","Add to Category"))</f>
        <v/>
      </c>
    </row>
    <row r="266">
      <c r="A266" s="10" t="inlineStr">
        <is>
          <t>RAG &amp; BONE HOLDINGS, LL NEW YORK</t>
        </is>
      </c>
      <c r="B266" s="10" t="inlineStr">
        <is>
          <t>Clothes &amp; Shoes</t>
        </is>
      </c>
      <c r="C266" s="10" t="inlineStr">
        <is>
          <t>Su</t>
        </is>
      </c>
      <c r="D266" s="10">
        <f>IF(COUNTIF(Category!$A:$A,E266)&gt;0,"Yes","No")</f>
        <v/>
      </c>
      <c r="E266" s="10">
        <f>LEFT(A266,80)</f>
        <v/>
      </c>
      <c r="F266" s="10">
        <f>IF(OR(B266="Uncategorised",C266="",C266="Review"),"Needs category/owner",IF(D266="Yes","Already in Category","Add to Category"))</f>
        <v/>
      </c>
    </row>
    <row r="267">
      <c r="A267" s="10" t="inlineStr">
        <is>
          <t>RESTAURANT AZUMA SYDNEY</t>
        </is>
      </c>
      <c r="B267" s="10" t="inlineStr">
        <is>
          <t>Uncategorised</t>
        </is>
      </c>
      <c r="C267" s="10" t="inlineStr">
        <is>
          <t>Review</t>
        </is>
      </c>
      <c r="D267" s="10">
        <f>IF(COUNTIF(Category!$A:$A,E267)&gt;0,"Yes","No")</f>
        <v/>
      </c>
      <c r="E267" s="10">
        <f>LEFT(A267,80)</f>
        <v/>
      </c>
      <c r="F267" s="10">
        <f>IF(OR(B267="Uncategorised",C267="",C267="Review"),"Needs category/owner",IF(D267="Yes","Already in Category","Add to Category"))</f>
        <v/>
      </c>
    </row>
    <row r="268">
      <c r="A268" s="10" t="inlineStr">
        <is>
          <t>XOPP 62109 HAYMARKET</t>
        </is>
      </c>
      <c r="B268" s="10" t="inlineStr">
        <is>
          <t>Uncategorised</t>
        </is>
      </c>
      <c r="C268" s="10" t="inlineStr">
        <is>
          <t>Review</t>
        </is>
      </c>
      <c r="D268" s="10">
        <f>IF(COUNTIF(Category!$A:$A,E268)&gt;0,"Yes","No")</f>
        <v/>
      </c>
      <c r="E268" s="10">
        <f>LEFT(A268,80)</f>
        <v/>
      </c>
      <c r="F268" s="10">
        <f>IF(OR(B268="Uncategorised",C268="",C268="Review"),"Needs category/owner",IF(D268="Yes","Already in Category","Add to Category"))</f>
        <v/>
      </c>
    </row>
    <row r="269">
      <c r="A269" s="10" t="inlineStr">
        <is>
          <t>TEMPURA JIRO CENTRAL</t>
        </is>
      </c>
      <c r="B269" s="10" t="inlineStr">
        <is>
          <t>Uncategorised</t>
        </is>
      </c>
      <c r="C269" s="10" t="inlineStr">
        <is>
          <t>Review</t>
        </is>
      </c>
      <c r="D269" s="10">
        <f>IF(COUNTIF(Category!$A:$A,E269)&gt;0,"Yes","No")</f>
        <v/>
      </c>
      <c r="E269" s="10">
        <f>LEFT(A269,80)</f>
        <v/>
      </c>
      <c r="F269" s="10">
        <f>IF(OR(B269="Uncategorised",C269="",C269="Review"),"Needs category/owner",IF(D269="Yes","Already in Category","Add to Category"))</f>
        <v/>
      </c>
    </row>
    <row r="270">
      <c r="A270" s="10" t="inlineStr">
        <is>
          <t>LACOSTE TERMINAL 4 SINGAPORE</t>
        </is>
      </c>
      <c r="B270" s="10" t="inlineStr">
        <is>
          <t>Clothes &amp; Shoes</t>
        </is>
      </c>
      <c r="C270" s="10" t="inlineStr">
        <is>
          <t>Family</t>
        </is>
      </c>
      <c r="D270" s="10">
        <f>IF(COUNTIF(Category!$A:$A,E270)&gt;0,"Yes","No")</f>
        <v/>
      </c>
      <c r="E270" s="10">
        <f>LEFT(A270,80)</f>
        <v/>
      </c>
      <c r="F270" s="10">
        <f>IF(OR(B270="Uncategorised",C270="",C270="Review"),"Needs category/owner",IF(D270="Yes","Already in Category","Add to Category"))</f>
        <v/>
      </c>
    </row>
    <row r="271">
      <c r="A271" s="10" t="inlineStr">
        <is>
          <t>JOOSIKHOISA AIAIKEOM BAI SEOUL</t>
        </is>
      </c>
      <c r="B271" s="10" t="inlineStr">
        <is>
          <t>Dining out</t>
        </is>
      </c>
      <c r="C271" s="10" t="inlineStr">
        <is>
          <t>Family</t>
        </is>
      </c>
      <c r="D271" s="10">
        <f>IF(COUNTIF(Category!$A:$A,E271)&gt;0,"Yes","No")</f>
        <v/>
      </c>
      <c r="E271" s="10">
        <f>LEFT(A271,80)</f>
        <v/>
      </c>
      <c r="F271" s="10">
        <f>IF(OR(B271="Uncategorised",C271="",C271="Review"),"Needs category/owner",IF(D271="Yes","Already in Category","Add to Category"))</f>
        <v/>
      </c>
    </row>
    <row r="272">
      <c r="A272" s="10" t="inlineStr">
        <is>
          <t>STOCKXX*14546514601324 PHILADELPHIA</t>
        </is>
      </c>
      <c r="B272" s="10" t="inlineStr">
        <is>
          <t>Uncategorised</t>
        </is>
      </c>
      <c r="C272" s="10" t="inlineStr">
        <is>
          <t>Review</t>
        </is>
      </c>
      <c r="D272" s="10">
        <f>IF(COUNTIF(Category!$A:$A,E272)&gt;0,"Yes","No")</f>
        <v/>
      </c>
      <c r="E272" s="10">
        <f>LEFT(A272,80)</f>
        <v/>
      </c>
      <c r="F272" s="10">
        <f>IF(OR(B272="Uncategorised",C272="",C272="Review"),"Needs category/owner",IF(D272="Yes","Already in Category","Add to Category"))</f>
        <v/>
      </c>
    </row>
    <row r="273">
      <c r="A273" s="10" t="inlineStr">
        <is>
          <t>SP SOUS CHEF LONDON</t>
        </is>
      </c>
      <c r="B273" s="10" t="inlineStr">
        <is>
          <t>Uncategorised</t>
        </is>
      </c>
      <c r="C273" s="10" t="inlineStr">
        <is>
          <t>Review</t>
        </is>
      </c>
      <c r="D273" s="10">
        <f>IF(COUNTIF(Category!$A:$A,E273)&gt;0,"Yes","No")</f>
        <v/>
      </c>
      <c r="E273" s="10">
        <f>LEFT(A273,80)</f>
        <v/>
      </c>
      <c r="F273" s="10">
        <f>IF(OR(B273="Uncategorised",C273="",C273="Review"),"Needs category/owner",IF(D273="Yes","Already in Category","Add to Category"))</f>
        <v/>
      </c>
    </row>
    <row r="274">
      <c r="A274" s="10" t="inlineStr">
        <is>
          <t>SP JULY AU MELBOURNE</t>
        </is>
      </c>
      <c r="B274" s="10" t="inlineStr">
        <is>
          <t>Uncategorised</t>
        </is>
      </c>
      <c r="C274" s="10" t="inlineStr">
        <is>
          <t>Review</t>
        </is>
      </c>
      <c r="D274" s="10">
        <f>IF(COUNTIF(Category!$A:$A,E274)&gt;0,"Yes","No")</f>
        <v/>
      </c>
      <c r="E274" s="10">
        <f>LEFT(A274,80)</f>
        <v/>
      </c>
      <c r="F274" s="10">
        <f>IF(OR(B274="Uncategorised",C274="",C274="Review"),"Needs category/owner",IF(D274="Yes","Already in Category","Add to Category"))</f>
        <v/>
      </c>
    </row>
    <row r="275">
      <c r="A275" s="10" t="inlineStr">
        <is>
          <t>SUNSPEL LIMITED NOTTINGHAM</t>
        </is>
      </c>
      <c r="B275" s="10" t="inlineStr">
        <is>
          <t>Uncategorised</t>
        </is>
      </c>
      <c r="C275" s="10" t="inlineStr">
        <is>
          <t>Review</t>
        </is>
      </c>
      <c r="D275" s="10">
        <f>IF(COUNTIF(Category!$A:$A,E275)&gt;0,"Yes","No")</f>
        <v/>
      </c>
      <c r="E275" s="10">
        <f>LEFT(A275,80)</f>
        <v/>
      </c>
      <c r="F275" s="10">
        <f>IF(OR(B275="Uncategorised",C275="",C275="Review"),"Needs category/owner",IF(D275="Yes","Already in Category","Add to Category"))</f>
        <v/>
      </c>
    </row>
    <row r="276">
      <c r="A276" s="10" t="inlineStr">
        <is>
          <t>SP SUSANNE KAUFMANN BEZAU</t>
        </is>
      </c>
      <c r="B276" s="10" t="inlineStr">
        <is>
          <t>Uncategorised</t>
        </is>
      </c>
      <c r="C276" s="10" t="inlineStr">
        <is>
          <t>Review</t>
        </is>
      </c>
      <c r="D276" s="10">
        <f>IF(COUNTIF(Category!$A:$A,E276)&gt;0,"Yes","No")</f>
        <v/>
      </c>
      <c r="E276" s="10">
        <f>LEFT(A276,80)</f>
        <v/>
      </c>
      <c r="F276" s="10">
        <f>IF(OR(B276="Uncategorised",C276="",C276="Review"),"Needs category/owner",IF(D276="Yes","Already in Category","Add to Category"))</f>
        <v/>
      </c>
    </row>
    <row r="277">
      <c r="A277" s="10" t="inlineStr">
        <is>
          <t>GREAT FOOD HALL ( GPP- 25 ADMIRALTY</t>
        </is>
      </c>
      <c r="B277" s="10" t="inlineStr">
        <is>
          <t>Uncategorised</t>
        </is>
      </c>
      <c r="C277" s="10" t="inlineStr">
        <is>
          <t>Review</t>
        </is>
      </c>
      <c r="D277" s="10">
        <f>IF(COUNTIF(Category!$A:$A,E277)&gt;0,"Yes","No")</f>
        <v/>
      </c>
      <c r="E277" s="10">
        <f>LEFT(A277,80)</f>
        <v/>
      </c>
      <c r="F277" s="10">
        <f>IF(OR(B277="Uncategorised",C277="",C277="Review"),"Needs category/owner",IF(D277="Yes","Already in Category","Add to Category"))</f>
        <v/>
      </c>
    </row>
    <row r="278">
      <c r="A278" s="10" t="inlineStr">
        <is>
          <t>TC YAKITORIFUJIWARA TOKYO</t>
        </is>
      </c>
      <c r="B278" s="10" t="inlineStr">
        <is>
          <t>Uncategorised</t>
        </is>
      </c>
      <c r="C278" s="10" t="inlineStr">
        <is>
          <t>Review</t>
        </is>
      </c>
      <c r="D278" s="10">
        <f>IF(COUNTIF(Category!$A:$A,E278)&gt;0,"Yes","No")</f>
        <v/>
      </c>
      <c r="E278" s="10">
        <f>LEFT(A278,80)</f>
        <v/>
      </c>
      <c r="F278" s="10">
        <f>IF(OR(B278="Uncategorised",C278="",C278="Review"),"Needs category/owner",IF(D278="Yes","Already in Category","Add to Category"))</f>
        <v/>
      </c>
    </row>
    <row r="279">
      <c r="A279" s="10" t="inlineStr">
        <is>
          <t>LS NEPTUNE'SGROTTO SYDNEY</t>
        </is>
      </c>
      <c r="B279" s="10" t="inlineStr">
        <is>
          <t>Uncategorised</t>
        </is>
      </c>
      <c r="C279" s="10" t="inlineStr">
        <is>
          <t>Review</t>
        </is>
      </c>
      <c r="D279" s="10">
        <f>IF(COUNTIF(Category!$A:$A,E279)&gt;0,"Yes","No")</f>
        <v/>
      </c>
      <c r="E279" s="10">
        <f>LEFT(A279,80)</f>
        <v/>
      </c>
      <c r="F279" s="10">
        <f>IF(OR(B279="Uncategorised",C279="",C279="Review"),"Needs category/owner",IF(D279="Yes","Already in Category","Add to Category"))</f>
        <v/>
      </c>
    </row>
    <row r="280">
      <c r="A280" s="10" t="inlineStr">
        <is>
          <t>IHERB IHERB.COM AMSTERDAM</t>
        </is>
      </c>
      <c r="B280" s="10" t="inlineStr">
        <is>
          <t>Health</t>
        </is>
      </c>
      <c r="C280" s="10" t="inlineStr">
        <is>
          <t>Family</t>
        </is>
      </c>
      <c r="D280" s="10">
        <f>IF(COUNTIF(Category!$A:$A,E280)&gt;0,"Yes","No")</f>
        <v/>
      </c>
      <c r="E280" s="10">
        <f>LEFT(A280,80)</f>
        <v/>
      </c>
      <c r="F280" s="10">
        <f>IF(OR(B280="Uncategorised",C280="",C280="Review"),"Needs category/owner",IF(D280="Yes","Already in Category","Add to Category"))</f>
        <v/>
      </c>
    </row>
    <row r="281">
      <c r="A281" s="10" t="inlineStr">
        <is>
          <t>Mr B's Emporium Bath</t>
        </is>
      </c>
      <c r="B281" s="10" t="inlineStr">
        <is>
          <t>Book &amp; Kindle</t>
        </is>
      </c>
      <c r="C281" s="10" t="inlineStr">
        <is>
          <t>Family</t>
        </is>
      </c>
      <c r="D281" s="10">
        <f>IF(COUNTIF(Category!$A:$A,E281)&gt;0,"Yes","No")</f>
        <v/>
      </c>
      <c r="E281" s="10">
        <f>LEFT(A281,80)</f>
        <v/>
      </c>
      <c r="F281" s="10">
        <f>IF(OR(B281="Uncategorised",C281="",C281="Review"),"Needs category/owner",IF(D281="Yes","Already in Category","Add to Category"))</f>
        <v/>
      </c>
    </row>
    <row r="282">
      <c r="A282" s="10" t="inlineStr">
        <is>
          <t>O l i v e Yo u ng SEOUL</t>
        </is>
      </c>
      <c r="B282" s="10" t="inlineStr">
        <is>
          <t>Beauty</t>
        </is>
      </c>
      <c r="C282" s="10" t="inlineStr">
        <is>
          <t>Su</t>
        </is>
      </c>
      <c r="D282" s="10">
        <f>IF(COUNTIF(Category!$A:$A,E282)&gt;0,"Yes","No")</f>
        <v/>
      </c>
      <c r="E282" s="10">
        <f>LEFT(A282,80)</f>
        <v/>
      </c>
      <c r="F282" s="10">
        <f>IF(OR(B282="Uncategorised",C282="",C282="Review"),"Needs category/owner",IF(D282="Yes","Already in Category","Add to Category"))</f>
        <v/>
      </c>
    </row>
    <row r="283">
      <c r="A283" s="10" t="inlineStr">
        <is>
          <t>3CPAYMENT*BEAVERBROOK HSURREY</t>
        </is>
      </c>
      <c r="B283" s="10" t="inlineStr">
        <is>
          <t>Uncategorised</t>
        </is>
      </c>
      <c r="C283" s="10" t="inlineStr">
        <is>
          <t>Review</t>
        </is>
      </c>
      <c r="D283" s="10">
        <f>IF(COUNTIF(Category!$A:$A,E283)&gt;0,"Yes","No")</f>
        <v/>
      </c>
      <c r="E283" s="10">
        <f>LEFT(A283,80)</f>
        <v/>
      </c>
      <c r="F283" s="10">
        <f>IF(OR(B283="Uncategorised",C283="",C283="Review"),"Needs category/owner",IF(D283="Yes","Already in Category","Add to Category"))</f>
        <v/>
      </c>
    </row>
    <row r="284">
      <c r="A284" s="10" t="inlineStr">
        <is>
          <t>STUDIOUS MENS KYOTO KYOTO</t>
        </is>
      </c>
      <c r="B284" s="10" t="inlineStr">
        <is>
          <t>Uncategorised</t>
        </is>
      </c>
      <c r="C284" s="10" t="inlineStr">
        <is>
          <t>Review</t>
        </is>
      </c>
      <c r="D284" s="10">
        <f>IF(COUNTIF(Category!$A:$A,E284)&gt;0,"Yes","No")</f>
        <v/>
      </c>
      <c r="E284" s="10">
        <f>LEFT(A284,80)</f>
        <v/>
      </c>
      <c r="F284" s="10">
        <f>IF(OR(B284="Uncategorised",C284="",C284="Review"),"Needs category/owner",IF(D284="Yes","Already in Category","Add to Category"))</f>
        <v/>
      </c>
    </row>
    <row r="285">
      <c r="A285" s="10" t="inlineStr">
        <is>
          <t>JOYCE BEAUTY CAUSEWAY BAY</t>
        </is>
      </c>
      <c r="B285" s="10" t="inlineStr">
        <is>
          <t>Uncategorised</t>
        </is>
      </c>
      <c r="C285" s="10" t="inlineStr">
        <is>
          <t>Review</t>
        </is>
      </c>
      <c r="D285" s="10">
        <f>IF(COUNTIF(Category!$A:$A,E285)&gt;0,"Yes","No")</f>
        <v/>
      </c>
      <c r="E285" s="10">
        <f>LEFT(A285,80)</f>
        <v/>
      </c>
      <c r="F285" s="10">
        <f>IF(OR(B285="Uncategorised",C285="",C285="Review"),"Needs category/owner",IF(D285="Yes","Already in Category","Add to Category"))</f>
        <v/>
      </c>
    </row>
    <row r="286">
      <c r="A286" s="10" t="inlineStr">
        <is>
          <t>KARPATI SKIN CLINIC DOUBLE BAY</t>
        </is>
      </c>
      <c r="B286" s="10" t="inlineStr">
        <is>
          <t>Beauty</t>
        </is>
      </c>
      <c r="C286" s="10" t="inlineStr">
        <is>
          <t>Su</t>
        </is>
      </c>
      <c r="D286" s="10">
        <f>IF(COUNTIF(Category!$A:$A,E286)&gt;0,"Yes","No")</f>
        <v/>
      </c>
      <c r="E286" s="10">
        <f>LEFT(A286,80)</f>
        <v/>
      </c>
      <c r="F286" s="10">
        <f>IF(OR(B286="Uncategorised",C286="",C286="Review"),"Needs category/owner",IF(D286="Yes","Already in Category","Add to Category"))</f>
        <v/>
      </c>
    </row>
    <row r="287">
      <c r="A287" s="10" t="inlineStr">
        <is>
          <t>APPLE.COM/BILL CUPERTINO</t>
        </is>
      </c>
      <c r="B287" s="10" t="inlineStr">
        <is>
          <t>Electronics</t>
        </is>
      </c>
      <c r="C287" s="10" t="inlineStr">
        <is>
          <t>Family</t>
        </is>
      </c>
      <c r="D287" s="10">
        <f>IF(COUNTIF(Category!$A:$A,E287)&gt;0,"Yes","No")</f>
        <v/>
      </c>
      <c r="E287" s="10">
        <f>LEFT(A287,80)</f>
        <v/>
      </c>
      <c r="F287" s="10">
        <f>IF(OR(B287="Uncategorised",C287="",C287="Review"),"Needs category/owner",IF(D287="Yes","Already in Category","Add to Category"))</f>
        <v/>
      </c>
    </row>
    <row r="288">
      <c r="A288" s="10" t="inlineStr">
        <is>
          <t>ISLAND SHANGRI-LA- LOBS ADMIRALTY</t>
        </is>
      </c>
      <c r="B288" s="10" t="inlineStr">
        <is>
          <t>Uncategorised</t>
        </is>
      </c>
      <c r="C288" s="10" t="inlineStr">
        <is>
          <t>Review</t>
        </is>
      </c>
      <c r="D288" s="10">
        <f>IF(COUNTIF(Category!$A:$A,E288)&gt;0,"Yes","No")</f>
        <v/>
      </c>
      <c r="E288" s="10">
        <f>LEFT(A288,80)</f>
        <v/>
      </c>
      <c r="F288" s="10">
        <f>IF(OR(B288="Uncategorised",C288="",C288="Review"),"Needs category/owner",IF(D288="Yes","Already in Category","Add to Category"))</f>
        <v/>
      </c>
    </row>
    <row r="289">
      <c r="A289" s="10" t="inlineStr">
        <is>
          <t>AMZNMKTPLACE* W U 4 K 1 4 PB 5 AMA ZON.CO.UK</t>
        </is>
      </c>
      <c r="B289" s="10" t="inlineStr">
        <is>
          <t>Book &amp; Kindle</t>
        </is>
      </c>
      <c r="C289" s="10" t="inlineStr">
        <is>
          <t>Family</t>
        </is>
      </c>
      <c r="D289" s="10">
        <f>IF(COUNTIF(Category!$A:$A,E289)&gt;0,"Yes","No")</f>
        <v/>
      </c>
      <c r="E289" s="10">
        <f>LEFT(A289,80)</f>
        <v/>
      </c>
      <c r="F289" s="10">
        <f>IF(OR(B289="Uncategorised",C289="",C289="Review"),"Needs category/owner",IF(D289="Yes","Already in Category","Add to Category"))</f>
        <v/>
      </c>
    </row>
    <row r="290">
      <c r="A290" s="10" t="inlineStr">
        <is>
          <t>SERVICE NSW SYDNEY</t>
        </is>
      </c>
      <c r="B290" s="10" t="inlineStr">
        <is>
          <t>Transport</t>
        </is>
      </c>
      <c r="C290" s="10" t="inlineStr">
        <is>
          <t>Family</t>
        </is>
      </c>
      <c r="D290" s="10">
        <f>IF(COUNTIF(Category!$A:$A,E290)&gt;0,"Yes","No")</f>
        <v/>
      </c>
      <c r="E290" s="10">
        <f>LEFT(A290,80)</f>
        <v/>
      </c>
      <c r="F290" s="10">
        <f>IF(OR(B290="Uncategorised",C290="",C290="Review"),"Needs category/owner",IF(D290="Yes","Already in Category","Add to Category"))</f>
        <v/>
      </c>
    </row>
    <row r="291">
      <c r="A291" s="10" t="inlineStr">
        <is>
          <t>MINDNLIFE LIMITED SUITE 1202</t>
        </is>
      </c>
      <c r="B291" s="10" t="inlineStr">
        <is>
          <t>Psychology</t>
        </is>
      </c>
      <c r="C291" s="10" t="inlineStr">
        <is>
          <t>Su</t>
        </is>
      </c>
      <c r="D291" s="10">
        <f>IF(COUNTIF(Category!$A:$A,E291)&gt;0,"Yes","No")</f>
        <v/>
      </c>
      <c r="E291" s="10">
        <f>LEFT(A291,80)</f>
        <v/>
      </c>
      <c r="F291" s="10">
        <f>IF(OR(B291="Uncategorised",C291="",C291="Review"),"Needs category/owner",IF(D291="Yes","Already in Category","Add to Category"))</f>
        <v/>
      </c>
    </row>
    <row r="292">
      <c r="A292" s="10" t="inlineStr">
        <is>
          <t>LULULEMON COLUMBUS CNE WYORK</t>
        </is>
      </c>
      <c r="B292" s="10" t="inlineStr">
        <is>
          <t>Uncategorised</t>
        </is>
      </c>
      <c r="C292" s="10" t="inlineStr">
        <is>
          <t>Review</t>
        </is>
      </c>
      <c r="D292" s="10">
        <f>IF(COUNTIF(Category!$A:$A,E292)&gt;0,"Yes","No")</f>
        <v/>
      </c>
      <c r="E292" s="10">
        <f>LEFT(A292,80)</f>
        <v/>
      </c>
      <c r="F292" s="10">
        <f>IF(OR(B292="Uncategorised",C292="",C292="Review"),"Needs category/owner",IF(D292="Yes","Already in Category","Add to Category"))</f>
        <v/>
      </c>
    </row>
    <row r="293">
      <c r="A293" s="10" t="inlineStr">
        <is>
          <t>SP VUORI CLOTHING ENCINITAS</t>
        </is>
      </c>
      <c r="B293" s="10" t="inlineStr">
        <is>
          <t>Uncategorised</t>
        </is>
      </c>
      <c r="C293" s="10" t="inlineStr">
        <is>
          <t>Review</t>
        </is>
      </c>
      <c r="D293" s="10">
        <f>IF(COUNTIF(Category!$A:$A,E293)&gt;0,"Yes","No")</f>
        <v/>
      </c>
      <c r="E293" s="10">
        <f>LEFT(A293,80)</f>
        <v/>
      </c>
      <c r="F293" s="10">
        <f>IF(OR(B293="Uncategorised",C293="",C293="Review"),"Needs category/owner",IF(D293="Yes","Already in Category","Add to Category"))</f>
        <v/>
      </c>
    </row>
    <row r="294">
      <c r="A294" s="10" t="inlineStr">
        <is>
          <t>SP DINOSAUR DESIGNS STRAWBERRY HILL</t>
        </is>
      </c>
      <c r="B294" s="10" t="inlineStr">
        <is>
          <t>Uncategorised</t>
        </is>
      </c>
      <c r="C294" s="10" t="inlineStr">
        <is>
          <t>Review</t>
        </is>
      </c>
      <c r="D294" s="10">
        <f>IF(COUNTIF(Category!$A:$A,E294)&gt;0,"Yes","No")</f>
        <v/>
      </c>
      <c r="E294" s="10">
        <f>LEFT(A294,80)</f>
        <v/>
      </c>
      <c r="F294" s="10">
        <f>IF(OR(B294="Uncategorised",C294="",C294="Review"),"Needs category/owner",IF(D294="Yes","Already in Category","Add to Category"))</f>
        <v/>
      </c>
    </row>
    <row r="295">
      <c r="A295" s="10" t="inlineStr">
        <is>
          <t>THE DAIRY FARM - MANNIN LANTAU</t>
        </is>
      </c>
      <c r="B295" s="10" t="inlineStr">
        <is>
          <t>Food</t>
        </is>
      </c>
      <c r="C295" s="10" t="inlineStr">
        <is>
          <t>Family</t>
        </is>
      </c>
      <c r="D295" s="10">
        <f>IF(COUNTIF(Category!$A:$A,E295)&gt;0,"Yes","No")</f>
        <v/>
      </c>
      <c r="E295" s="10">
        <f>LEFT(A295,80)</f>
        <v/>
      </c>
      <c r="F295" s="10">
        <f>IF(OR(B295="Uncategorised",C295="",C295="Review"),"Needs category/owner",IF(D295="Yes","Already in Category","Add to Category"))</f>
        <v/>
      </c>
    </row>
    <row r="296">
      <c r="A296" s="10" t="inlineStr">
        <is>
          <t>ISLAND SHANGRI LA 00000 HONG KONG</t>
        </is>
      </c>
      <c r="B296" s="10" t="inlineStr">
        <is>
          <t>Hotel</t>
        </is>
      </c>
      <c r="C296" s="10" t="inlineStr">
        <is>
          <t>Family</t>
        </is>
      </c>
      <c r="D296" s="10">
        <f>IF(COUNTIF(Category!$A:$A,E296)&gt;0,"Yes","No")</f>
        <v/>
      </c>
      <c r="E296" s="10">
        <f>LEFT(A296,80)</f>
        <v/>
      </c>
      <c r="F296" s="10">
        <f>IF(OR(B296="Uncategorised",C296="",C296="Review"),"Needs category/owner",IF(D296="Yes","Already in Category","Add to Category"))</f>
        <v/>
      </c>
    </row>
    <row r="297">
      <c r="A297" s="10" t="inlineStr">
        <is>
          <t>UBER TRIP HTTPS://HELP.UB</t>
        </is>
      </c>
      <c r="B297" s="10" t="inlineStr">
        <is>
          <t>Transport</t>
        </is>
      </c>
      <c r="C297" s="10" t="inlineStr">
        <is>
          <t>Su</t>
        </is>
      </c>
      <c r="D297" s="10">
        <f>IF(COUNTIF(Category!$A:$A,E297)&gt;0,"Yes","No")</f>
        <v/>
      </c>
      <c r="E297" s="10">
        <f>LEFT(A297,80)</f>
        <v/>
      </c>
      <c r="F297" s="10">
        <f>IF(OR(B297="Uncategorised",C297="",C297="Review"),"Needs category/owner",IF(D297="Yes","Already in Category","Add to Category"))</f>
        <v/>
      </c>
    </row>
    <row r="298">
      <c r="A298" s="10" t="inlineStr">
        <is>
          <t>RAKUTENPAY MELI MELO YU HOKKAIDO</t>
        </is>
      </c>
      <c r="B298" s="10" t="inlineStr">
        <is>
          <t>Uncategorised</t>
        </is>
      </c>
      <c r="C298" s="10" t="inlineStr">
        <is>
          <t>Review</t>
        </is>
      </c>
      <c r="D298" s="10">
        <f>IF(COUNTIF(Category!$A:$A,E298)&gt;0,"Yes","No")</f>
        <v/>
      </c>
      <c r="E298" s="10">
        <f>LEFT(A298,80)</f>
        <v/>
      </c>
      <c r="F298" s="10">
        <f>IF(OR(B298="Uncategorised",C298="",C298="Review"),"Needs category/owner",IF(D298="Yes","Already in Category","Add to Category"))</f>
        <v/>
      </c>
    </row>
    <row r="299">
      <c r="A299" s="10" t="inlineStr">
        <is>
          <t>CROSTA JAPANK.K. me ng ti a n j unni</t>
        </is>
      </c>
      <c r="B299" s="10" t="inlineStr">
        <is>
          <t>Uncategorised</t>
        </is>
      </c>
      <c r="C299" s="10" t="inlineStr">
        <is>
          <t>Review</t>
        </is>
      </c>
      <c r="D299" s="10">
        <f>IF(COUNTIF(Category!$A:$A,E299)&gt;0,"Yes","No")</f>
        <v/>
      </c>
      <c r="E299" s="10">
        <f>LEFT(A299,80)</f>
        <v/>
      </c>
      <c r="F299" s="10">
        <f>IF(OR(B299="Uncategorised",C299="",C299="Review"),"Needs category/owner",IF(D299="Yes","Already in Category","Add to Category"))</f>
        <v/>
      </c>
    </row>
    <row r="300">
      <c r="A300" s="10" t="inlineStr">
        <is>
          <t>Grand Intercontinenta l SEOUL</t>
        </is>
      </c>
      <c r="B300" s="10" t="inlineStr">
        <is>
          <t>Hotel</t>
        </is>
      </c>
      <c r="C300" s="10" t="inlineStr">
        <is>
          <t>Family</t>
        </is>
      </c>
      <c r="D300" s="10">
        <f>IF(COUNTIF(Category!$A:$A,E300)&gt;0,"Yes","No")</f>
        <v/>
      </c>
      <c r="E300" s="10">
        <f>LEFT(A300,80)</f>
        <v/>
      </c>
      <c r="F300" s="10">
        <f>IF(OR(B300="Uncategorised",C300="",C300="Review"),"Needs category/owner",IF(D300="Yes","Already in Category","Add to Category"))</f>
        <v/>
      </c>
    </row>
    <row r="301">
      <c r="A301" s="10" t="inlineStr">
        <is>
          <t>CARBONE CENTRAL</t>
        </is>
      </c>
      <c r="B301" s="10" t="inlineStr">
        <is>
          <t>Dining out</t>
        </is>
      </c>
      <c r="C301" s="10" t="inlineStr">
        <is>
          <t>Family</t>
        </is>
      </c>
      <c r="D301" s="10">
        <f>IF(COUNTIF(Category!$A:$A,E301)&gt;0,"Yes","No")</f>
        <v/>
      </c>
      <c r="E301" s="10">
        <f>LEFT(A301,80)</f>
        <v/>
      </c>
      <c r="F301" s="10">
        <f>IF(OR(B301="Uncategorised",C301="",C301="Review"),"Needs category/owner",IF(D301="Yes","Already in Category","Add to Category"))</f>
        <v/>
      </c>
    </row>
    <row r="302">
      <c r="A302" s="10" t="inlineStr">
        <is>
          <t>LE LABO 000000024289 HONG KONG</t>
        </is>
      </c>
      <c r="B302" s="10" t="inlineStr">
        <is>
          <t>Uncategorised</t>
        </is>
      </c>
      <c r="C302" s="10" t="inlineStr">
        <is>
          <t>Review</t>
        </is>
      </c>
      <c r="D302" s="10">
        <f>IF(COUNTIF(Category!$A:$A,E302)&gt;0,"Yes","No")</f>
        <v/>
      </c>
      <c r="E302" s="10">
        <f>LEFT(A302,80)</f>
        <v/>
      </c>
      <c r="F302" s="10">
        <f>IF(OR(B302="Uncategorised",C302="",C302="Review"),"Needs category/owner",IF(D302="Yes","Already in Category","Add to Category"))</f>
        <v/>
      </c>
    </row>
    <row r="303">
      <c r="A303" s="10" t="inlineStr">
        <is>
          <t>ABUNDANCE 10X COMPOUNDI DOUBLE BAY</t>
        </is>
      </c>
      <c r="B303" s="10" t="inlineStr">
        <is>
          <t>Uncategorised</t>
        </is>
      </c>
      <c r="C303" s="10" t="inlineStr">
        <is>
          <t>Review</t>
        </is>
      </c>
      <c r="D303" s="10">
        <f>IF(COUNTIF(Category!$A:$A,E303)&gt;0,"Yes","No")</f>
        <v/>
      </c>
      <c r="E303" s="10">
        <f>LEFT(A303,80)</f>
        <v/>
      </c>
      <c r="F303" s="10">
        <f>IF(OR(B303="Uncategorised",C303="",C303="Review"),"Needs category/owner",IF(D303="Yes","Already in Category","Add to Category"))</f>
        <v/>
      </c>
    </row>
    <row r="304">
      <c r="A304" s="10" t="inlineStr">
        <is>
          <t>THE CHINNERY BAR CENTRAL</t>
        </is>
      </c>
      <c r="B304" s="10" t="inlineStr">
        <is>
          <t>Dining out</t>
        </is>
      </c>
      <c r="C304" s="10" t="inlineStr">
        <is>
          <t>Family</t>
        </is>
      </c>
      <c r="D304" s="10">
        <f>IF(COUNTIF(Category!$A:$A,E304)&gt;0,"Yes","No")</f>
        <v/>
      </c>
      <c r="E304" s="10">
        <f>LEFT(A304,80)</f>
        <v/>
      </c>
      <c r="F304" s="10">
        <f>IF(OR(B304="Uncategorised",C304="",C304="Review"),"Needs category/owner",IF(D304="Yes","Already in Category","Add to Category"))</f>
        <v/>
      </c>
    </row>
    <row r="305">
      <c r="A305" s="10" t="inlineStr">
        <is>
          <t>10 GREEN STREET LTD BATH</t>
        </is>
      </c>
      <c r="B305" s="10" t="inlineStr">
        <is>
          <t>Pharmacy</t>
        </is>
      </c>
      <c r="C305" s="10" t="inlineStr">
        <is>
          <t>Su</t>
        </is>
      </c>
      <c r="D305" s="10">
        <f>IF(COUNTIF(Category!$A:$A,E305)&gt;0,"Yes","No")</f>
        <v/>
      </c>
      <c r="E305" s="10">
        <f>LEFT(A305,80)</f>
        <v/>
      </c>
      <c r="F305" s="10">
        <f>IF(OR(B305="Uncategorised",C305="",C305="Review"),"Needs category/owner",IF(D305="Yes","Already in Category","Add to Category"))</f>
        <v/>
      </c>
    </row>
    <row r="306">
      <c r="A306" s="10" t="inlineStr">
        <is>
          <t>ISLAND SHANGRI-LA - MIN ADMIRALTY</t>
        </is>
      </c>
      <c r="B306" s="10" t="inlineStr">
        <is>
          <t>Uncategorised</t>
        </is>
      </c>
      <c r="C306" s="10" t="inlineStr">
        <is>
          <t>Review</t>
        </is>
      </c>
      <c r="D306" s="10">
        <f>IF(COUNTIF(Category!$A:$A,E306)&gt;0,"Yes","No")</f>
        <v/>
      </c>
      <c r="E306" s="10">
        <f>LEFT(A306,80)</f>
        <v/>
      </c>
      <c r="F306" s="10">
        <f>IF(OR(B306="Uncategorised",C306="",C306="Review"),"Needs category/owner",IF(D306="Yes","Already in Category","Add to Category"))</f>
        <v/>
      </c>
    </row>
    <row r="307">
      <c r="A307" s="10" t="inlineStr">
        <is>
          <t>SP SUSANNE KAUFMANNB E ZAU</t>
        </is>
      </c>
      <c r="B307" s="10" t="inlineStr">
        <is>
          <t>Uncategorised</t>
        </is>
      </c>
      <c r="C307" s="10" t="inlineStr">
        <is>
          <t>Review</t>
        </is>
      </c>
      <c r="D307" s="10">
        <f>IF(COUNTIF(Category!$A:$A,E307)&gt;0,"Yes","No")</f>
        <v/>
      </c>
      <c r="E307" s="10">
        <f>LEFT(A307,80)</f>
        <v/>
      </c>
      <c r="F307" s="10">
        <f>IF(OR(B307="Uncategorised",C307="",C307="Review"),"Needs category/owner",IF(D307="Yes","Already in Category","Add to Category"))</f>
        <v/>
      </c>
    </row>
    <row r="308">
      <c r="A308" s="10" t="inlineStr">
        <is>
          <t>Trattoria R meng tian jun</t>
        </is>
      </c>
      <c r="B308" s="10" t="inlineStr">
        <is>
          <t>Uncategorised</t>
        </is>
      </c>
      <c r="C308" s="10" t="inlineStr">
        <is>
          <t>Review</t>
        </is>
      </c>
      <c r="D308" s="10">
        <f>IF(COUNTIF(Category!$A:$A,E308)&gt;0,"Yes","No")</f>
        <v/>
      </c>
      <c r="E308" s="10">
        <f>LEFT(A308,80)</f>
        <v/>
      </c>
      <c r="F308" s="10">
        <f>IF(OR(B308="Uncategorised",C308="",C308="Review"),"Needs category/owner",IF(D308="Yes","Already in Category","Add to Category"))</f>
        <v/>
      </c>
    </row>
    <row r="309">
      <c r="A309" s="10" t="inlineStr">
        <is>
          <t>TST* CENTURION NYC 3007 NE WYORK</t>
        </is>
      </c>
      <c r="B309" s="10" t="inlineStr">
        <is>
          <t>Uncategorised</t>
        </is>
      </c>
      <c r="C309" s="10" t="inlineStr">
        <is>
          <t>Review</t>
        </is>
      </c>
      <c r="D309" s="10">
        <f>IF(COUNTIF(Category!$A:$A,E309)&gt;0,"Yes","No")</f>
        <v/>
      </c>
      <c r="E309" s="10">
        <f>LEFT(A309,80)</f>
        <v/>
      </c>
      <c r="F309" s="10">
        <f>IF(OR(B309="Uncategorised",C309="",C309="Review"),"Needs category/owner",IF(D309="Yes","Already in Category","Add to Category"))</f>
        <v/>
      </c>
    </row>
    <row r="310">
      <c r="A310" s="10" t="inlineStr">
        <is>
          <t>M A X I M SCATERERS LTD CHEUNG SHA WAN</t>
        </is>
      </c>
      <c r="B310" s="10" t="inlineStr">
        <is>
          <t>Uncategorised</t>
        </is>
      </c>
      <c r="C310" s="10" t="inlineStr">
        <is>
          <t>Review</t>
        </is>
      </c>
      <c r="D310" s="10">
        <f>IF(COUNTIF(Category!$A:$A,E310)&gt;0,"Yes","No")</f>
        <v/>
      </c>
      <c r="E310" s="10">
        <f>LEFT(A310,80)</f>
        <v/>
      </c>
      <c r="F310" s="10">
        <f>IF(OR(B310="Uncategorised",C310="",C310="Review"),"Needs category/owner",IF(D310="Yes","Already in Category","Add to Category"))</f>
        <v/>
      </c>
    </row>
    <row r="311">
      <c r="A311" s="10" t="inlineStr">
        <is>
          <t>PENINSULA LONDON, LP LONDON</t>
        </is>
      </c>
      <c r="B311" s="10" t="inlineStr">
        <is>
          <t>Uncategorised</t>
        </is>
      </c>
      <c r="C311" s="10" t="inlineStr">
        <is>
          <t>Review</t>
        </is>
      </c>
      <c r="D311" s="10">
        <f>IF(COUNTIF(Category!$A:$A,E311)&gt;0,"Yes","No")</f>
        <v/>
      </c>
      <c r="E311" s="10">
        <f>LEFT(A311,80)</f>
        <v/>
      </c>
      <c r="F311" s="10">
        <f>IF(OR(B311="Uncategorised",C311="",C311="Review"),"Needs category/owner",IF(D311="Yes","Already in Category","Add to Category"))</f>
        <v/>
      </c>
    </row>
    <row r="312">
      <c r="A312" s="10" t="inlineStr">
        <is>
          <t>SP CHALKSTREAM ROMSEY</t>
        </is>
      </c>
      <c r="B312" s="10" t="inlineStr">
        <is>
          <t>Food</t>
        </is>
      </c>
      <c r="C312" s="10" t="inlineStr">
        <is>
          <t>Family</t>
        </is>
      </c>
      <c r="D312" s="10">
        <f>IF(COUNTIF(Category!$A:$A,E312)&gt;0,"Yes","No")</f>
        <v/>
      </c>
      <c r="E312" s="10">
        <f>LEFT(A312,80)</f>
        <v/>
      </c>
      <c r="F312" s="10">
        <f>IF(OR(B312="Uncategorised",C312="",C312="Review"),"Needs category/owner",IF(D312="Yes","Already in Category","Add to Category"))</f>
        <v/>
      </c>
    </row>
    <row r="313">
      <c r="A313" s="10" t="inlineStr">
        <is>
          <t>Upstairs at Landrace Bath</t>
        </is>
      </c>
      <c r="B313" s="10" t="inlineStr">
        <is>
          <t>Dining out</t>
        </is>
      </c>
      <c r="C313" s="10" t="inlineStr">
        <is>
          <t>Family</t>
        </is>
      </c>
      <c r="D313" s="10">
        <f>IF(COUNTIF(Category!$A:$A,E313)&gt;0,"Yes","No")</f>
        <v/>
      </c>
      <c r="E313" s="10">
        <f>LEFT(A313,80)</f>
        <v/>
      </c>
      <c r="F313" s="10">
        <f>IF(OR(B313="Uncategorised",C313="",C313="Review"),"Needs category/owner",IF(D313="Yes","Already in Category","Add to Category"))</f>
        <v/>
      </c>
    </row>
    <row r="314">
      <c r="A314" s="10" t="inlineStr">
        <is>
          <t>THE DAIRY FARM COMPANY, HONG KONG</t>
        </is>
      </c>
      <c r="B314" s="10" t="inlineStr">
        <is>
          <t>Food</t>
        </is>
      </c>
      <c r="C314" s="10" t="inlineStr">
        <is>
          <t>Family</t>
        </is>
      </c>
      <c r="D314" s="10">
        <f>IF(COUNTIF(Category!$A:$A,E314)&gt;0,"Yes","No")</f>
        <v/>
      </c>
      <c r="E314" s="10">
        <f>LEFT(A314,80)</f>
        <v/>
      </c>
      <c r="F314" s="10">
        <f>IF(OR(B314="Uncategorised",C314="",C314="Review"),"Needs category/owner",IF(D314="Yes","Already in Category","Add to Category"))</f>
        <v/>
      </c>
    </row>
    <row r="315">
      <c r="A315" s="10" t="inlineStr">
        <is>
          <t>SOUL DINING Sydney</t>
        </is>
      </c>
      <c r="B315" s="10" t="inlineStr">
        <is>
          <t>Dining out</t>
        </is>
      </c>
      <c r="C315" s="10" t="inlineStr">
        <is>
          <t>Family</t>
        </is>
      </c>
      <c r="D315" s="10">
        <f>IF(COUNTIF(Category!$A:$A,E315)&gt;0,"Yes","No")</f>
        <v/>
      </c>
      <c r="E315" s="10">
        <f>LEFT(A315,80)</f>
        <v/>
      </c>
      <c r="F315" s="10">
        <f>IF(OR(B315="Uncategorised",C315="",C315="Review"),"Needs category/owner",IF(D315="Yes","Already in Category","Add to Category"))</f>
        <v/>
      </c>
    </row>
    <row r="316">
      <c r="A316" s="10" t="inlineStr">
        <is>
          <t>SUSHI KATO INORI HOKKAIDO</t>
        </is>
      </c>
      <c r="B316" s="10" t="inlineStr">
        <is>
          <t>Uncategorised</t>
        </is>
      </c>
      <c r="C316" s="10" t="inlineStr">
        <is>
          <t>Review</t>
        </is>
      </c>
      <c r="D316" s="10">
        <f>IF(COUNTIF(Category!$A:$A,E316)&gt;0,"Yes","No")</f>
        <v/>
      </c>
      <c r="E316" s="10">
        <f>LEFT(A316,80)</f>
        <v/>
      </c>
      <c r="F316" s="10">
        <f>IF(OR(B316="Uncategorised",C316="",C316="Review"),"Needs category/owner",IF(D316="Yes","Already in Category","Add to Category"))</f>
        <v/>
      </c>
    </row>
    <row r="317">
      <c r="A317" s="10" t="inlineStr">
        <is>
          <t>GLO BALE * / B A&amp;SH LONDON</t>
        </is>
      </c>
      <c r="B317" s="10" t="inlineStr">
        <is>
          <t>Uncategorised</t>
        </is>
      </c>
      <c r="C317" s="10" t="inlineStr">
        <is>
          <t>Review</t>
        </is>
      </c>
      <c r="D317" s="10">
        <f>IF(COUNTIF(Category!$A:$A,E317)&gt;0,"Yes","No")</f>
        <v/>
      </c>
      <c r="E317" s="10">
        <f>LEFT(A317,80)</f>
        <v/>
      </c>
      <c r="F317" s="10">
        <f>IF(OR(B317="Uncategorised",C317="",C317="Review"),"Needs category/owner",IF(D317="Yes","Already in Category","Add to Category"))</f>
        <v/>
      </c>
    </row>
    <row r="318">
      <c r="A318" s="10" t="inlineStr">
        <is>
          <t>AMV , PACIFIC PLACE ADMIRALTY</t>
        </is>
      </c>
      <c r="B318" s="10" t="inlineStr">
        <is>
          <t>Uncategorised</t>
        </is>
      </c>
      <c r="C318" s="10" t="inlineStr">
        <is>
          <t>Review</t>
        </is>
      </c>
      <c r="D318" s="10">
        <f>IF(COUNTIF(Category!$A:$A,E318)&gt;0,"Yes","No")</f>
        <v/>
      </c>
      <c r="E318" s="10">
        <f>LEFT(A318,80)</f>
        <v/>
      </c>
      <c r="F318" s="10">
        <f>IF(OR(B318="Uncategorised",C318="",C318="Review"),"Needs category/owner",IF(D318="Yes","Already in Category","Add to Category"))</f>
        <v/>
      </c>
    </row>
    <row r="319">
      <c r="A319" s="10" t="inlineStr">
        <is>
          <t>ANTHROPOLOGIE 4505 1-4 BATH</t>
        </is>
      </c>
      <c r="B319" s="10" t="inlineStr">
        <is>
          <t>Uncategorised</t>
        </is>
      </c>
      <c r="C319" s="10" t="inlineStr">
        <is>
          <t>Review</t>
        </is>
      </c>
      <c r="D319" s="10">
        <f>IF(COUNTIF(Category!$A:$A,E319)&gt;0,"Yes","No")</f>
        <v/>
      </c>
      <c r="E319" s="10">
        <f>LEFT(A319,80)</f>
        <v/>
      </c>
      <c r="F319" s="10">
        <f>IF(OR(B319="Uncategorised",C319="",C319="Review"),"Needs category/owner",IF(D319="Yes","Already in Category","Add to Category"))</f>
        <v/>
      </c>
    </row>
    <row r="320">
      <c r="A320" s="10" t="inlineStr">
        <is>
          <t>PRIMO POSTO SHEUNG WAN</t>
        </is>
      </c>
      <c r="B320" s="10" t="inlineStr">
        <is>
          <t>Uncategorised</t>
        </is>
      </c>
      <c r="C320" s="10" t="inlineStr">
        <is>
          <t>Review</t>
        </is>
      </c>
      <c r="D320" s="10">
        <f>IF(COUNTIF(Category!$A:$A,E320)&gt;0,"Yes","No")</f>
        <v/>
      </c>
      <c r="E320" s="10">
        <f>LEFT(A320,80)</f>
        <v/>
      </c>
      <c r="F320" s="10">
        <f>IF(OR(B320="Uncategorised",C320="",C320="Review"),"Needs category/owner",IF(D320="Yes","Already in Category","Add to Category"))</f>
        <v/>
      </c>
    </row>
    <row r="321">
      <c r="A321" s="10" t="inlineStr">
        <is>
          <t>TST* JEAN-GEORGES ENTER NE WYORK</t>
        </is>
      </c>
      <c r="B321" s="10" t="inlineStr">
        <is>
          <t>Uncategorised</t>
        </is>
      </c>
      <c r="C321" s="10" t="inlineStr">
        <is>
          <t>Review</t>
        </is>
      </c>
      <c r="D321" s="10">
        <f>IF(COUNTIF(Category!$A:$A,E321)&gt;0,"Yes","No")</f>
        <v/>
      </c>
      <c r="E321" s="10">
        <f>LEFT(A321,80)</f>
        <v/>
      </c>
      <c r="F321" s="10">
        <f>IF(OR(B321="Uncategorised",C321="",C321="Review"),"Needs category/owner",IF(D321="Yes","Already in Category","Add to Category"))</f>
        <v/>
      </c>
    </row>
    <row r="322">
      <c r="A322" s="10" t="inlineStr">
        <is>
          <t>U BER TRIP HTTPS : //HELP.U B</t>
        </is>
      </c>
      <c r="B322" s="10" t="inlineStr">
        <is>
          <t>Transport</t>
        </is>
      </c>
      <c r="C322" s="10" t="inlineStr">
        <is>
          <t>Su</t>
        </is>
      </c>
      <c r="D322" s="10">
        <f>IF(COUNTIF(Category!$A:$A,E322)&gt;0,"Yes","No")</f>
        <v/>
      </c>
      <c r="E322" s="10">
        <f>LEFT(A322,80)</f>
        <v/>
      </c>
      <c r="F322" s="10">
        <f>IF(OR(B322="Uncategorised",C322="",C322="Review"),"Needs category/owner",IF(D322="Yes","Already in Category","Add to Category"))</f>
        <v/>
      </c>
    </row>
    <row r="323">
      <c r="A323" s="10" t="inlineStr">
        <is>
          <t>Niseko ANNUPURI KOKUSAI HOKKAIDO</t>
        </is>
      </c>
      <c r="B323" s="10" t="inlineStr">
        <is>
          <t>Uncategorised</t>
        </is>
      </c>
      <c r="C323" s="10" t="inlineStr">
        <is>
          <t>Review</t>
        </is>
      </c>
      <c r="D323" s="10">
        <f>IF(COUNTIF(Category!$A:$A,E323)&gt;0,"Yes","No")</f>
        <v/>
      </c>
      <c r="E323" s="10">
        <f>LEFT(A323,80)</f>
        <v/>
      </c>
      <c r="F323" s="10">
        <f>IF(OR(B323="Uncategorised",C323="",C323="Review"),"Needs category/owner",IF(D323="Yes","Already in Category","Add to Category"))</f>
        <v/>
      </c>
    </row>
    <row r="324">
      <c r="A324" s="10" t="inlineStr">
        <is>
          <t>OCL* OCTOPUS AD7783729 KOWLOON BAY</t>
        </is>
      </c>
      <c r="B324" s="10" t="inlineStr">
        <is>
          <t>Uncategorised</t>
        </is>
      </c>
      <c r="C324" s="10" t="inlineStr">
        <is>
          <t>Review</t>
        </is>
      </c>
      <c r="D324" s="10">
        <f>IF(COUNTIF(Category!$A:$A,E324)&gt;0,"Yes","No")</f>
        <v/>
      </c>
      <c r="E324" s="10">
        <f>LEFT(A324,80)</f>
        <v/>
      </c>
      <c r="F324" s="10">
        <f>IF(OR(B324="Uncategorised",C324="",C324="Review"),"Needs category/owner",IF(D324="Yes","Already in Category","Add to Category"))</f>
        <v/>
      </c>
    </row>
    <row r="325">
      <c r="A325" s="10" t="inlineStr">
        <is>
          <t>OCL * OCTOPUS AD 8188520 KO WLOON BAY</t>
        </is>
      </c>
      <c r="B325" s="10" t="inlineStr">
        <is>
          <t>Uncategorised</t>
        </is>
      </c>
      <c r="C325" s="10" t="inlineStr">
        <is>
          <t>Review</t>
        </is>
      </c>
      <c r="D325" s="10">
        <f>IF(COUNTIF(Category!$A:$A,E325)&gt;0,"Yes","No")</f>
        <v/>
      </c>
      <c r="E325" s="10">
        <f>LEFT(A325,80)</f>
        <v/>
      </c>
      <c r="F325" s="10">
        <f>IF(OR(B325="Uncategorised",C325="",C325="Review"),"Needs category/owner",IF(D325="Yes","Already in Category","Add to Category"))</f>
        <v/>
      </c>
    </row>
    <row r="326">
      <c r="A326" s="10" t="inlineStr">
        <is>
          <t>OCL * OCTOPUS AD 2500654 KO WLOON BAY</t>
        </is>
      </c>
      <c r="B326" s="10" t="inlineStr">
        <is>
          <t>Uncategorised</t>
        </is>
      </c>
      <c r="C326" s="10" t="inlineStr">
        <is>
          <t>Review</t>
        </is>
      </c>
      <c r="D326" s="10">
        <f>IF(COUNTIF(Category!$A:$A,E326)&gt;0,"Yes","No")</f>
        <v/>
      </c>
      <c r="E326" s="10">
        <f>LEFT(A326,80)</f>
        <v/>
      </c>
      <c r="F326" s="10">
        <f>IF(OR(B326="Uncategorised",C326="",C326="Review"),"Needs category/owner",IF(D326="Yes","Already in Category","Add to Category"))</f>
        <v/>
      </c>
    </row>
    <row r="327">
      <c r="A327" s="10" t="inlineStr">
        <is>
          <t>PARK HYATT Niseko ROBAT *</t>
        </is>
      </c>
      <c r="B327" s="10" t="inlineStr">
        <is>
          <t>Uncategorised</t>
        </is>
      </c>
      <c r="C327" s="10" t="inlineStr">
        <is>
          <t>Review</t>
        </is>
      </c>
      <c r="D327" s="10">
        <f>IF(COUNTIF(Category!$A:$A,E327)&gt;0,"Yes","No")</f>
        <v/>
      </c>
      <c r="E327" s="10">
        <f>LEFT(A327,80)</f>
        <v/>
      </c>
      <c r="F327" s="10">
        <f>IF(OR(B327="Uncategorised",C327="",C327="Review"),"Needs category/owner",IF(D327="Yes","Already in Category","Add to Category"))</f>
        <v/>
      </c>
    </row>
    <row r="328">
      <c r="A328" s="10" t="inlineStr">
        <is>
          <t>BBMSL*GOKAN HK</t>
        </is>
      </c>
      <c r="B328" s="10" t="inlineStr">
        <is>
          <t>Food</t>
        </is>
      </c>
      <c r="C328" s="10" t="inlineStr">
        <is>
          <t>Family</t>
        </is>
      </c>
      <c r="D328" s="10">
        <f>IF(COUNTIF(Category!$A:$A,E328)&gt;0,"Yes","No")</f>
        <v/>
      </c>
      <c r="E328" s="10">
        <f>LEFT(A328,80)</f>
        <v/>
      </c>
      <c r="F328" s="10">
        <f>IF(OR(B328="Uncategorised",C328="",C328="Review"),"Needs category/owner",IF(D328="Yes","Already in Category","Add to Category"))</f>
        <v/>
      </c>
    </row>
    <row r="329">
      <c r="A329" s="10" t="inlineStr">
        <is>
          <t>IL MATRICIANO LISBOA</t>
        </is>
      </c>
      <c r="B329" s="10" t="inlineStr">
        <is>
          <t>Uncategorised</t>
        </is>
      </c>
      <c r="C329" s="10" t="inlineStr">
        <is>
          <t>Review</t>
        </is>
      </c>
      <c r="D329" s="10">
        <f>IF(COUNTIF(Category!$A:$A,E329)&gt;0,"Yes","No")</f>
        <v/>
      </c>
      <c r="E329" s="10">
        <f>LEFT(A329,80)</f>
        <v/>
      </c>
      <c r="F329" s="10">
        <f>IF(OR(B329="Uncategorised",C329="",C329="Review"),"Needs category/owner",IF(D329="Yes","Already in Category","Add to Category"))</f>
        <v/>
      </c>
    </row>
    <row r="330">
      <c r="A330" s="10" t="inlineStr">
        <is>
          <t>KPAY*PO HING FLO WER CO. HONG KONG</t>
        </is>
      </c>
      <c r="B330" s="10" t="inlineStr">
        <is>
          <t>Uncategorised</t>
        </is>
      </c>
      <c r="C330" s="10" t="inlineStr">
        <is>
          <t>Review</t>
        </is>
      </c>
      <c r="D330" s="10">
        <f>IF(COUNTIF(Category!$A:$A,E330)&gt;0,"Yes","No")</f>
        <v/>
      </c>
      <c r="E330" s="10">
        <f>LEFT(A330,80)</f>
        <v/>
      </c>
      <c r="F330" s="10">
        <f>IF(OR(B330="Uncategorised",C330="",C330="Review"),"Needs category/owner",IF(D330="Yes","Already in Category","Add to Category"))</f>
        <v/>
      </c>
    </row>
    <row r="331">
      <c r="A331" s="10" t="inlineStr">
        <is>
          <t>TA BERNA MEIA PORTA TAB ELIS BOA</t>
        </is>
      </c>
      <c r="B331" s="10" t="inlineStr">
        <is>
          <t>Uncategorised</t>
        </is>
      </c>
      <c r="C331" s="10" t="inlineStr">
        <is>
          <t>Review</t>
        </is>
      </c>
      <c r="D331" s="10">
        <f>IF(COUNTIF(Category!$A:$A,E331)&gt;0,"Yes","No")</f>
        <v/>
      </c>
      <c r="E331" s="10">
        <f>LEFT(A331,80)</f>
        <v/>
      </c>
      <c r="F331" s="10">
        <f>IF(OR(B331="Uncategorised",C331="",C331="Review"),"Needs category/owner",IF(D331="Yes","Already in Category","Add to Category"))</f>
        <v/>
      </c>
    </row>
    <row r="332">
      <c r="A332" s="10" t="inlineStr">
        <is>
          <t>BASSIKE RETAIL PTY LTD DOU BLE BAY</t>
        </is>
      </c>
      <c r="B332" s="10" t="inlineStr">
        <is>
          <t>Clothes &amp; Shoes</t>
        </is>
      </c>
      <c r="C332" s="10" t="inlineStr">
        <is>
          <t>Su</t>
        </is>
      </c>
      <c r="D332" s="10">
        <f>IF(COUNTIF(Category!$A:$A,E332)&gt;0,"Yes","No")</f>
        <v/>
      </c>
      <c r="E332" s="10">
        <f>LEFT(A332,80)</f>
        <v/>
      </c>
      <c r="F332" s="10">
        <f>IF(OR(B332="Uncategorised",C332="",C332="Review"),"Needs category/owner",IF(D332="Yes","Already in Category","Add to Category"))</f>
        <v/>
      </c>
    </row>
    <row r="333">
      <c r="A333" s="10" t="inlineStr">
        <is>
          <t>COM O METROPOLITAN SINGA SINGAPORE</t>
        </is>
      </c>
      <c r="B333" s="10" t="inlineStr">
        <is>
          <t>Uncategorised</t>
        </is>
      </c>
      <c r="C333" s="10" t="inlineStr">
        <is>
          <t>Review</t>
        </is>
      </c>
      <c r="D333" s="10">
        <f>IF(COUNTIF(Category!$A:$A,E333)&gt;0,"Yes","No")</f>
        <v/>
      </c>
      <c r="E333" s="10">
        <f>LEFT(A333,80)</f>
        <v/>
      </c>
      <c r="F333" s="10">
        <f>IF(OR(B333="Uncategorised",C333="",C333="Review"),"Needs category/owner",IF(D333="Yes","Already in Category","Add to Category"))</f>
        <v/>
      </c>
    </row>
    <row r="334">
      <c r="A334" s="10" t="inlineStr">
        <is>
          <t>WAITROSE BATH BATH</t>
        </is>
      </c>
      <c r="B334" s="10" t="inlineStr">
        <is>
          <t>Groceries</t>
        </is>
      </c>
      <c r="C334" s="10" t="inlineStr">
        <is>
          <t>Family</t>
        </is>
      </c>
      <c r="D334" s="10">
        <f>IF(COUNTIF(Category!$A:$A,E334)&gt;0,"Yes","No")</f>
        <v/>
      </c>
      <c r="E334" s="10">
        <f>LEFT(A334,80)</f>
        <v/>
      </c>
      <c r="F334" s="10">
        <f>IF(OR(B334="Uncategorised",C334="",C334="Review"),"Needs category/owner",IF(D334="Yes","Already in Category","Add to Category"))</f>
        <v/>
      </c>
    </row>
    <row r="335">
      <c r="A335" s="10" t="inlineStr">
        <is>
          <t>SP SIRTHELA BEL.COM TAMARAMA</t>
        </is>
      </c>
      <c r="B335" s="10" t="inlineStr">
        <is>
          <t>Uncategorised</t>
        </is>
      </c>
      <c r="C335" s="10" t="inlineStr">
        <is>
          <t>Review</t>
        </is>
      </c>
      <c r="D335" s="10">
        <f>IF(COUNTIF(Category!$A:$A,E335)&gt;0,"Yes","No")</f>
        <v/>
      </c>
      <c r="E335" s="10">
        <f>LEFT(A335,80)</f>
        <v/>
      </c>
      <c r="F335" s="10">
        <f>IF(OR(B335="Uncategorised",C335="",C335="Review"),"Needs category/owner",IF(D335="Yes","Already in Category","Add to Category"))</f>
        <v/>
      </c>
    </row>
    <row r="336">
      <c r="A336" s="10" t="inlineStr">
        <is>
          <t>BLOOMINGDALES CENTURY LOS ANGELES</t>
        </is>
      </c>
      <c r="B336" s="10" t="inlineStr">
        <is>
          <t>Clothes &amp; Shoes</t>
        </is>
      </c>
      <c r="C336" s="10" t="inlineStr">
        <is>
          <t>Su</t>
        </is>
      </c>
      <c r="D336" s="10">
        <f>IF(COUNTIF(Category!$A:$A,E336)&gt;0,"Yes","No")</f>
        <v/>
      </c>
      <c r="E336" s="10">
        <f>LEFT(A336,80)</f>
        <v/>
      </c>
      <c r="F336" s="10">
        <f>IF(OR(B336="Uncategorised",C336="",C336="Review"),"Needs category/owner",IF(D336="Yes","Already in Category","Add to Category"))</f>
        <v/>
      </c>
    </row>
    <row r="337">
      <c r="A337" s="10" t="inlineStr">
        <is>
          <t>SSI JEOIIOLLI BEUYEONG ( J OSEOUL</t>
        </is>
      </c>
      <c r="B337" s="10" t="inlineStr">
        <is>
          <t>Uncategorised</t>
        </is>
      </c>
      <c r="C337" s="10" t="inlineStr">
        <is>
          <t>Review</t>
        </is>
      </c>
      <c r="D337" s="10">
        <f>IF(COUNTIF(Category!$A:$A,E337)&gt;0,"Yes","No")</f>
        <v/>
      </c>
      <c r="E337" s="10">
        <f>LEFT(A337,80)</f>
        <v/>
      </c>
      <c r="F337" s="10">
        <f>IF(OR(B337="Uncategorised",C337="",C337="Review"),"Needs category/owner",IF(D337="Yes","Already in Category","Add to Category"))</f>
        <v/>
      </c>
    </row>
    <row r="338">
      <c r="A338" s="10" t="inlineStr">
        <is>
          <t>JIANHUA LI &amp; DAN CHEN DOUBLE BAY</t>
        </is>
      </c>
      <c r="B338" s="10" t="inlineStr">
        <is>
          <t>Uncategorised</t>
        </is>
      </c>
      <c r="C338" s="10" t="inlineStr">
        <is>
          <t>Review</t>
        </is>
      </c>
      <c r="D338" s="10">
        <f>IF(COUNTIF(Category!$A:$A,E338)&gt;0,"Yes","No")</f>
        <v/>
      </c>
      <c r="E338" s="10">
        <f>LEFT(A338,80)</f>
        <v/>
      </c>
      <c r="F338" s="10">
        <f>IF(OR(B338="Uncategorised",C338="",C338="Review"),"Needs category/owner",IF(D338="Yes","Already in Category","Add to Category"))</f>
        <v/>
      </c>
    </row>
    <row r="339">
      <c r="A339" s="10" t="inlineStr">
        <is>
          <t>PALAZZO SALATO Sydney</t>
        </is>
      </c>
      <c r="B339" s="10" t="inlineStr">
        <is>
          <t>Uncategorised</t>
        </is>
      </c>
      <c r="C339" s="10" t="inlineStr">
        <is>
          <t>Review</t>
        </is>
      </c>
      <c r="D339" s="10">
        <f>IF(COUNTIF(Category!$A:$A,E339)&gt;0,"Yes","No")</f>
        <v/>
      </c>
      <c r="E339" s="10">
        <f>LEFT(A339,80)</f>
        <v/>
      </c>
      <c r="F339" s="10">
        <f>IF(OR(B339="Uncategorised",C339="",C339="Review"),"Needs category/owner",IF(D339="Yes","Already in Category","Add to Category"))</f>
        <v/>
      </c>
    </row>
    <row r="340">
      <c r="A340" s="10" t="inlineStr">
        <is>
          <t>UNI QLO HONG KONG LI MITE TSI MSHA TSUI</t>
        </is>
      </c>
      <c r="B340" s="10" t="inlineStr">
        <is>
          <t>Clothes &amp; Shoes</t>
        </is>
      </c>
      <c r="C340" s="10" t="inlineStr">
        <is>
          <t>Su</t>
        </is>
      </c>
      <c r="D340" s="10">
        <f>IF(COUNTIF(Category!$A:$A,E340)&gt;0,"Yes","No")</f>
        <v/>
      </c>
      <c r="E340" s="10">
        <f>LEFT(A340,80)</f>
        <v/>
      </c>
      <c r="F340" s="10">
        <f>IF(OR(B340="Uncategorised",C340="",C340="Review"),"Needs category/owner",IF(D340="Yes","Already in Category","Add to Category"))</f>
        <v/>
      </c>
    </row>
    <row r="341">
      <c r="A341" s="10" t="inlineStr">
        <is>
          <t>SEVENTH SON RESTAURANT WAN CHAI</t>
        </is>
      </c>
      <c r="B341" s="10" t="inlineStr">
        <is>
          <t>Uncategorised</t>
        </is>
      </c>
      <c r="C341" s="10" t="inlineStr">
        <is>
          <t>Review</t>
        </is>
      </c>
      <c r="D341" s="10">
        <f>IF(COUNTIF(Category!$A:$A,E341)&gt;0,"Yes","No")</f>
        <v/>
      </c>
      <c r="E341" s="10">
        <f>LEFT(A341,80)</f>
        <v/>
      </c>
      <c r="F341" s="10">
        <f>IF(OR(B341="Uncategorised",C341="",C341="Review"),"Needs category/owner",IF(D341="Yes","Already in Category","Add to Category"))</f>
        <v/>
      </c>
    </row>
    <row r="342">
      <c r="A342" s="10" t="inlineStr">
        <is>
          <t>FLOUR AND STONE ANNEX E W oo ll oomoo l oo</t>
        </is>
      </c>
      <c r="B342" s="10" t="inlineStr">
        <is>
          <t>Food</t>
        </is>
      </c>
      <c r="C342" s="10" t="inlineStr">
        <is>
          <t>Family</t>
        </is>
      </c>
      <c r="D342" s="10">
        <f>IF(COUNTIF(Category!$A:$A,E342)&gt;0,"Yes","No")</f>
        <v/>
      </c>
      <c r="E342" s="10">
        <f>LEFT(A342,80)</f>
        <v/>
      </c>
      <c r="F342" s="10">
        <f>IF(OR(B342="Uncategorised",C342="",C342="Review"),"Needs category/owner",IF(D342="Yes","Already in Category","Add to Category"))</f>
        <v/>
      </c>
    </row>
    <row r="343">
      <c r="A343" s="10" t="inlineStr">
        <is>
          <t>KPAY * ASTA CLINIC LI MITE HONG KONG</t>
        </is>
      </c>
      <c r="B343" s="10" t="inlineStr">
        <is>
          <t>Clinic</t>
        </is>
      </c>
      <c r="C343" s="10" t="inlineStr">
        <is>
          <t>Su</t>
        </is>
      </c>
      <c r="D343" s="10">
        <f>IF(COUNTIF(Category!$A:$A,E343)&gt;0,"Yes","No")</f>
        <v/>
      </c>
      <c r="E343" s="10">
        <f>LEFT(A343,80)</f>
        <v/>
      </c>
      <c r="F343" s="10">
        <f>IF(OR(B343="Uncategorised",C343="",C343="Review"),"Needs category/owner",IF(D343="Yes","Already in Category","Add to Category"))</f>
        <v/>
      </c>
    </row>
    <row r="344">
      <c r="A344" s="10" t="inlineStr">
        <is>
          <t>BAR LEONE SHOPS NO. 2 &amp; 3,</t>
        </is>
      </c>
      <c r="B344" s="10" t="inlineStr">
        <is>
          <t>Dining out</t>
        </is>
      </c>
      <c r="C344" s="10" t="inlineStr">
        <is>
          <t>Family</t>
        </is>
      </c>
      <c r="D344" s="10">
        <f>IF(COUNTIF(Category!$A:$A,E344)&gt;0,"Yes","No")</f>
        <v/>
      </c>
      <c r="E344" s="10">
        <f>LEFT(A344,80)</f>
        <v/>
      </c>
      <c r="F344" s="10">
        <f>IF(OR(B344="Uncategorised",C344="",C344="Review"),"Needs category/owner",IF(D344="Yes","Already in Category","Add to Category"))</f>
        <v/>
      </c>
    </row>
    <row r="345">
      <c r="A345" s="10" t="inlineStr">
        <is>
          <t>NESPRESSO HONG KONG YUEN LONG</t>
        </is>
      </c>
      <c r="B345" s="10" t="inlineStr">
        <is>
          <t>Uncategorised</t>
        </is>
      </c>
      <c r="C345" s="10" t="inlineStr">
        <is>
          <t>Review</t>
        </is>
      </c>
      <c r="D345" s="10">
        <f>IF(COUNTIF(Category!$A:$A,E345)&gt;0,"Yes","No")</f>
        <v/>
      </c>
      <c r="E345" s="10">
        <f>LEFT(A345,80)</f>
        <v/>
      </c>
      <c r="F345" s="10">
        <f>IF(OR(B345="Uncategorised",C345="",C345="Review"),"Needs category/owner",IF(D345="Yes","Already in Category","Add to Category"))</f>
        <v/>
      </c>
    </row>
    <row r="346">
      <c r="A346" s="10" t="inlineStr">
        <is>
          <t>SP LOOKOPTIC LOS ANGELES</t>
        </is>
      </c>
      <c r="B346" s="10" t="inlineStr">
        <is>
          <t>Uncategorised</t>
        </is>
      </c>
      <c r="C346" s="10" t="inlineStr">
        <is>
          <t>Review</t>
        </is>
      </c>
      <c r="D346" s="10">
        <f>IF(COUNTIF(Category!$A:$A,E346)&gt;0,"Yes","No")</f>
        <v/>
      </c>
      <c r="E346" s="10">
        <f>LEFT(A346,80)</f>
        <v/>
      </c>
      <c r="F346" s="10">
        <f>IF(OR(B346="Uncategorised",C346="",C346="Review"),"Needs category/owner",IF(D346="Yes","Already in Category","Add to Category"))</f>
        <v/>
      </c>
    </row>
    <row r="347">
      <c r="A347" s="10" t="inlineStr">
        <is>
          <t>MOVEMENT MENTORSHIP NORTH BONDI</t>
        </is>
      </c>
      <c r="B347" s="10" t="inlineStr">
        <is>
          <t>Fitness Equipment</t>
        </is>
      </c>
      <c r="C347" s="10" t="inlineStr">
        <is>
          <t>Su</t>
        </is>
      </c>
      <c r="D347" s="10">
        <f>IF(COUNTIF(Category!$A:$A,E347)&gt;0,"Yes","No")</f>
        <v/>
      </c>
      <c r="E347" s="10">
        <f>LEFT(A347,80)</f>
        <v/>
      </c>
      <c r="F347" s="10">
        <f>IF(OR(B347="Uncategorised",C347="",C347="Review"),"Needs category/owner",IF(D347="Yes","Already in Category","Add to Category"))</f>
        <v/>
      </c>
    </row>
    <row r="348">
      <c r="A348" s="10" t="inlineStr">
        <is>
          <t>Rhythm Japan Base meng tian jun</t>
        </is>
      </c>
      <c r="B348" s="10" t="inlineStr">
        <is>
          <t>Travel</t>
        </is>
      </c>
      <c r="C348" s="10" t="inlineStr">
        <is>
          <t>Family</t>
        </is>
      </c>
      <c r="D348" s="10">
        <f>IF(COUNTIF(Category!$A:$A,E348)&gt;0,"Yes","No")</f>
        <v/>
      </c>
      <c r="E348" s="10">
        <f>LEFT(A348,80)</f>
        <v/>
      </c>
      <c r="F348" s="10">
        <f>IF(OR(B348="Uncategorised",C348="",C348="Review"),"Needs category/owner",IF(D348="Yes","Already in Category","Add to Category"))</f>
        <v/>
      </c>
    </row>
    <row r="349">
      <c r="A349" s="10" t="inlineStr">
        <is>
          <t>L ' OREAL HONG KONG LIMIT WAN CHAI</t>
        </is>
      </c>
      <c r="B349" s="10" t="inlineStr">
        <is>
          <t>Uncategorised</t>
        </is>
      </c>
      <c r="C349" s="10" t="inlineStr">
        <is>
          <t>Review</t>
        </is>
      </c>
      <c r="D349" s="10">
        <f>IF(COUNTIF(Category!$A:$A,E349)&gt;0,"Yes","No")</f>
        <v/>
      </c>
      <c r="E349" s="10">
        <f>LEFT(A349,80)</f>
        <v/>
      </c>
      <c r="F349" s="10">
        <f>IF(OR(B349="Uncategorised",C349="",C349="Review"),"Needs category/owner",IF(D349="Yes","Already in Category","Add to Category"))</f>
        <v/>
      </c>
    </row>
    <row r="350">
      <c r="A350" s="10" t="inlineStr">
        <is>
          <t>LA VACHE ! CENTRAL</t>
        </is>
      </c>
      <c r="B350" s="10" t="inlineStr">
        <is>
          <t>Uncategorised</t>
        </is>
      </c>
      <c r="C350" s="10" t="inlineStr">
        <is>
          <t>Review</t>
        </is>
      </c>
      <c r="D350" s="10">
        <f>IF(COUNTIF(Category!$A:$A,E350)&gt;0,"Yes","No")</f>
        <v/>
      </c>
      <c r="E350" s="10">
        <f>LEFT(A350,80)</f>
        <v/>
      </c>
      <c r="F350" s="10">
        <f>IF(OR(B350="Uncategorised",C350="",C350="Review"),"Needs category/owner",IF(D350="Yes","Already in Category","Add to Category"))</f>
        <v/>
      </c>
    </row>
    <row r="351">
      <c r="A351" s="10" t="inlineStr">
        <is>
          <t>GOGYO ( B R 8021) CENTRAL</t>
        </is>
      </c>
      <c r="B351" s="10" t="inlineStr">
        <is>
          <t>Uncategorised</t>
        </is>
      </c>
      <c r="C351" s="10" t="inlineStr">
        <is>
          <t>Review</t>
        </is>
      </c>
      <c r="D351" s="10">
        <f>IF(COUNTIF(Category!$A:$A,E351)&gt;0,"Yes","No")</f>
        <v/>
      </c>
      <c r="E351" s="10">
        <f>LEFT(A351,80)</f>
        <v/>
      </c>
      <c r="F351" s="10">
        <f>IF(OR(B351="Uncategorised",C351="",C351="Review"),"Needs category/owner",IF(D351="Yes","Already in Category","Add to Category"))</f>
        <v/>
      </c>
    </row>
    <row r="352">
      <c r="A352" s="10" t="inlineStr">
        <is>
          <t>HARRIS FARM MARKETS RED REDFERN</t>
        </is>
      </c>
      <c r="B352" s="10" t="inlineStr">
        <is>
          <t>Food</t>
        </is>
      </c>
      <c r="C352" s="10" t="inlineStr">
        <is>
          <t>Family</t>
        </is>
      </c>
      <c r="D352" s="10">
        <f>IF(COUNTIF(Category!$A:$A,E352)&gt;0,"Yes","No")</f>
        <v/>
      </c>
      <c r="E352" s="10">
        <f>LEFT(A352,80)</f>
        <v/>
      </c>
      <c r="F352" s="10">
        <f>IF(OR(B352="Uncategorised",C352="",C352="Review"),"Needs category/owner",IF(D352="Yes","Already in Category","Add to Category"))</f>
        <v/>
      </c>
    </row>
    <row r="353">
      <c r="A353" s="10" t="inlineStr">
        <is>
          <t>THE DAIRY FARM - MANNIN QUARRY BAY</t>
        </is>
      </c>
      <c r="B353" s="10" t="inlineStr">
        <is>
          <t>Food</t>
        </is>
      </c>
      <c r="C353" s="10" t="inlineStr">
        <is>
          <t>Family</t>
        </is>
      </c>
      <c r="D353" s="10">
        <f>IF(COUNTIF(Category!$A:$A,E353)&gt;0,"Yes","No")</f>
        <v/>
      </c>
      <c r="E353" s="10">
        <f>LEFT(A353,80)</f>
        <v/>
      </c>
      <c r="F353" s="10">
        <f>IF(OR(B353="Uncategorised",C353="",C353="Review"),"Needs category/owner",IF(D353="Yes","Already in Category","Add to Category"))</f>
        <v/>
      </c>
    </row>
    <row r="354">
      <c r="A354" s="10" t="inlineStr">
        <is>
          <t>WATERSTONES BATH</t>
        </is>
      </c>
      <c r="B354" s="10" t="inlineStr">
        <is>
          <t>Book &amp; Kindle</t>
        </is>
      </c>
      <c r="C354" s="10" t="inlineStr">
        <is>
          <t>Family</t>
        </is>
      </c>
      <c r="D354" s="10">
        <f>IF(COUNTIF(Category!$A:$A,E354)&gt;0,"Yes","No")</f>
        <v/>
      </c>
      <c r="E354" s="10">
        <f>LEFT(A354,80)</f>
        <v/>
      </c>
      <c r="F354" s="10">
        <f>IF(OR(B354="Uncategorised",C354="",C354="Review"),"Needs category/owner",IF(D354="Yes","Already in Category","Add to Category"))</f>
        <v/>
      </c>
    </row>
    <row r="355">
      <c r="A355" s="10" t="inlineStr">
        <is>
          <t>LOOKOPTIC LOS ANGELES</t>
        </is>
      </c>
      <c r="B355" s="10" t="inlineStr">
        <is>
          <t>Uncategorised</t>
        </is>
      </c>
      <c r="C355" s="10" t="inlineStr">
        <is>
          <t>Review</t>
        </is>
      </c>
      <c r="D355" s="10">
        <f>IF(COUNTIF(Category!$A:$A,E355)&gt;0,"Yes","No")</f>
        <v/>
      </c>
      <c r="E355" s="10">
        <f>LEFT(A355,80)</f>
        <v/>
      </c>
      <c r="F355" s="10">
        <f>IF(OR(B355="Uncategorised",C355="",C355="Review"),"Needs category/owner",IF(D355="Yes","Already in Category","Add to Category"))</f>
        <v/>
      </c>
    </row>
    <row r="356">
      <c r="A356" s="10" t="inlineStr">
        <is>
          <t>JUMPSPEAK # W3 MNJ 4 FR WILMINGTON</t>
        </is>
      </c>
      <c r="B356" s="10" t="inlineStr">
        <is>
          <t>Uncategorised</t>
        </is>
      </c>
      <c r="C356" s="10" t="inlineStr">
        <is>
          <t>Review</t>
        </is>
      </c>
      <c r="D356" s="10">
        <f>IF(COUNTIF(Category!$A:$A,E356)&gt;0,"Yes","No")</f>
        <v/>
      </c>
      <c r="E356" s="10">
        <f>LEFT(A356,80)</f>
        <v/>
      </c>
      <c r="F356" s="10">
        <f>IF(OR(B356="Uncategorised",C356="",C356="Review"),"Needs category/owner",IF(D356="Yes","Already in Category","Add to Category"))</f>
        <v/>
      </c>
    </row>
    <row r="357">
      <c r="A357" s="10" t="inlineStr">
        <is>
          <t>LANE CRA WFORD ( IFC ) CENTRAL</t>
        </is>
      </c>
      <c r="B357" s="10" t="inlineStr">
        <is>
          <t>Housewares</t>
        </is>
      </c>
      <c r="C357" s="10" t="inlineStr">
        <is>
          <t>Family</t>
        </is>
      </c>
      <c r="D357" s="10">
        <f>IF(COUNTIF(Category!$A:$A,E357)&gt;0,"Yes","No")</f>
        <v/>
      </c>
      <c r="E357" s="10">
        <f>LEFT(A357,80)</f>
        <v/>
      </c>
      <c r="F357" s="10">
        <f>IF(OR(B357="Uncategorised",C357="",C357="Review"),"Needs category/owner",IF(D357="Yes","Already in Category","Add to Category"))</f>
        <v/>
      </c>
    </row>
    <row r="358">
      <c r="A358" s="10" t="inlineStr">
        <is>
          <t>TST * DESTROYER 00123951 CULVER CITY</t>
        </is>
      </c>
      <c r="B358" s="10" t="inlineStr">
        <is>
          <t>Dining out</t>
        </is>
      </c>
      <c r="C358" s="10" t="inlineStr">
        <is>
          <t>Family</t>
        </is>
      </c>
      <c r="D358" s="10">
        <f>IF(COUNTIF(Category!$A:$A,E358)&gt;0,"Yes","No")</f>
        <v/>
      </c>
      <c r="E358" s="10">
        <f>LEFT(A358,80)</f>
        <v/>
      </c>
      <c r="F358" s="10">
        <f>IF(OR(B358="Uncategorised",C358="",C358="Review"),"Needs category/owner",IF(D358="Yes","Already in Category","Add to Category"))</f>
        <v/>
      </c>
    </row>
    <row r="359">
      <c r="A359" s="10" t="inlineStr">
        <is>
          <t>RAKUTENPAY BARISTART CO HOKKAIDO</t>
        </is>
      </c>
      <c r="B359" s="10" t="inlineStr">
        <is>
          <t>Food</t>
        </is>
      </c>
      <c r="C359" s="10" t="inlineStr">
        <is>
          <t>Family</t>
        </is>
      </c>
      <c r="D359" s="10">
        <f>IF(COUNTIF(Category!$A:$A,E359)&gt;0,"Yes","No")</f>
        <v/>
      </c>
      <c r="E359" s="10">
        <f>LEFT(A359,80)</f>
        <v/>
      </c>
      <c r="F359" s="10">
        <f>IF(OR(B359="Uncategorised",C359="",C359="Review"),"Needs category/owner",IF(D359="Yes","Already in Category","Add to Category"))</f>
        <v/>
      </c>
    </row>
    <row r="360">
      <c r="A360" s="10" t="inlineStr">
        <is>
          <t>TC RISTORANTE THE RHOKKAIDO</t>
        </is>
      </c>
      <c r="B360" s="10" t="inlineStr">
        <is>
          <t>Uncategorised</t>
        </is>
      </c>
      <c r="C360" s="10" t="inlineStr">
        <is>
          <t>Review</t>
        </is>
      </c>
      <c r="D360" s="10">
        <f>IF(COUNTIF(Category!$A:$A,E360)&gt;0,"Yes","No")</f>
        <v/>
      </c>
      <c r="E360" s="10">
        <f>LEFT(A360,80)</f>
        <v/>
      </c>
      <c r="F360" s="10">
        <f>IF(OR(B360="Uncategorised",C360="",C360="Review"),"Needs category/owner",IF(D360="Yes","Already in Category","Add to Category"))</f>
        <v/>
      </c>
    </row>
    <row r="361">
      <c r="A361" s="10" t="inlineStr">
        <is>
          <t>SIXT PORTUGAL RAC _ 307 _ PPAREDES</t>
        </is>
      </c>
      <c r="B361" s="10" t="inlineStr">
        <is>
          <t>Transport</t>
        </is>
      </c>
      <c r="C361" s="10" t="inlineStr">
        <is>
          <t>Family</t>
        </is>
      </c>
      <c r="D361" s="10">
        <f>IF(COUNTIF(Category!$A:$A,E361)&gt;0,"Yes","No")</f>
        <v/>
      </c>
      <c r="E361" s="10">
        <f>LEFT(A361,80)</f>
        <v/>
      </c>
      <c r="F361" s="10">
        <f>IF(OR(B361="Uncategorised",C361="",C361="Review"),"Needs category/owner",IF(D361="Yes","Already in Category","Add to Category"))</f>
        <v/>
      </c>
    </row>
    <row r="362">
      <c r="A362" s="10" t="inlineStr">
        <is>
          <t>THE DAIRY FARM - MANNIN CAUSEWAY BAY</t>
        </is>
      </c>
      <c r="B362" s="10" t="inlineStr">
        <is>
          <t>Food</t>
        </is>
      </c>
      <c r="C362" s="10" t="inlineStr">
        <is>
          <t>Family</t>
        </is>
      </c>
      <c r="D362" s="10">
        <f>IF(COUNTIF(Category!$A:$A,E362)&gt;0,"Yes","No")</f>
        <v/>
      </c>
      <c r="E362" s="10">
        <f>LEFT(A362,80)</f>
        <v/>
      </c>
      <c r="F362" s="10">
        <f>IF(OR(B362="Uncategorised",C362="",C362="Review"),"Needs category/owner",IF(D362="Yes","Already in Category","Add to Category"))</f>
        <v/>
      </c>
    </row>
    <row r="363">
      <c r="A363" s="10" t="inlineStr">
        <is>
          <t>KARUIZ A W AKA WAKAMIAN NAGANO</t>
        </is>
      </c>
      <c r="B363" s="10" t="inlineStr">
        <is>
          <t>Food</t>
        </is>
      </c>
      <c r="C363" s="10" t="inlineStr">
        <is>
          <t>Family</t>
        </is>
      </c>
      <c r="D363" s="10">
        <f>IF(COUNTIF(Category!$A:$A,E363)&gt;0,"Yes","No")</f>
        <v/>
      </c>
      <c r="E363" s="10">
        <f>LEFT(A363,80)</f>
        <v/>
      </c>
      <c r="F363" s="10">
        <f>IF(OR(B363="Uncategorised",C363="",C363="Review"),"Needs category/owner",IF(D363="Yes","Already in Category","Add to Category"))</f>
        <v/>
      </c>
    </row>
    <row r="364">
      <c r="A364" s="10" t="inlineStr">
        <is>
          <t>BOARDING GATE PARAGON 0 SINGAPORE</t>
        </is>
      </c>
      <c r="B364" s="10" t="inlineStr">
        <is>
          <t>Airfare</t>
        </is>
      </c>
      <c r="C364" s="10" t="inlineStr">
        <is>
          <t>Family</t>
        </is>
      </c>
      <c r="D364" s="10">
        <f>IF(COUNTIF(Category!$A:$A,E364)&gt;0,"Yes","No")</f>
        <v/>
      </c>
      <c r="E364" s="10">
        <f>LEFT(A364,80)</f>
        <v/>
      </c>
      <c r="F364" s="10">
        <f>IF(OR(B364="Uncategorised",C364="",C364="Review"),"Needs category/owner",IF(D364="Yes","Already in Category","Add to Category"))</f>
        <v/>
      </c>
    </row>
    <row r="365">
      <c r="A365" s="10" t="inlineStr">
        <is>
          <t>KELLY &amp; WALSH LTD ADMIRALTY</t>
        </is>
      </c>
      <c r="B365" s="10" t="inlineStr">
        <is>
          <t>Book &amp; Kindle</t>
        </is>
      </c>
      <c r="C365" s="10" t="inlineStr">
        <is>
          <t>Family</t>
        </is>
      </c>
      <c r="D365" s="10">
        <f>IF(COUNTIF(Category!$A:$A,E365)&gt;0,"Yes","No")</f>
        <v/>
      </c>
      <c r="E365" s="10">
        <f>LEFT(A365,80)</f>
        <v/>
      </c>
      <c r="F365" s="10">
        <f>IF(OR(B365="Uncategorised",C365="",C365="Review"),"Needs category/owner",IF(D365="Yes","Already in Category","Add to Category"))</f>
        <v/>
      </c>
    </row>
    <row r="366">
      <c r="A366" s="10" t="inlineStr">
        <is>
          <t>HOUSE OF PHARMACY 14456 DOUBLE BAY</t>
        </is>
      </c>
      <c r="B366" s="10" t="inlineStr">
        <is>
          <t>Pharmacy</t>
        </is>
      </c>
      <c r="C366" s="10" t="inlineStr">
        <is>
          <t>Su</t>
        </is>
      </c>
      <c r="D366" s="10">
        <f>IF(COUNTIF(Category!$A:$A,E366)&gt;0,"Yes","No")</f>
        <v/>
      </c>
      <c r="E366" s="10">
        <f>LEFT(A366,80)</f>
        <v/>
      </c>
      <c r="F366" s="10">
        <f>IF(OR(B366="Uncategorised",C366="",C366="Review"),"Needs category/owner",IF(D366="Yes","Already in Category","Add to Category"))</f>
        <v/>
      </c>
    </row>
    <row r="367">
      <c r="A367" s="10" t="inlineStr">
        <is>
          <t>ASIA TICKETING LI MITED HONG KONG</t>
        </is>
      </c>
      <c r="B367" s="10" t="inlineStr">
        <is>
          <t>Uncategorised</t>
        </is>
      </c>
      <c r="C367" s="10" t="inlineStr">
        <is>
          <t>Review</t>
        </is>
      </c>
      <c r="D367" s="10">
        <f>IF(COUNTIF(Category!$A:$A,E367)&gt;0,"Yes","No")</f>
        <v/>
      </c>
      <c r="E367" s="10">
        <f>LEFT(A367,80)</f>
        <v/>
      </c>
      <c r="F367" s="10">
        <f>IF(OR(B367="Uncategorised",C367="",C367="Review"),"Needs category/owner",IF(D367="Yes","Already in Category","Add to Category"))</f>
        <v/>
      </c>
    </row>
    <row r="368">
      <c r="A368" s="10" t="inlineStr">
        <is>
          <t>PLATYPUS SHOES AUSTRALI CRENORNE</t>
        </is>
      </c>
      <c r="B368" s="10" t="inlineStr">
        <is>
          <t>Uncategorised</t>
        </is>
      </c>
      <c r="C368" s="10" t="inlineStr">
        <is>
          <t>Review</t>
        </is>
      </c>
      <c r="D368" s="10">
        <f>IF(COUNTIF(Category!$A:$A,E368)&gt;0,"Yes","No")</f>
        <v/>
      </c>
      <c r="E368" s="10">
        <f>LEFT(A368,80)</f>
        <v/>
      </c>
      <c r="F368" s="10">
        <f>IF(OR(B368="Uncategorised",C368="",C368="Review"),"Needs category/owner",IF(D368="Yes","Already in Category","Add to Category"))</f>
        <v/>
      </c>
    </row>
    <row r="369">
      <c r="A369" s="10" t="inlineStr">
        <is>
          <t>KPAY*UNAGI YONDAIME KIK HONG KONG</t>
        </is>
      </c>
      <c r="B369" s="10" t="inlineStr">
        <is>
          <t>Uncategorised</t>
        </is>
      </c>
      <c r="C369" s="10" t="inlineStr">
        <is>
          <t>Review</t>
        </is>
      </c>
      <c r="D369" s="10">
        <f>IF(COUNTIF(Category!$A:$A,E369)&gt;0,"Yes","No")</f>
        <v/>
      </c>
      <c r="E369" s="10">
        <f>LEFT(A369,80)</f>
        <v/>
      </c>
      <c r="F369" s="10">
        <f>IF(OR(B369="Uncategorised",C369="",C369="Review"),"Needs category/owner",IF(D369="Yes","Already in Category","Add to Category"))</f>
        <v/>
      </c>
    </row>
    <row r="370">
      <c r="A370" s="10" t="inlineStr">
        <is>
          <t>YUKIMURO SENNEN KOU JIYA NIGATA</t>
        </is>
      </c>
      <c r="B370" s="10" t="inlineStr">
        <is>
          <t>Food</t>
        </is>
      </c>
      <c r="C370" s="10" t="inlineStr">
        <is>
          <t>Family</t>
        </is>
      </c>
      <c r="D370" s="10">
        <f>IF(COUNTIF(Category!$A:$A,E370)&gt;0,"Yes","No")</f>
        <v/>
      </c>
      <c r="E370" s="10">
        <f>LEFT(A370,80)</f>
        <v/>
      </c>
      <c r="F370" s="10">
        <f>IF(OR(B370="Uncategorised",C370="",C370="Review"),"Needs category/owner",IF(D370="Yes","Already in Category","Add to Category"))</f>
        <v/>
      </c>
    </row>
    <row r="371">
      <c r="A371" s="10" t="inlineStr">
        <is>
          <t>LANE CRAWFORD (TIMES SQ CAUSEWAY BAY</t>
        </is>
      </c>
      <c r="B371" s="10" t="inlineStr">
        <is>
          <t>Housewares</t>
        </is>
      </c>
      <c r="C371" s="10" t="inlineStr">
        <is>
          <t>Family</t>
        </is>
      </c>
      <c r="D371" s="10">
        <f>IF(COUNTIF(Category!$A:$A,E371)&gt;0,"Yes","No")</f>
        <v/>
      </c>
      <c r="E371" s="10">
        <f>LEFT(A371,80)</f>
        <v/>
      </c>
      <c r="F371" s="10">
        <f>IF(OR(B371="Uncategorised",C371="",C371="Review"),"Needs category/owner",IF(D371="Yes","Already in Category","Add to Category"))</f>
        <v/>
      </c>
    </row>
    <row r="372">
      <c r="A372" s="10" t="inlineStr">
        <is>
          <t>SKITTLE LANEC ir c u l a r Qu ay</t>
        </is>
      </c>
      <c r="B372" s="10" t="inlineStr">
        <is>
          <t>Food</t>
        </is>
      </c>
      <c r="C372" s="10" t="inlineStr">
        <is>
          <t>Family</t>
        </is>
      </c>
      <c r="D372" s="10">
        <f>IF(COUNTIF(Category!$A:$A,E372)&gt;0,"Yes","No")</f>
        <v/>
      </c>
      <c r="E372" s="10">
        <f>LEFT(A372,80)</f>
        <v/>
      </c>
      <c r="F372" s="10">
        <f>IF(OR(B372="Uncategorised",C372="",C372="Review"),"Needs category/owner",IF(D372="Yes","Already in Category","Add to Category"))</f>
        <v/>
      </c>
    </row>
    <row r="373">
      <c r="A373" s="10" t="inlineStr">
        <is>
          <t>EADES OF BATH BATH</t>
        </is>
      </c>
      <c r="B373" s="10" t="inlineStr">
        <is>
          <t>Groceries</t>
        </is>
      </c>
      <c r="C373" s="10" t="inlineStr">
        <is>
          <t>Family</t>
        </is>
      </c>
      <c r="D373" s="10">
        <f>IF(COUNTIF(Category!$A:$A,E373)&gt;0,"Yes","No")</f>
        <v/>
      </c>
      <c r="E373" s="10">
        <f>LEFT(A373,80)</f>
        <v/>
      </c>
      <c r="F373" s="10">
        <f>IF(OR(B373="Uncategorised",C373="",C373="Review"),"Needs category/owner",IF(D373="Yes","Already in Category","Add to Category"))</f>
        <v/>
      </c>
    </row>
    <row r="374">
      <c r="A374" s="10" t="inlineStr">
        <is>
          <t>Rhythm Niseko Setsu meng t ian j u n</t>
        </is>
      </c>
      <c r="B374" s="10" t="inlineStr">
        <is>
          <t>Travel</t>
        </is>
      </c>
      <c r="C374" s="10" t="inlineStr">
        <is>
          <t>Family</t>
        </is>
      </c>
      <c r="D374" s="10">
        <f>IF(COUNTIF(Category!$A:$A,E374)&gt;0,"Yes","No")</f>
        <v/>
      </c>
      <c r="E374" s="10">
        <f>LEFT(A374,80)</f>
        <v/>
      </c>
      <c r="F374" s="10">
        <f>IF(OR(B374="Uncategorised",C374="",C374="Review"),"Needs category/owner",IF(D374="Yes","Already in Category","Add to Category"))</f>
        <v/>
      </c>
    </row>
    <row r="375">
      <c r="A375" s="10" t="inlineStr">
        <is>
          <t>SP FRANKIES BKINIS-LEAP CHICAGO</t>
        </is>
      </c>
      <c r="B375" s="10" t="inlineStr">
        <is>
          <t>Uncategorised</t>
        </is>
      </c>
      <c r="C375" s="10" t="inlineStr">
        <is>
          <t>Review</t>
        </is>
      </c>
      <c r="D375" s="10">
        <f>IF(COUNTIF(Category!$A:$A,E375)&gt;0,"Yes","No")</f>
        <v/>
      </c>
      <c r="E375" s="10">
        <f>LEFT(A375,80)</f>
        <v/>
      </c>
      <c r="F375" s="10">
        <f>IF(OR(B375="Uncategorised",C375="",C375="Review"),"Needs category/owner",IF(D375="Yes","Already in Category","Add to Category"))</f>
        <v/>
      </c>
    </row>
    <row r="376">
      <c r="A376" s="10" t="inlineStr">
        <is>
          <t>LANE CRAW FORD ( I F C ) CENTRAL</t>
        </is>
      </c>
      <c r="B376" s="10" t="inlineStr">
        <is>
          <t>Uncategorised</t>
        </is>
      </c>
      <c r="C376" s="10" t="inlineStr">
        <is>
          <t>Review</t>
        </is>
      </c>
      <c r="D376" s="10">
        <f>IF(COUNTIF(Category!$A:$A,E376)&gt;0,"Yes","No")</f>
        <v/>
      </c>
      <c r="E376" s="10">
        <f>LEFT(A376,80)</f>
        <v/>
      </c>
      <c r="F376" s="10">
        <f>IF(OR(B376="Uncategorised",C376="",C376="Review"),"Needs category/owner",IF(D376="Yes","Already in Category","Add to Category"))</f>
        <v/>
      </c>
    </row>
    <row r="377">
      <c r="A377" s="10" t="inlineStr">
        <is>
          <t>NOVOTEL CENTURY HK HOTE WANCHAI</t>
        </is>
      </c>
      <c r="B377" s="10" t="inlineStr">
        <is>
          <t>Hotel</t>
        </is>
      </c>
      <c r="C377" s="10" t="inlineStr">
        <is>
          <t>Family</t>
        </is>
      </c>
      <c r="D377" s="10">
        <f>IF(COUNTIF(Category!$A:$A,E377)&gt;0,"Yes","No")</f>
        <v/>
      </c>
      <c r="E377" s="10">
        <f>LEFT(A377,80)</f>
        <v/>
      </c>
      <c r="F377" s="10">
        <f>IF(OR(B377="Uncategorised",C377="",C377="Review"),"Needs category/owner",IF(D377="Yes","Already in Category","Add to Category"))</f>
        <v/>
      </c>
    </row>
    <row r="378">
      <c r="A378" s="10" t="inlineStr">
        <is>
          <t>AESOP PADDINGTON MEL BOURNE</t>
        </is>
      </c>
      <c r="B378" s="10" t="inlineStr">
        <is>
          <t>Beauty</t>
        </is>
      </c>
      <c r="C378" s="10" t="inlineStr">
        <is>
          <t>Su</t>
        </is>
      </c>
      <c r="D378" s="10">
        <f>IF(COUNTIF(Category!$A:$A,E378)&gt;0,"Yes","No")</f>
        <v/>
      </c>
      <c r="E378" s="10">
        <f>LEFT(A378,80)</f>
        <v/>
      </c>
      <c r="F378" s="10">
        <f>IF(OR(B378="Uncategorised",C378="",C378="Review"),"Needs category/owner",IF(D378="Yes","Already in Category","Add to Category"))</f>
        <v/>
      </c>
    </row>
    <row r="379">
      <c r="A379" s="10" t="inlineStr">
        <is>
          <t>BBMSL*ASOCIETY GROUP LHK</t>
        </is>
      </c>
      <c r="B379" s="10" t="inlineStr">
        <is>
          <t>Uncategorised</t>
        </is>
      </c>
      <c r="C379" s="10" t="inlineStr">
        <is>
          <t>Review</t>
        </is>
      </c>
      <c r="D379" s="10">
        <f>IF(COUNTIF(Category!$A:$A,E379)&gt;0,"Yes","No")</f>
        <v/>
      </c>
      <c r="E379" s="10">
        <f>LEFT(A379,80)</f>
        <v/>
      </c>
      <c r="F379" s="10">
        <f>IF(OR(B379="Uncategorised",C379="",C379="Review"),"Needs category/owner",IF(D379="Yes","Already in Category","Add to Category"))</f>
        <v/>
      </c>
    </row>
    <row r="380">
      <c r="A380" s="10" t="inlineStr">
        <is>
          <t>TST-KOYA - SOHO LONDON</t>
        </is>
      </c>
      <c r="B380" s="10" t="inlineStr">
        <is>
          <t>Dining out</t>
        </is>
      </c>
      <c r="C380" s="10" t="inlineStr">
        <is>
          <t>Family</t>
        </is>
      </c>
      <c r="D380" s="10">
        <f>IF(COUNTIF(Category!$A:$A,E380)&gt;0,"Yes","No")</f>
        <v/>
      </c>
      <c r="E380" s="10">
        <f>LEFT(A380,80)</f>
        <v/>
      </c>
      <c r="F380" s="10">
        <f>IF(OR(B380="Uncategorised",C380="",C380="Review"),"Needs category/owner",IF(D380="Yes","Already in Category","Add to Category"))</f>
        <v/>
      </c>
    </row>
    <row r="381">
      <c r="A381" s="10" t="inlineStr">
        <is>
          <t>JIHOSYDNEY SYDNEY</t>
        </is>
      </c>
      <c r="B381" s="10" t="inlineStr">
        <is>
          <t>Uncategorised</t>
        </is>
      </c>
      <c r="C381" s="10" t="inlineStr">
        <is>
          <t>Review</t>
        </is>
      </c>
      <c r="D381" s="10">
        <f>IF(COUNTIF(Category!$A:$A,E381)&gt;0,"Yes","No")</f>
        <v/>
      </c>
      <c r="E381" s="10">
        <f>LEFT(A381,80)</f>
        <v/>
      </c>
      <c r="F381" s="10">
        <f>IF(OR(B381="Uncategorised",C381="",C381="Review"),"Needs category/owner",IF(D381="Yes","Already in Category","Add to Category"))</f>
        <v/>
      </c>
    </row>
    <row r="382">
      <c r="A382" s="10" t="inlineStr">
        <is>
          <t>SHANGHAI FOOD LIMITED CENTRAL</t>
        </is>
      </c>
      <c r="B382" s="10" t="inlineStr">
        <is>
          <t>Uncategorised</t>
        </is>
      </c>
      <c r="C382" s="10" t="inlineStr">
        <is>
          <t>Review</t>
        </is>
      </c>
      <c r="D382" s="10">
        <f>IF(COUNTIF(Category!$A:$A,E382)&gt;0,"Yes","No")</f>
        <v/>
      </c>
      <c r="E382" s="10">
        <f>LEFT(A382,80)</f>
        <v/>
      </c>
      <c r="F382" s="10">
        <f>IF(OR(B382="Uncategorised",C382="",C382="Review"),"Needs category/owner",IF(D382="Yes","Already in Category","Add to Category"))</f>
        <v/>
      </c>
    </row>
    <row r="383">
      <c r="A383" s="10" t="inlineStr">
        <is>
          <t>G 7 QADMIRALTY</t>
        </is>
      </c>
      <c r="B383" s="10" t="inlineStr">
        <is>
          <t>Uncategorised</t>
        </is>
      </c>
      <c r="C383" s="10" t="inlineStr">
        <is>
          <t>Review</t>
        </is>
      </c>
      <c r="D383" s="10">
        <f>IF(COUNTIF(Category!$A:$A,E383)&gt;0,"Yes","No")</f>
        <v/>
      </c>
      <c r="E383" s="10">
        <f>LEFT(A383,80)</f>
        <v/>
      </c>
      <c r="F383" s="10">
        <f>IF(OR(B383="Uncategorised",C383="",C383="Review"),"Needs category/owner",IF(D383="Yes","Already in Category","Add to Category"))</f>
        <v/>
      </c>
    </row>
    <row r="384">
      <c r="A384" s="10" t="inlineStr">
        <is>
          <t>SI MON JOHNSON WOOL WOOLLAHRA</t>
        </is>
      </c>
      <c r="B384" s="10" t="inlineStr">
        <is>
          <t>Groceries</t>
        </is>
      </c>
      <c r="C384" s="10" t="inlineStr">
        <is>
          <t>Family</t>
        </is>
      </c>
      <c r="D384" s="10">
        <f>IF(COUNTIF(Category!$A:$A,E384)&gt;0,"Yes","No")</f>
        <v/>
      </c>
      <c r="E384" s="10">
        <f>LEFT(A384,80)</f>
        <v/>
      </c>
      <c r="F384" s="10">
        <f>IF(OR(B384="Uncategorised",C384="",C384="Review"),"Needs category/owner",IF(D384="Yes","Already in Category","Add to Category"))</f>
        <v/>
      </c>
    </row>
    <row r="385">
      <c r="A385" s="10" t="inlineStr">
        <is>
          <t>SILVER RAY LONDON</t>
        </is>
      </c>
      <c r="B385" s="10" t="inlineStr">
        <is>
          <t>Uncategorised</t>
        </is>
      </c>
      <c r="C385" s="10" t="inlineStr">
        <is>
          <t>Review</t>
        </is>
      </c>
      <c r="D385" s="10">
        <f>IF(COUNTIF(Category!$A:$A,E385)&gt;0,"Yes","No")</f>
        <v/>
      </c>
      <c r="E385" s="10">
        <f>LEFT(A385,80)</f>
        <v/>
      </c>
      <c r="F385" s="10">
        <f>IF(OR(B385="Uncategorised",C385="",C385="Review"),"Needs category/owner",IF(D385="Yes","Already in Category","Add to Category"))</f>
        <v/>
      </c>
    </row>
    <row r="386">
      <c r="A386" s="10" t="inlineStr">
        <is>
          <t>SP OSTRICHPILLOW MADRID</t>
        </is>
      </c>
      <c r="B386" s="10" t="inlineStr">
        <is>
          <t>Uncategorised</t>
        </is>
      </c>
      <c r="C386" s="10" t="inlineStr">
        <is>
          <t>Review</t>
        </is>
      </c>
      <c r="D386" s="10">
        <f>IF(COUNTIF(Category!$A:$A,E386)&gt;0,"Yes","No")</f>
        <v/>
      </c>
      <c r="E386" s="10">
        <f>LEFT(A386,80)</f>
        <v/>
      </c>
      <c r="F386" s="10">
        <f>IF(OR(B386="Uncategorised",C386="",C386="Review"),"Needs category/owner",IF(D386="Yes","Already in Category","Add to Category"))</f>
        <v/>
      </c>
    </row>
    <row r="387">
      <c r="A387" s="10" t="inlineStr">
        <is>
          <t>SENSO WOOCO MM ERCES u rr y H ills</t>
        </is>
      </c>
      <c r="B387" s="10" t="inlineStr">
        <is>
          <t>Uncategorised</t>
        </is>
      </c>
      <c r="C387" s="10" t="inlineStr">
        <is>
          <t>Review</t>
        </is>
      </c>
      <c r="D387" s="10">
        <f>IF(COUNTIF(Category!$A:$A,E387)&gt;0,"Yes","No")</f>
        <v/>
      </c>
      <c r="E387" s="10">
        <f>LEFT(A387,80)</f>
        <v/>
      </c>
      <c r="F387" s="10">
        <f>IF(OR(B387="Uncategorised",C387="",C387="Review"),"Needs category/owner",IF(D387="Yes","Already in Category","Add to Category"))</f>
        <v/>
      </c>
    </row>
    <row r="388">
      <c r="A388" s="10" t="inlineStr">
        <is>
          <t>KPAY * MAISON KARYA 00000 HONG KONG</t>
        </is>
      </c>
      <c r="B388" s="10" t="inlineStr">
        <is>
          <t>Uncategorised</t>
        </is>
      </c>
      <c r="C388" s="10" t="inlineStr">
        <is>
          <t>Review</t>
        </is>
      </c>
      <c r="D388" s="10">
        <f>IF(COUNTIF(Category!$A:$A,E388)&gt;0,"Yes","No")</f>
        <v/>
      </c>
      <c r="E388" s="10">
        <f>LEFT(A388,80)</f>
        <v/>
      </c>
      <c r="F388" s="10">
        <f>IF(OR(B388="Uncategorised",C388="",C388="Review"),"Needs category/owner",IF(D388="Yes","Already in Category","Add to Category"))</f>
        <v/>
      </c>
    </row>
    <row r="389">
      <c r="A389" s="10" t="inlineStr">
        <is>
          <t>SHOPBOP.COM 877-746-7267</t>
        </is>
      </c>
      <c r="B389" s="10" t="inlineStr">
        <is>
          <t>Uncategorised</t>
        </is>
      </c>
      <c r="C389" s="10" t="inlineStr">
        <is>
          <t>Review</t>
        </is>
      </c>
      <c r="D389" s="10">
        <f>IF(COUNTIF(Category!$A:$A,E389)&gt;0,"Yes","No")</f>
        <v/>
      </c>
      <c r="E389" s="10">
        <f>LEFT(A389,80)</f>
        <v/>
      </c>
      <c r="F389" s="10">
        <f>IF(OR(B389="Uncategorised",C389="",C389="Review"),"Needs category/owner",IF(D389="Yes","Already in Category","Add to Category"))</f>
        <v/>
      </c>
    </row>
    <row r="390">
      <c r="A390" s="10" t="inlineStr">
        <is>
          <t>LULULEMON HK LIMITED WANCHAI</t>
        </is>
      </c>
      <c r="B390" s="10" t="inlineStr">
        <is>
          <t>Uncategorised</t>
        </is>
      </c>
      <c r="C390" s="10" t="inlineStr">
        <is>
          <t>Review</t>
        </is>
      </c>
      <c r="D390" s="10">
        <f>IF(COUNTIF(Category!$A:$A,E390)&gt;0,"Yes","No")</f>
        <v/>
      </c>
      <c r="E390" s="10">
        <f>LEFT(A390,80)</f>
        <v/>
      </c>
      <c r="F390" s="10">
        <f>IF(OR(B390="Uncategorised",C390="",C390="Review"),"Needs category/owner",IF(D390="Yes","Already in Category","Add to Category"))</f>
        <v/>
      </c>
    </row>
    <row r="391">
      <c r="A391" s="10" t="inlineStr">
        <is>
          <t>THE DAIRY FARM MANNINGSK WUN TONG</t>
        </is>
      </c>
      <c r="B391" s="10" t="inlineStr">
        <is>
          <t>Beauty</t>
        </is>
      </c>
      <c r="C391" s="10" t="inlineStr">
        <is>
          <t>Su</t>
        </is>
      </c>
      <c r="D391" s="10">
        <f>IF(COUNTIF(Category!$A:$A,E391)&gt;0,"Yes","No")</f>
        <v/>
      </c>
      <c r="E391" s="10">
        <f>LEFT(A391,80)</f>
        <v/>
      </c>
      <c r="F391" s="10">
        <f>IF(OR(B391="Uncategorised",C391="",C391="Review"),"Needs category/owner",IF(D391="Yes","Already in Category","Add to Category"))</f>
        <v/>
      </c>
    </row>
    <row r="392">
      <c r="A392" s="10" t="inlineStr">
        <is>
          <t>SP ST. ALI SOUTH MELBOURNE</t>
        </is>
      </c>
      <c r="B392" s="10" t="inlineStr">
        <is>
          <t>Uncategorised</t>
        </is>
      </c>
      <c r="C392" s="10" t="inlineStr">
        <is>
          <t>Review</t>
        </is>
      </c>
      <c r="D392" s="10">
        <f>IF(COUNTIF(Category!$A:$A,E392)&gt;0,"Yes","No")</f>
        <v/>
      </c>
      <c r="E392" s="10">
        <f>LEFT(A392,80)</f>
        <v/>
      </c>
      <c r="F392" s="10">
        <f>IF(OR(B392="Uncategorised",C392="",C392="Review"),"Needs category/owner",IF(D392="Yes","Already in Category","Add to Category"))</f>
        <v/>
      </c>
    </row>
    <row r="393">
      <c r="A393" s="10" t="inlineStr">
        <is>
          <t>DAND DEPARTMENT KYOTO KYOTO</t>
        </is>
      </c>
      <c r="B393" s="10" t="inlineStr">
        <is>
          <t>Uncategorised</t>
        </is>
      </c>
      <c r="C393" s="10" t="inlineStr">
        <is>
          <t>Review</t>
        </is>
      </c>
      <c r="D393" s="10">
        <f>IF(COUNTIF(Category!$A:$A,E393)&gt;0,"Yes","No")</f>
        <v/>
      </c>
      <c r="E393" s="10">
        <f>LEFT(A393,80)</f>
        <v/>
      </c>
      <c r="F393" s="10">
        <f>IF(OR(B393="Uncategorised",C393="",C393="Review"),"Needs category/owner",IF(D393="Yes","Already in Category","Add to Category"))</f>
        <v/>
      </c>
    </row>
    <row r="394">
      <c r="A394" s="10" t="inlineStr">
        <is>
          <t>AMZNMKTPLACE*AF1BP49T5 AMAZON.CO.UK</t>
        </is>
      </c>
      <c r="B394" s="10" t="inlineStr">
        <is>
          <t>Book &amp; Kindle</t>
        </is>
      </c>
      <c r="C394" s="10" t="inlineStr">
        <is>
          <t>Family</t>
        </is>
      </c>
      <c r="D394" s="10">
        <f>IF(COUNTIF(Category!$A:$A,E394)&gt;0,"Yes","No")</f>
        <v/>
      </c>
      <c r="E394" s="10">
        <f>LEFT(A394,80)</f>
        <v/>
      </c>
      <c r="F394" s="10">
        <f>IF(OR(B394="Uncategorised",C394="",C394="Review"),"Needs category/owner",IF(D394="Yes","Already in Category","Add to Category"))</f>
        <v/>
      </c>
    </row>
    <row r="395">
      <c r="A395" s="10" t="inlineStr">
        <is>
          <t>M u sinsa Co. , Ltd. M u sin SEOUL</t>
        </is>
      </c>
      <c r="B395" s="10" t="inlineStr">
        <is>
          <t>Uncategorised</t>
        </is>
      </c>
      <c r="C395" s="10" t="inlineStr">
        <is>
          <t>Review</t>
        </is>
      </c>
      <c r="D395" s="10">
        <f>IF(COUNTIF(Category!$A:$A,E395)&gt;0,"Yes","No")</f>
        <v/>
      </c>
      <c r="E395" s="10">
        <f>LEFT(A395,80)</f>
        <v/>
      </c>
      <c r="F395" s="10">
        <f>IF(OR(B395="Uncategorised",C395="",C395="Review"),"Needs category/owner",IF(D395="Yes","Already in Category","Add to Category"))</f>
        <v/>
      </c>
    </row>
    <row r="396">
      <c r="A396" s="10" t="inlineStr">
        <is>
          <t>STOCKXX*14576436151932 PHILADELPHIA</t>
        </is>
      </c>
      <c r="B396" s="10" t="inlineStr">
        <is>
          <t>Uncategorised</t>
        </is>
      </c>
      <c r="C396" s="10" t="inlineStr">
        <is>
          <t>Review</t>
        </is>
      </c>
      <c r="D396" s="10">
        <f>IF(COUNTIF(Category!$A:$A,E396)&gt;0,"Yes","No")</f>
        <v/>
      </c>
      <c r="E396" s="10">
        <f>LEFT(A396,80)</f>
        <v/>
      </c>
      <c r="F396" s="10">
        <f>IF(OR(B396="Uncategorised",C396="",C396="Review"),"Needs category/owner",IF(D396="Yes","Already in Category","Add to Category"))</f>
        <v/>
      </c>
    </row>
    <row r="397">
      <c r="A397" s="10" t="inlineStr">
        <is>
          <t>SUMUP*BIOCOL LABS LISBOA</t>
        </is>
      </c>
      <c r="B397" s="10" t="inlineStr">
        <is>
          <t>Health</t>
        </is>
      </c>
      <c r="C397" s="10" t="inlineStr">
        <is>
          <t>Su</t>
        </is>
      </c>
      <c r="D397" s="10">
        <f>IF(COUNTIF(Category!$A:$A,E397)&gt;0,"Yes","No")</f>
        <v/>
      </c>
      <c r="E397" s="10">
        <f>LEFT(A397,80)</f>
        <v/>
      </c>
      <c r="F397" s="10">
        <f>IF(OR(B397="Uncategorised",C397="",C397="Review"),"Needs category/owner",IF(D397="Yes","Already in Category","Add to Category"))</f>
        <v/>
      </c>
    </row>
    <row r="398">
      <c r="A398" s="10" t="inlineStr">
        <is>
          <t>KRP * Exim b ay SEOUL</t>
        </is>
      </c>
      <c r="B398" s="10" t="inlineStr">
        <is>
          <t>Uncategorised</t>
        </is>
      </c>
      <c r="C398" s="10" t="inlineStr">
        <is>
          <t>Review</t>
        </is>
      </c>
      <c r="D398" s="10">
        <f>IF(COUNTIF(Category!$A:$A,E398)&gt;0,"Yes","No")</f>
        <v/>
      </c>
      <c r="E398" s="10">
        <f>LEFT(A398,80)</f>
        <v/>
      </c>
      <c r="F398" s="10">
        <f>IF(OR(B398="Uncategorised",C398="",C398="Review"),"Needs category/owner",IF(D398="Yes","Already in Category","Add to Category"))</f>
        <v/>
      </c>
    </row>
    <row r="399">
      <c r="A399" s="10" t="inlineStr">
        <is>
          <t>BEON/ BEONINHAL SEOUL</t>
        </is>
      </c>
      <c r="B399" s="10" t="inlineStr">
        <is>
          <t>Uncategorised</t>
        </is>
      </c>
      <c r="C399" s="10" t="inlineStr">
        <is>
          <t>Review</t>
        </is>
      </c>
      <c r="D399" s="10">
        <f>IF(COUNTIF(Category!$A:$A,E399)&gt;0,"Yes","No")</f>
        <v/>
      </c>
      <c r="E399" s="10">
        <f>LEFT(A399,80)</f>
        <v/>
      </c>
      <c r="F399" s="10">
        <f>IF(OR(B399="Uncategorised",C399="",C399="Review"),"Needs category/owner",IF(D399="Yes","Already in Category","Add to Category"))</f>
        <v/>
      </c>
    </row>
    <row r="400">
      <c r="A400" s="10" t="inlineStr">
        <is>
          <t>SKITTLE LANE Circular Quay</t>
        </is>
      </c>
      <c r="B400" s="10" t="inlineStr">
        <is>
          <t>Food</t>
        </is>
      </c>
      <c r="C400" s="10" t="inlineStr">
        <is>
          <t>Family</t>
        </is>
      </c>
      <c r="D400" s="10">
        <f>IF(COUNTIF(Category!$A:$A,E400)&gt;0,"Yes","No")</f>
        <v/>
      </c>
      <c r="E400" s="10">
        <f>LEFT(A400,80)</f>
        <v/>
      </c>
      <c r="F400" s="10">
        <f>IF(OR(B400="Uncategorised",C400="",C400="Review"),"Needs category/owner",IF(D400="Yes","Already in Category","Add to Category"))</f>
        <v/>
      </c>
    </row>
    <row r="401">
      <c r="A401" s="10" t="inlineStr">
        <is>
          <t>SP MOMOFUKU PEACHY KNEW YORK</t>
        </is>
      </c>
      <c r="B401" s="10" t="inlineStr">
        <is>
          <t>Uncategorised</t>
        </is>
      </c>
      <c r="C401" s="10" t="inlineStr">
        <is>
          <t>Review</t>
        </is>
      </c>
      <c r="D401" s="10">
        <f>IF(COUNTIF(Category!$A:$A,E401)&gt;0,"Yes","No")</f>
        <v/>
      </c>
      <c r="E401" s="10">
        <f>LEFT(A401,80)</f>
        <v/>
      </c>
      <c r="F401" s="10">
        <f>IF(OR(B401="Uncategorised",C401="",C401="Review"),"Needs category/owner",IF(D401="Yes","Already in Category","Add to Category"))</f>
        <v/>
      </c>
    </row>
    <row r="402">
      <c r="A402" s="10" t="inlineStr">
        <is>
          <t>SIMPLY TOYS ADMIRALTY</t>
        </is>
      </c>
      <c r="B402" s="10" t="inlineStr">
        <is>
          <t>Uncategorised</t>
        </is>
      </c>
      <c r="C402" s="10" t="inlineStr">
        <is>
          <t>Review</t>
        </is>
      </c>
      <c r="D402" s="10">
        <f>IF(COUNTIF(Category!$A:$A,E402)&gt;0,"Yes","No")</f>
        <v/>
      </c>
      <c r="E402" s="10">
        <f>LEFT(A402,80)</f>
        <v/>
      </c>
      <c r="F402" s="10">
        <f>IF(OR(B402="Uncategorised",C402="",C402="Review"),"Needs category/owner",IF(D402="Yes","Already in Category","Add to Category"))</f>
        <v/>
      </c>
    </row>
    <row r="403">
      <c r="A403" s="10" t="inlineStr">
        <is>
          <t>FOOD PANDA 521446 HK</t>
        </is>
      </c>
      <c r="B403" s="10" t="inlineStr">
        <is>
          <t>Food</t>
        </is>
      </c>
      <c r="C403" s="10" t="inlineStr">
        <is>
          <t>Family</t>
        </is>
      </c>
      <c r="D403" s="10">
        <f>IF(COUNTIF(Category!$A:$A,E403)&gt;0,"Yes","No")</f>
        <v/>
      </c>
      <c r="E403" s="10">
        <f>LEFT(A403,80)</f>
        <v/>
      </c>
      <c r="F403" s="10">
        <f>IF(OR(B403="Uncategorised",C403="",C403="Review"),"Needs category/owner",IF(D403="Yes","Already in Category","Add to Category"))</f>
        <v/>
      </c>
    </row>
    <row r="404">
      <c r="A404" s="10" t="inlineStr">
        <is>
          <t>APPLE STORER 335 R 335 BATH</t>
        </is>
      </c>
      <c r="B404" s="10" t="inlineStr">
        <is>
          <t>Electronics</t>
        </is>
      </c>
      <c r="C404" s="10" t="inlineStr">
        <is>
          <t>Family</t>
        </is>
      </c>
      <c r="D404" s="10">
        <f>IF(COUNTIF(Category!$A:$A,E404)&gt;0,"Yes","No")</f>
        <v/>
      </c>
      <c r="E404" s="10">
        <f>LEFT(A404,80)</f>
        <v/>
      </c>
      <c r="F404" s="10">
        <f>IF(OR(B404="Uncategorised",C404="",C404="Review"),"Needs category/owner",IF(D404="Yes","Already in Category","Add to Category"))</f>
        <v/>
      </c>
    </row>
    <row r="405">
      <c r="A405" s="10" t="inlineStr">
        <is>
          <t>ZARA-I F CCENTRAL</t>
        </is>
      </c>
      <c r="B405" s="10" t="inlineStr">
        <is>
          <t>Uncategorised</t>
        </is>
      </c>
      <c r="C405" s="10" t="inlineStr">
        <is>
          <t>Review</t>
        </is>
      </c>
      <c r="D405" s="10">
        <f>IF(COUNTIF(Category!$A:$A,E405)&gt;0,"Yes","No")</f>
        <v/>
      </c>
      <c r="E405" s="10">
        <f>LEFT(A405,80)</f>
        <v/>
      </c>
      <c r="F405" s="10">
        <f>IF(OR(B405="Uncategorised",C405="",C405="Review"),"Needs category/owner",IF(D405="Yes","Already in Category","Add to Category"))</f>
        <v/>
      </c>
    </row>
    <row r="406">
      <c r="A406" s="10" t="inlineStr">
        <is>
          <t>FALCONE CENTRAL</t>
        </is>
      </c>
      <c r="B406" s="10" t="inlineStr">
        <is>
          <t>Uncategorised</t>
        </is>
      </c>
      <c r="C406" s="10" t="inlineStr">
        <is>
          <t>Review</t>
        </is>
      </c>
      <c r="D406" s="10">
        <f>IF(COUNTIF(Category!$A:$A,E406)&gt;0,"Yes","No")</f>
        <v/>
      </c>
      <c r="E406" s="10">
        <f>LEFT(A406,80)</f>
        <v/>
      </c>
      <c r="F406" s="10">
        <f>IF(OR(B406="Uncategorised",C406="",C406="Review"),"Needs category/owner",IF(D406="Yes","Already in Category","Add to Category"))</f>
        <v/>
      </c>
    </row>
    <row r="407">
      <c r="A407" s="10" t="inlineStr">
        <is>
          <t>RA FF LES HOTEL SINGAPORE SINGAPORE</t>
        </is>
      </c>
      <c r="B407" s="10" t="inlineStr">
        <is>
          <t>Uncategorised</t>
        </is>
      </c>
      <c r="C407" s="10" t="inlineStr">
        <is>
          <t>Review</t>
        </is>
      </c>
      <c r="D407" s="10">
        <f>IF(COUNTIF(Category!$A:$A,E407)&gt;0,"Yes","No")</f>
        <v/>
      </c>
      <c r="E407" s="10">
        <f>LEFT(A407,80)</f>
        <v/>
      </c>
      <c r="F407" s="10">
        <f>IF(OR(B407="Uncategorised",C407="",C407="Review"),"Needs category/owner",IF(D407="Yes","Already in Category","Add to Category"))</f>
        <v/>
      </c>
    </row>
    <row r="408">
      <c r="A408" s="10" t="inlineStr">
        <is>
          <t>PAYPAL *CONDE NAST 8008252510</t>
        </is>
      </c>
      <c r="B408" s="10" t="inlineStr">
        <is>
          <t>Misc</t>
        </is>
      </c>
      <c r="C408" s="10" t="inlineStr">
        <is>
          <t>Family</t>
        </is>
      </c>
      <c r="D408" s="10">
        <f>IF(COUNTIF(Category!$A:$A,E408)&gt;0,"Yes","No")</f>
        <v/>
      </c>
      <c r="E408" s="10">
        <f>LEFT(A408,80)</f>
        <v/>
      </c>
      <c r="F408" s="10">
        <f>IF(OR(B408="Uncategorised",C408="",C408="Review"),"Needs category/owner",IF(D408="Yes","Already in Category","Add to Category"))</f>
        <v/>
      </c>
    </row>
    <row r="409">
      <c r="A409" s="10" t="inlineStr">
        <is>
          <t>COLONNA &amp; SMALL'SLIMIT Bath</t>
        </is>
      </c>
      <c r="B409" s="10" t="inlineStr">
        <is>
          <t>Uncategorised</t>
        </is>
      </c>
      <c r="C409" s="10" t="inlineStr">
        <is>
          <t>Review</t>
        </is>
      </c>
      <c r="D409" s="10">
        <f>IF(COUNTIF(Category!$A:$A,E409)&gt;0,"Yes","No")</f>
        <v/>
      </c>
      <c r="E409" s="10">
        <f>LEFT(A409,80)</f>
        <v/>
      </c>
      <c r="F409" s="10">
        <f>IF(OR(B409="Uncategorised",C409="",C409="Review"),"Needs category/owner",IF(D409="Yes","Already in Category","Add to Category"))</f>
        <v/>
      </c>
    </row>
    <row r="410">
      <c r="A410" s="10" t="inlineStr">
        <is>
          <t>SP AKUBRA KEMPSEY</t>
        </is>
      </c>
      <c r="B410" s="10" t="inlineStr">
        <is>
          <t>Uncategorised</t>
        </is>
      </c>
      <c r="C410" s="10" t="inlineStr">
        <is>
          <t>Review</t>
        </is>
      </c>
      <c r="D410" s="10">
        <f>IF(COUNTIF(Category!$A:$A,E410)&gt;0,"Yes","No")</f>
        <v/>
      </c>
      <c r="E410" s="10">
        <f>LEFT(A410,80)</f>
        <v/>
      </c>
      <c r="F410" s="10">
        <f>IF(OR(B410="Uncategorised",C410="",C410="Review"),"Needs category/owner",IF(D410="Yes","Already in Category","Add to Category"))</f>
        <v/>
      </c>
    </row>
    <row r="411">
      <c r="A411" s="10" t="inlineStr">
        <is>
          <t>SP INSTANT SWIM GUILDFORD</t>
        </is>
      </c>
      <c r="B411" s="10" t="inlineStr">
        <is>
          <t>Uncategorised</t>
        </is>
      </c>
      <c r="C411" s="10" t="inlineStr">
        <is>
          <t>Review</t>
        </is>
      </c>
      <c r="D411" s="10">
        <f>IF(COUNTIF(Category!$A:$A,E411)&gt;0,"Yes","No")</f>
        <v/>
      </c>
      <c r="E411" s="10">
        <f>LEFT(A411,80)</f>
        <v/>
      </c>
      <c r="F411" s="10">
        <f>IF(OR(B411="Uncategorised",C411="",C411="Review"),"Needs category/owner",IF(D411="Yes","Already in Category","Add to Category"))</f>
        <v/>
      </c>
    </row>
    <row r="412">
      <c r="A412" s="10" t="inlineStr">
        <is>
          <t>BOBBI BROWN ESSENTIALS CENTRAL</t>
        </is>
      </c>
      <c r="B412" s="10" t="inlineStr">
        <is>
          <t>Beauty</t>
        </is>
      </c>
      <c r="C412" s="10" t="inlineStr">
        <is>
          <t>Su</t>
        </is>
      </c>
      <c r="D412" s="10">
        <f>IF(COUNTIF(Category!$A:$A,E412)&gt;0,"Yes","No")</f>
        <v/>
      </c>
      <c r="E412" s="10">
        <f>LEFT(A412,80)</f>
        <v/>
      </c>
      <c r="F412" s="10">
        <f>IF(OR(B412="Uncategorised",C412="",C412="Review"),"Needs category/owner",IF(D412="Yes","Already in Category","Add to Category"))</f>
        <v/>
      </c>
    </row>
    <row r="413">
      <c r="A413" s="10" t="inlineStr">
        <is>
          <t>ASIA MILES LI MITED HONG KONG</t>
        </is>
      </c>
      <c r="B413" s="10" t="inlineStr">
        <is>
          <t>Airfare</t>
        </is>
      </c>
      <c r="C413" s="10" t="inlineStr">
        <is>
          <t>Family</t>
        </is>
      </c>
      <c r="D413" s="10">
        <f>IF(COUNTIF(Category!$A:$A,E413)&gt;0,"Yes","No")</f>
        <v/>
      </c>
      <c r="E413" s="10">
        <f>LEFT(A413,80)</f>
        <v/>
      </c>
      <c r="F413" s="10">
        <f>IF(OR(B413="Uncategorised",C413="",C413="Review"),"Needs category/owner",IF(D413="Yes","Already in Category","Add to Category"))</f>
        <v/>
      </c>
    </row>
    <row r="414">
      <c r="A414" s="10" t="inlineStr">
        <is>
          <t>SP IKKARI SURRY HILLS</t>
        </is>
      </c>
      <c r="B414" s="10" t="inlineStr">
        <is>
          <t>Uncategorised</t>
        </is>
      </c>
      <c r="C414" s="10" t="inlineStr">
        <is>
          <t>Review</t>
        </is>
      </c>
      <c r="D414" s="10">
        <f>IF(COUNTIF(Category!$A:$A,E414)&gt;0,"Yes","No")</f>
        <v/>
      </c>
      <c r="E414" s="10">
        <f>LEFT(A414,80)</f>
        <v/>
      </c>
      <c r="F414" s="10">
        <f>IF(OR(B414="Uncategorised",C414="",C414="Review"),"Needs category/owner",IF(D414="Yes","Already in Category","Add to Category"))</f>
        <v/>
      </c>
    </row>
    <row r="415">
      <c r="A415" s="10" t="inlineStr">
        <is>
          <t>FINELINE GLO BAL BRANDS WOOLLAHRA</t>
        </is>
      </c>
      <c r="B415" s="10" t="inlineStr">
        <is>
          <t>Uncategorised</t>
        </is>
      </c>
      <c r="C415" s="10" t="inlineStr">
        <is>
          <t>Review</t>
        </is>
      </c>
      <c r="D415" s="10">
        <f>IF(COUNTIF(Category!$A:$A,E415)&gt;0,"Yes","No")</f>
        <v/>
      </c>
      <c r="E415" s="10">
        <f>LEFT(A415,80)</f>
        <v/>
      </c>
      <c r="F415" s="10">
        <f>IF(OR(B415="Uncategorised",C415="",C415="Review"),"Needs category/owner",IF(D415="Yes","Already in Category","Add to Category"))</f>
        <v/>
      </c>
    </row>
    <row r="416">
      <c r="A416" s="10" t="inlineStr">
        <is>
          <t>SCMP* SCMP HONG KONG</t>
        </is>
      </c>
      <c r="B416" s="10" t="inlineStr">
        <is>
          <t>Uncategorised</t>
        </is>
      </c>
      <c r="C416" s="10" t="inlineStr">
        <is>
          <t>Review</t>
        </is>
      </c>
      <c r="D416" s="10">
        <f>IF(COUNTIF(Category!$A:$A,E416)&gt;0,"Yes","No")</f>
        <v/>
      </c>
      <c r="E416" s="10">
        <f>LEFT(A416,80)</f>
        <v/>
      </c>
      <c r="F416" s="10">
        <f>IF(OR(B416="Uncategorised",C416="",C416="Review"),"Needs category/owner",IF(D416="Yes","Already in Category","Add to Category"))</f>
        <v/>
      </c>
    </row>
    <row r="417">
      <c r="A417" s="10" t="inlineStr">
        <is>
          <t>Colonna and Smalls Ltd Bath</t>
        </is>
      </c>
      <c r="B417" s="10" t="inlineStr">
        <is>
          <t>Uncategorised</t>
        </is>
      </c>
      <c r="C417" s="10" t="inlineStr">
        <is>
          <t>Review</t>
        </is>
      </c>
      <c r="D417" s="10">
        <f>IF(COUNTIF(Category!$A:$A,E417)&gt;0,"Yes","No")</f>
        <v/>
      </c>
      <c r="E417" s="10">
        <f>LEFT(A417,80)</f>
        <v/>
      </c>
      <c r="F417" s="10">
        <f>IF(OR(B417="Uncategorised",C417="",C417="Review"),"Needs category/owner",IF(D417="Yes","Already in Category","Add to Category"))</f>
        <v/>
      </c>
    </row>
    <row r="418">
      <c r="A418" s="10" t="inlineStr">
        <is>
          <t>BAYSIDE NATURAL HEALTH DOUBLE BAY</t>
        </is>
      </c>
      <c r="B418" s="10" t="inlineStr">
        <is>
          <t>Uncategorised</t>
        </is>
      </c>
      <c r="C418" s="10" t="inlineStr">
        <is>
          <t>Review</t>
        </is>
      </c>
      <c r="D418" s="10">
        <f>IF(COUNTIF(Category!$A:$A,E418)&gt;0,"Yes","No")</f>
        <v/>
      </c>
      <c r="E418" s="10">
        <f>LEFT(A418,80)</f>
        <v/>
      </c>
      <c r="F418" s="10">
        <f>IF(OR(B418="Uncategorised",C418="",C418="Review"),"Needs category/owner",IF(D418="Yes","Already in Category","Add to Category"))</f>
        <v/>
      </c>
    </row>
    <row r="419">
      <c r="A419" s="10" t="inlineStr">
        <is>
          <t>PAYPAL * DROPB O XINTE 4029357733</t>
        </is>
      </c>
      <c r="B419" s="10" t="inlineStr">
        <is>
          <t>Uncategorised</t>
        </is>
      </c>
      <c r="C419" s="10" t="inlineStr">
        <is>
          <t>Review</t>
        </is>
      </c>
      <c r="D419" s="10">
        <f>IF(COUNTIF(Category!$A:$A,E419)&gt;0,"Yes","No")</f>
        <v/>
      </c>
      <c r="E419" s="10">
        <f>LEFT(A419,80)</f>
        <v/>
      </c>
      <c r="F419" s="10">
        <f>IF(OR(B419="Uncategorised",C419="",C419="Review"),"Needs category/owner",IF(D419="Yes","Already in Category","Add to Category"))</f>
        <v/>
      </c>
    </row>
    <row r="420">
      <c r="A420" s="10" t="inlineStr">
        <is>
          <t>FOOT LOCKER AUSTALIA IN MURARRIE</t>
        </is>
      </c>
      <c r="B420" s="10" t="inlineStr">
        <is>
          <t>Uncategorised</t>
        </is>
      </c>
      <c r="C420" s="10" t="inlineStr">
        <is>
          <t>Review</t>
        </is>
      </c>
      <c r="D420" s="10">
        <f>IF(COUNTIF(Category!$A:$A,E420)&gt;0,"Yes","No")</f>
        <v/>
      </c>
      <c r="E420" s="10">
        <f>LEFT(A420,80)</f>
        <v/>
      </c>
      <c r="F420" s="10">
        <f>IF(OR(B420="Uncategorised",C420="",C420="Review"),"Needs category/owner",IF(D420="Yes","Already in Category","Add to Category"))</f>
        <v/>
      </c>
    </row>
    <row r="421">
      <c r="A421" s="10" t="inlineStr">
        <is>
          <t>THE DAIRY FARM MANNINGS CHEK LAP KOK</t>
        </is>
      </c>
      <c r="B421" s="10" t="inlineStr">
        <is>
          <t>Beauty</t>
        </is>
      </c>
      <c r="C421" s="10" t="inlineStr">
        <is>
          <t>Su</t>
        </is>
      </c>
      <c r="D421" s="10">
        <f>IF(COUNTIF(Category!$A:$A,E421)&gt;0,"Yes","No")</f>
        <v/>
      </c>
      <c r="E421" s="10">
        <f>LEFT(A421,80)</f>
        <v/>
      </c>
      <c r="F421" s="10">
        <f>IF(OR(B421="Uncategorised",C421="",C421="Review"),"Needs category/owner",IF(D421="Yes","Already in Category","Add to Category"))</f>
        <v/>
      </c>
    </row>
    <row r="422">
      <c r="A422" s="10" t="inlineStr">
        <is>
          <t>CINEMA.COM.HK LTD ADMIRALTY</t>
        </is>
      </c>
      <c r="B422" s="10" t="inlineStr">
        <is>
          <t>Entertainment</t>
        </is>
      </c>
      <c r="C422" s="10" t="inlineStr">
        <is>
          <t>Family</t>
        </is>
      </c>
      <c r="D422" s="10">
        <f>IF(COUNTIF(Category!$A:$A,E422)&gt;0,"Yes","No")</f>
        <v/>
      </c>
      <c r="E422" s="10">
        <f>LEFT(A422,80)</f>
        <v/>
      </c>
      <c r="F422" s="10">
        <f>IF(OR(B422="Uncategorised",C422="",C422="Review"),"Needs category/owner",IF(D422="Yes","Already in Category","Add to Category"))</f>
        <v/>
      </c>
    </row>
    <row r="423">
      <c r="A423" s="10" t="inlineStr">
        <is>
          <t>WAI KEEJ E WELLERS LTD CENTRAL</t>
        </is>
      </c>
      <c r="B423" s="10" t="inlineStr">
        <is>
          <t>Uncategorised</t>
        </is>
      </c>
      <c r="C423" s="10" t="inlineStr">
        <is>
          <t>Review</t>
        </is>
      </c>
      <c r="D423" s="10">
        <f>IF(COUNTIF(Category!$A:$A,E423)&gt;0,"Yes","No")</f>
        <v/>
      </c>
      <c r="E423" s="10">
        <f>LEFT(A423,80)</f>
        <v/>
      </c>
      <c r="F423" s="10">
        <f>IF(OR(B423="Uncategorised",C423="",C423="Review"),"Needs category/owner",IF(D423="Yes","Already in Category","Add to Category"))</f>
        <v/>
      </c>
    </row>
    <row r="424">
      <c r="A424" s="10" t="inlineStr">
        <is>
          <t>GELSON ' SMARKET # 34 000 LOS ANGELES</t>
        </is>
      </c>
      <c r="B424" s="10" t="inlineStr">
        <is>
          <t>Uncategorised</t>
        </is>
      </c>
      <c r="C424" s="10" t="inlineStr">
        <is>
          <t>Review</t>
        </is>
      </c>
      <c r="D424" s="10">
        <f>IF(COUNTIF(Category!$A:$A,E424)&gt;0,"Yes","No")</f>
        <v/>
      </c>
      <c r="E424" s="10">
        <f>LEFT(A424,80)</f>
        <v/>
      </c>
      <c r="F424" s="10">
        <f>IF(OR(B424="Uncategorised",C424="",C424="Review"),"Needs category/owner",IF(D424="Yes","Already in Category","Add to Category"))</f>
        <v/>
      </c>
    </row>
    <row r="425">
      <c r="A425" s="10" t="inlineStr">
        <is>
          <t>AMZNMKTPLACE*TU5BI5445 AMAZON.CO.UK</t>
        </is>
      </c>
      <c r="B425" s="10" t="inlineStr">
        <is>
          <t>Book &amp; Kindle</t>
        </is>
      </c>
      <c r="C425" s="10" t="inlineStr">
        <is>
          <t>Family</t>
        </is>
      </c>
      <c r="D425" s="10">
        <f>IF(COUNTIF(Category!$A:$A,E425)&gt;0,"Yes","No")</f>
        <v/>
      </c>
      <c r="E425" s="10">
        <f>LEFT(A425,80)</f>
        <v/>
      </c>
      <c r="F425" s="10">
        <f>IF(OR(B425="Uncategorised",C425="",C425="Review"),"Needs category/owner",IF(D425="Yes","Already in Category","Add to Category"))</f>
        <v/>
      </c>
    </row>
    <row r="426">
      <c r="A426" s="10" t="inlineStr">
        <is>
          <t>SYDNEY INTERNATIONAL PI MASCOT</t>
        </is>
      </c>
      <c r="B426" s="10" t="inlineStr">
        <is>
          <t>Airfare</t>
        </is>
      </c>
      <c r="C426" s="10" t="inlineStr">
        <is>
          <t>Family</t>
        </is>
      </c>
      <c r="D426" s="10">
        <f>IF(COUNTIF(Category!$A:$A,E426)&gt;0,"Yes","No")</f>
        <v/>
      </c>
      <c r="E426" s="10">
        <f>LEFT(A426,80)</f>
        <v/>
      </c>
      <c r="F426" s="10">
        <f>IF(OR(B426="Uncategorised",C426="",C426="Review"),"Needs category/owner",IF(D426="Yes","Already in Category","Add to Category"))</f>
        <v/>
      </c>
    </row>
    <row r="427">
      <c r="A427" s="10" t="inlineStr">
        <is>
          <t>PI ZZ ARTE Ne w York</t>
        </is>
      </c>
      <c r="B427" s="10" t="inlineStr">
        <is>
          <t>Uncategorised</t>
        </is>
      </c>
      <c r="C427" s="10" t="inlineStr">
        <is>
          <t>Review</t>
        </is>
      </c>
      <c r="D427" s="10">
        <f>IF(COUNTIF(Category!$A:$A,E427)&gt;0,"Yes","No")</f>
        <v/>
      </c>
      <c r="E427" s="10">
        <f>LEFT(A427,80)</f>
        <v/>
      </c>
      <c r="F427" s="10">
        <f>IF(OR(B427="Uncategorised",C427="",C427="Review"),"Needs category/owner",IF(D427="Yes","Already in Category","Add to Category"))</f>
        <v/>
      </c>
    </row>
    <row r="428">
      <c r="A428" s="10" t="inlineStr">
        <is>
          <t>PAYPAL *CHOCOLATETR 08700508244</t>
        </is>
      </c>
      <c r="B428" s="10" t="inlineStr">
        <is>
          <t>Uncategorised</t>
        </is>
      </c>
      <c r="C428" s="10" t="inlineStr">
        <is>
          <t>Review</t>
        </is>
      </c>
      <c r="D428" s="10">
        <f>IF(COUNTIF(Category!$A:$A,E428)&gt;0,"Yes","No")</f>
        <v/>
      </c>
      <c r="E428" s="10">
        <f>LEFT(A428,80)</f>
        <v/>
      </c>
      <c r="F428" s="10">
        <f>IF(OR(B428="Uncategorised",C428="",C428="Review"),"Needs category/owner",IF(D428="Yes","Already in Category","Add to Category"))</f>
        <v/>
      </c>
    </row>
    <row r="429">
      <c r="A429" s="10" t="inlineStr">
        <is>
          <t>SP VENROY PADDINGTON</t>
        </is>
      </c>
      <c r="B429" s="10" t="inlineStr">
        <is>
          <t>Uncategorised</t>
        </is>
      </c>
      <c r="C429" s="10" t="inlineStr">
        <is>
          <t>Review</t>
        </is>
      </c>
      <c r="D429" s="10">
        <f>IF(COUNTIF(Category!$A:$A,E429)&gt;0,"Yes","No")</f>
        <v/>
      </c>
      <c r="E429" s="10">
        <f>LEFT(A429,80)</f>
        <v/>
      </c>
      <c r="F429" s="10">
        <f>IF(OR(B429="Uncategorised",C429="",C429="Review"),"Needs category/owner",IF(D429="Yes","Already in Category","Add to Category"))</f>
        <v/>
      </c>
    </row>
    <row r="430">
      <c r="A430" s="10" t="inlineStr">
        <is>
          <t>GARMIN (EUROPE) LIMITED SOUTHAMPTON</t>
        </is>
      </c>
      <c r="B430" s="10" t="inlineStr">
        <is>
          <t>Fitness Equipment</t>
        </is>
      </c>
      <c r="C430" s="10" t="inlineStr">
        <is>
          <t>Family</t>
        </is>
      </c>
      <c r="D430" s="10">
        <f>IF(COUNTIF(Category!$A:$A,E430)&gt;0,"Yes","No")</f>
        <v/>
      </c>
      <c r="E430" s="10">
        <f>LEFT(A430,80)</f>
        <v/>
      </c>
      <c r="F430" s="10">
        <f>IF(OR(B430="Uncategorised",C430="",C430="Review"),"Needs category/owner",IF(D430="Yes","Already in Category","Add to Category"))</f>
        <v/>
      </c>
    </row>
    <row r="431">
      <c r="A431" s="10" t="inlineStr">
        <is>
          <t>PARK HYATT Niseko CHINA *</t>
        </is>
      </c>
      <c r="B431" s="10" t="inlineStr">
        <is>
          <t>Uncategorised</t>
        </is>
      </c>
      <c r="C431" s="10" t="inlineStr">
        <is>
          <t>Review</t>
        </is>
      </c>
      <c r="D431" s="10">
        <f>IF(COUNTIF(Category!$A:$A,E431)&gt;0,"Yes","No")</f>
        <v/>
      </c>
      <c r="E431" s="10">
        <f>LEFT(A431,80)</f>
        <v/>
      </c>
      <c r="F431" s="10">
        <f>IF(OR(B431="Uncategorised",C431="",C431="Review"),"Needs category/owner",IF(D431="Yes","Already in Category","Add to Category"))</f>
        <v/>
      </c>
    </row>
    <row r="432">
      <c r="A432" s="10" t="inlineStr">
        <is>
          <t>PARK HYATT Niseko OLIVI *</t>
        </is>
      </c>
      <c r="B432" s="10" t="inlineStr">
        <is>
          <t>Uncategorised</t>
        </is>
      </c>
      <c r="C432" s="10" t="inlineStr">
        <is>
          <t>Review</t>
        </is>
      </c>
      <c r="D432" s="10">
        <f>IF(COUNTIF(Category!$A:$A,E432)&gt;0,"Yes","No")</f>
        <v/>
      </c>
      <c r="E432" s="10">
        <f>LEFT(A432,80)</f>
        <v/>
      </c>
      <c r="F432" s="10">
        <f>IF(OR(B432="Uncategorised",C432="",C432="Review"),"Needs category/owner",IF(D432="Yes","Already in Category","Add to Category"))</f>
        <v/>
      </c>
    </row>
    <row r="433">
      <c r="A433" s="10" t="inlineStr">
        <is>
          <t>WH SMITH TRAVEL RETAIL HOUNSLOW</t>
        </is>
      </c>
      <c r="B433" s="10" t="inlineStr">
        <is>
          <t>Book &amp; Kindle</t>
        </is>
      </c>
      <c r="C433" s="10" t="inlineStr">
        <is>
          <t>Family</t>
        </is>
      </c>
      <c r="D433" s="10">
        <f>IF(COUNTIF(Category!$A:$A,E433)&gt;0,"Yes","No")</f>
        <v/>
      </c>
      <c r="E433" s="10">
        <f>LEFT(A433,80)</f>
        <v/>
      </c>
      <c r="F433" s="10">
        <f>IF(OR(B433="Uncategorised",C433="",C433="Review"),"Needs category/owner",IF(D433="Yes","Already in Category","Add to Category"))</f>
        <v/>
      </c>
    </row>
    <row r="434">
      <c r="A434" s="10" t="inlineStr">
        <is>
          <t>NEW CHITOSE APTT.BLDG JAPAN</t>
        </is>
      </c>
      <c r="B434" s="10" t="inlineStr">
        <is>
          <t>Travel</t>
        </is>
      </c>
      <c r="C434" s="10" t="inlineStr">
        <is>
          <t>Family</t>
        </is>
      </c>
      <c r="D434" s="10">
        <f>IF(COUNTIF(Category!$A:$A,E434)&gt;0,"Yes","No")</f>
        <v/>
      </c>
      <c r="E434" s="10">
        <f>LEFT(A434,80)</f>
        <v/>
      </c>
      <c r="F434" s="10">
        <f>IF(OR(B434="Uncategorised",C434="",C434="Review"),"Needs category/owner",IF(D434="Yes","Already in Category","Add to Category"))</f>
        <v/>
      </c>
    </row>
    <row r="435">
      <c r="A435" s="10" t="inlineStr">
        <is>
          <t>AMZNMKTPLACE*RW7BN3U94 AMAZON.CO.UK</t>
        </is>
      </c>
      <c r="B435" s="10" t="inlineStr">
        <is>
          <t>Book &amp; Kindle</t>
        </is>
      </c>
      <c r="C435" s="10" t="inlineStr">
        <is>
          <t>Family</t>
        </is>
      </c>
      <c r="D435" s="10">
        <f>IF(COUNTIF(Category!$A:$A,E435)&gt;0,"Yes","No")</f>
        <v/>
      </c>
      <c r="E435" s="10">
        <f>LEFT(A435,80)</f>
        <v/>
      </c>
      <c r="F435" s="10">
        <f>IF(OR(B435="Uncategorised",C435="",C435="Review"),"Needs category/owner",IF(D435="Yes","Already in Category","Add to Category"))</f>
        <v/>
      </c>
    </row>
    <row r="436">
      <c r="A436" s="10" t="inlineStr">
        <is>
          <t>SP BORN IN THE SUN LONDON</t>
        </is>
      </c>
      <c r="B436" s="10" t="inlineStr">
        <is>
          <t>Clothes &amp; Shoes</t>
        </is>
      </c>
      <c r="C436" s="10" t="inlineStr">
        <is>
          <t>Su</t>
        </is>
      </c>
      <c r="D436" s="10">
        <f>IF(COUNTIF(Category!$A:$A,E436)&gt;0,"Yes","No")</f>
        <v/>
      </c>
      <c r="E436" s="10">
        <f>LEFT(A436,80)</f>
        <v/>
      </c>
      <c r="F436" s="10">
        <f>IF(OR(B436="Uncategorised",C436="",C436="Review"),"Needs category/owner",IF(D436="Yes","Already in Category","Add to Category"))</f>
        <v/>
      </c>
    </row>
    <row r="437">
      <c r="A437" s="10" t="inlineStr">
        <is>
          <t>BONTAE BAKMOOLGOANJ E J U-DO</t>
        </is>
      </c>
      <c r="B437" s="10" t="inlineStr">
        <is>
          <t>Uncategorised</t>
        </is>
      </c>
      <c r="C437" s="10" t="inlineStr">
        <is>
          <t>Review</t>
        </is>
      </c>
      <c r="D437" s="10">
        <f>IF(COUNTIF(Category!$A:$A,E437)&gt;0,"Yes","No")</f>
        <v/>
      </c>
      <c r="E437" s="10">
        <f>LEFT(A437,80)</f>
        <v/>
      </c>
      <c r="F437" s="10">
        <f>IF(OR(B437="Uncategorised",C437="",C437="Review"),"Needs category/owner",IF(D437="Yes","Already in Category","Add to Category"))</f>
        <v/>
      </c>
    </row>
    <row r="438">
      <c r="A438" s="10" t="inlineStr">
        <is>
          <t>TA JIMAHALHIRAHUTEN PG HOKKAIDO</t>
        </is>
      </c>
      <c r="B438" s="10" t="inlineStr">
        <is>
          <t>Uncategorised</t>
        </is>
      </c>
      <c r="C438" s="10" t="inlineStr">
        <is>
          <t>Review</t>
        </is>
      </c>
      <c r="D438" s="10">
        <f>IF(COUNTIF(Category!$A:$A,E438)&gt;0,"Yes","No")</f>
        <v/>
      </c>
      <c r="E438" s="10">
        <f>LEFT(A438,80)</f>
        <v/>
      </c>
      <c r="F438" s="10">
        <f>IF(OR(B438="Uncategorised",C438="",C438="Review"),"Needs category/owner",IF(D438="Yes","Already in Category","Add to Category"))</f>
        <v/>
      </c>
    </row>
    <row r="439">
      <c r="A439" s="10" t="inlineStr">
        <is>
          <t>SP LUCYFOLKJ E WELLERY MEL BOURNE</t>
        </is>
      </c>
      <c r="B439" s="10" t="inlineStr">
        <is>
          <t>Jewellery</t>
        </is>
      </c>
      <c r="C439" s="10" t="inlineStr">
        <is>
          <t>Su</t>
        </is>
      </c>
      <c r="D439" s="10">
        <f>IF(COUNTIF(Category!$A:$A,E439)&gt;0,"Yes","No")</f>
        <v/>
      </c>
      <c r="E439" s="10">
        <f>LEFT(A439,80)</f>
        <v/>
      </c>
      <c r="F439" s="10">
        <f>IF(OR(B439="Uncategorised",C439="",C439="Review"),"Needs category/owner",IF(D439="Yes","Already in Category","Add to Category"))</f>
        <v/>
      </c>
    </row>
    <row r="440">
      <c r="A440" s="10" t="inlineStr">
        <is>
          <t>HING FAT FLOWER WHOLESA MONGKOK</t>
        </is>
      </c>
      <c r="B440" s="10" t="inlineStr">
        <is>
          <t>Flowers</t>
        </is>
      </c>
      <c r="C440" s="10" t="inlineStr">
        <is>
          <t>Family</t>
        </is>
      </c>
      <c r="D440" s="10">
        <f>IF(COUNTIF(Category!$A:$A,E440)&gt;0,"Yes","No")</f>
        <v/>
      </c>
      <c r="E440" s="10">
        <f>LEFT(A440,80)</f>
        <v/>
      </c>
      <c r="F440" s="10">
        <f>IF(OR(B440="Uncategorised",C440="",C440="Review"),"Needs category/owner",IF(D440="Yes","Already in Category","Add to Category"))</f>
        <v/>
      </c>
    </row>
    <row r="441">
      <c r="A441" s="10" t="inlineStr">
        <is>
          <t>LAWSON *</t>
        </is>
      </c>
      <c r="B441" s="10" t="inlineStr">
        <is>
          <t>Food</t>
        </is>
      </c>
      <c r="C441" s="10" t="inlineStr">
        <is>
          <t>Family</t>
        </is>
      </c>
      <c r="D441" s="10">
        <f>IF(COUNTIF(Category!$A:$A,E441)&gt;0,"Yes","No")</f>
        <v/>
      </c>
      <c r="E441" s="10">
        <f>LEFT(A441,80)</f>
        <v/>
      </c>
      <c r="F441" s="10">
        <f>IF(OR(B441="Uncategorised",C441="",C441="Review"),"Needs category/owner",IF(D441="Yes","Already in Category","Add to Category"))</f>
        <v/>
      </c>
    </row>
    <row r="442">
      <c r="A442" s="10" t="inlineStr">
        <is>
          <t>AESOP GOUGH STREET CENTRAL</t>
        </is>
      </c>
      <c r="B442" s="10" t="inlineStr">
        <is>
          <t>Beauty</t>
        </is>
      </c>
      <c r="C442" s="10" t="inlineStr">
        <is>
          <t>Su</t>
        </is>
      </c>
      <c r="D442" s="10">
        <f>IF(COUNTIF(Category!$A:$A,E442)&gt;0,"Yes","No")</f>
        <v/>
      </c>
      <c r="E442" s="10">
        <f>LEFT(A442,80)</f>
        <v/>
      </c>
      <c r="F442" s="10">
        <f>IF(OR(B442="Uncategorised",C442="",C442="Review"),"Needs category/owner",IF(D442="Yes","Already in Category","Add to Category"))</f>
        <v/>
      </c>
    </row>
    <row r="443">
      <c r="A443" s="10" t="inlineStr">
        <is>
          <t>ACH BRITO &amp; CA SA VILA DO CONDE</t>
        </is>
      </c>
      <c r="B443" s="10" t="inlineStr">
        <is>
          <t>Uncategorised</t>
        </is>
      </c>
      <c r="C443" s="10" t="inlineStr">
        <is>
          <t>Review</t>
        </is>
      </c>
      <c r="D443" s="10">
        <f>IF(COUNTIF(Category!$A:$A,E443)&gt;0,"Yes","No")</f>
        <v/>
      </c>
      <c r="E443" s="10">
        <f>LEFT(A443,80)</f>
        <v/>
      </c>
      <c r="F443" s="10">
        <f>IF(OR(B443="Uncategorised",C443="",C443="Review"),"Needs category/owner",IF(D443="Yes","Already in Category","Add to Category"))</f>
        <v/>
      </c>
    </row>
    <row r="444">
      <c r="A444" s="10" t="inlineStr">
        <is>
          <t>AMZNMKTPLACE*VF9038ZU5 AMAZON.CO.UK</t>
        </is>
      </c>
      <c r="B444" s="10" t="inlineStr">
        <is>
          <t>Book &amp; Kindle</t>
        </is>
      </c>
      <c r="C444" s="10" t="inlineStr">
        <is>
          <t>Family</t>
        </is>
      </c>
      <c r="D444" s="10">
        <f>IF(COUNTIF(Category!$A:$A,E444)&gt;0,"Yes","No")</f>
        <v/>
      </c>
      <c r="E444" s="10">
        <f>LEFT(A444,80)</f>
        <v/>
      </c>
      <c r="F444" s="10">
        <f>IF(OR(B444="Uncategorised",C444="",C444="Review"),"Needs category/owner",IF(D444="Yes","Already in Category","Add to Category"))</f>
        <v/>
      </c>
    </row>
    <row r="445">
      <c r="A445" s="10" t="inlineStr">
        <is>
          <t>THE POTTS POINT BOOK SELIZABETH BAY</t>
        </is>
      </c>
      <c r="B445" s="10" t="inlineStr">
        <is>
          <t>Uncategorised</t>
        </is>
      </c>
      <c r="C445" s="10" t="inlineStr">
        <is>
          <t>Review</t>
        </is>
      </c>
      <c r="D445" s="10">
        <f>IF(COUNTIF(Category!$A:$A,E445)&gt;0,"Yes","No")</f>
        <v/>
      </c>
      <c r="E445" s="10">
        <f>LEFT(A445,80)</f>
        <v/>
      </c>
      <c r="F445" s="10">
        <f>IF(OR(B445="Uncategorised",C445="",C445="Review"),"Needs category/owner",IF(D445="Yes","Already in Category","Add to Category"))</f>
        <v/>
      </c>
    </row>
    <row r="446">
      <c r="A446" s="10" t="inlineStr">
        <is>
          <t>KPAY * MEDIMART 000000000 HONG KONG</t>
        </is>
      </c>
      <c r="B446" s="10" t="inlineStr">
        <is>
          <t>Uncategorised</t>
        </is>
      </c>
      <c r="C446" s="10" t="inlineStr">
        <is>
          <t>Review</t>
        </is>
      </c>
      <c r="D446" s="10">
        <f>IF(COUNTIF(Category!$A:$A,E446)&gt;0,"Yes","No")</f>
        <v/>
      </c>
      <c r="E446" s="10">
        <f>LEFT(A446,80)</f>
        <v/>
      </c>
      <c r="F446" s="10">
        <f>IF(OR(B446="Uncategorised",C446="",C446="Review"),"Needs category/owner",IF(D446="Yes","Already in Category","Add to Category"))</f>
        <v/>
      </c>
    </row>
    <row r="447">
      <c r="A447" s="10" t="inlineStr">
        <is>
          <t>O li v e Yo u n g SEOUL</t>
        </is>
      </c>
      <c r="B447" s="10" t="inlineStr">
        <is>
          <t>Uncategorised</t>
        </is>
      </c>
      <c r="C447" s="10" t="inlineStr">
        <is>
          <t>Review</t>
        </is>
      </c>
      <c r="D447" s="10">
        <f>IF(COUNTIF(Category!$A:$A,E447)&gt;0,"Yes","No")</f>
        <v/>
      </c>
      <c r="E447" s="10">
        <f>LEFT(A447,80)</f>
        <v/>
      </c>
      <c r="F447" s="10">
        <f>IF(OR(B447="Uncategorised",C447="",C447="Review"),"Needs category/owner",IF(D447="Yes","Already in Category","Add to Category"))</f>
        <v/>
      </c>
    </row>
    <row r="448">
      <c r="A448" s="10" t="inlineStr">
        <is>
          <t>ICE BERGS DINING SYDNEY</t>
        </is>
      </c>
      <c r="B448" s="10" t="inlineStr">
        <is>
          <t>Dining out</t>
        </is>
      </c>
      <c r="C448" s="10" t="inlineStr">
        <is>
          <t>Family</t>
        </is>
      </c>
      <c r="D448" s="10">
        <f>IF(COUNTIF(Category!$A:$A,E448)&gt;0,"Yes","No")</f>
        <v/>
      </c>
      <c r="E448" s="10">
        <f>LEFT(A448,80)</f>
        <v/>
      </c>
      <c r="F448" s="10">
        <f>IF(OR(B448="Uncategorised",C448="",C448="Review"),"Needs category/owner",IF(D448="Yes","Already in Category","Add to Category"))</f>
        <v/>
      </c>
    </row>
    <row r="449">
      <c r="A449" s="10" t="inlineStr">
        <is>
          <t>SHIMBASHI SOBA - PARAGO SINGAPORE</t>
        </is>
      </c>
      <c r="B449" s="10" t="inlineStr">
        <is>
          <t>Dining out</t>
        </is>
      </c>
      <c r="C449" s="10" t="inlineStr">
        <is>
          <t>Family</t>
        </is>
      </c>
      <c r="D449" s="10">
        <f>IF(COUNTIF(Category!$A:$A,E449)&gt;0,"Yes","No")</f>
        <v/>
      </c>
      <c r="E449" s="10">
        <f>LEFT(A449,80)</f>
        <v/>
      </c>
      <c r="F449" s="10">
        <f>IF(OR(B449="Uncategorised",C449="",C449="Review"),"Needs category/owner",IF(D449="Yes","Already in Category","Add to Category"))</f>
        <v/>
      </c>
    </row>
    <row r="450">
      <c r="A450" s="10" t="inlineStr">
        <is>
          <t>KPAY*LEMON KING 0000000 HONG KONG</t>
        </is>
      </c>
      <c r="B450" s="10" t="inlineStr">
        <is>
          <t>Uncategorised</t>
        </is>
      </c>
      <c r="C450" s="10" t="inlineStr">
        <is>
          <t>Review</t>
        </is>
      </c>
      <c r="D450" s="10">
        <f>IF(COUNTIF(Category!$A:$A,E450)&gt;0,"Yes","No")</f>
        <v/>
      </c>
      <c r="E450" s="10">
        <f>LEFT(A450,80)</f>
        <v/>
      </c>
      <c r="F450" s="10">
        <f>IF(OR(B450="Uncategorised",C450="",C450="Review"),"Needs category/owner",IF(D450="Yes","Already in Category","Add to Category"))</f>
        <v/>
      </c>
    </row>
    <row r="451">
      <c r="A451" s="10" t="inlineStr">
        <is>
          <t>KARUIZ A WASNOOPY VILLAGE NAGANO</t>
        </is>
      </c>
      <c r="B451" s="10" t="inlineStr">
        <is>
          <t>Food</t>
        </is>
      </c>
      <c r="C451" s="10" t="inlineStr">
        <is>
          <t>Family</t>
        </is>
      </c>
      <c r="D451" s="10">
        <f>IF(COUNTIF(Category!$A:$A,E451)&gt;0,"Yes","No")</f>
        <v/>
      </c>
      <c r="E451" s="10">
        <f>LEFT(A451,80)</f>
        <v/>
      </c>
      <c r="F451" s="10">
        <f>IF(OR(B451="Uncategorised",C451="",C451="Review"),"Needs category/owner",IF(D451="Yes","Already in Category","Add to Category"))</f>
        <v/>
      </c>
    </row>
    <row r="452">
      <c r="A452" s="10" t="inlineStr">
        <is>
          <t>NIKUSENKA HAFU HONTEN KYOTO</t>
        </is>
      </c>
      <c r="B452" s="10" t="inlineStr">
        <is>
          <t>Dining out</t>
        </is>
      </c>
      <c r="C452" s="10" t="inlineStr">
        <is>
          <t>Family</t>
        </is>
      </c>
      <c r="D452" s="10">
        <f>IF(COUNTIF(Category!$A:$A,E452)&gt;0,"Yes","No")</f>
        <v/>
      </c>
      <c r="E452" s="10">
        <f>LEFT(A452,80)</f>
        <v/>
      </c>
      <c r="F452" s="10">
        <f>IF(OR(B452="Uncategorised",C452="",C452="Review"),"Needs category/owner",IF(D452="Yes","Already in Category","Add to Category"))</f>
        <v/>
      </c>
    </row>
    <row r="453">
      <c r="A453" s="10" t="inlineStr">
        <is>
          <t>THE FINE CHEESE CO THE BATH</t>
        </is>
      </c>
      <c r="B453" s="10" t="inlineStr">
        <is>
          <t>Food</t>
        </is>
      </c>
      <c r="C453" s="10" t="inlineStr">
        <is>
          <t>Family</t>
        </is>
      </c>
      <c r="D453" s="10">
        <f>IF(COUNTIF(Category!$A:$A,E453)&gt;0,"Yes","No")</f>
        <v/>
      </c>
      <c r="E453" s="10">
        <f>LEFT(A453,80)</f>
        <v/>
      </c>
      <c r="F453" s="10">
        <f>IF(OR(B453="Uncategorised",C453="",C453="Review"),"Needs category/owner",IF(D453="Yes","Already in Category","Add to Category"))</f>
        <v/>
      </c>
    </row>
    <row r="454">
      <c r="A454" s="10" t="inlineStr">
        <is>
          <t>OUTDOOR VOICES AUSTIN</t>
        </is>
      </c>
      <c r="B454" s="10" t="inlineStr">
        <is>
          <t>Clothes &amp; Shoes</t>
        </is>
      </c>
      <c r="C454" s="10" t="inlineStr">
        <is>
          <t>Su</t>
        </is>
      </c>
      <c r="D454" s="10">
        <f>IF(COUNTIF(Category!$A:$A,E454)&gt;0,"Yes","No")</f>
        <v/>
      </c>
      <c r="E454" s="10">
        <f>LEFT(A454,80)</f>
        <v/>
      </c>
      <c r="F454" s="10">
        <f>IF(OR(B454="Uncategorised",C454="",C454="Review"),"Needs category/owner",IF(D454="Yes","Already in Category","Add to Category"))</f>
        <v/>
      </c>
    </row>
    <row r="455">
      <c r="A455" s="10" t="inlineStr">
        <is>
          <t>HTOKUMINE@JAPANCENTRE.CLONDON</t>
        </is>
      </c>
      <c r="B455" s="10" t="inlineStr">
        <is>
          <t>Uncategorised</t>
        </is>
      </c>
      <c r="C455" s="10" t="inlineStr">
        <is>
          <t>Review</t>
        </is>
      </c>
      <c r="D455" s="10">
        <f>IF(COUNTIF(Category!$A:$A,E455)&gt;0,"Yes","No")</f>
        <v/>
      </c>
      <c r="E455" s="10">
        <f>LEFT(A455,80)</f>
        <v/>
      </c>
      <c r="F455" s="10">
        <f>IF(OR(B455="Uncategorised",C455="",C455="Review"),"Needs category/owner",IF(D455="Yes","Already in Category","Add to Category"))</f>
        <v/>
      </c>
    </row>
    <row r="456">
      <c r="A456" s="10" t="inlineStr">
        <is>
          <t>ALL PURPOSE BAKERY Sydney</t>
        </is>
      </c>
      <c r="B456" s="10" t="inlineStr">
        <is>
          <t>Food</t>
        </is>
      </c>
      <c r="C456" s="10" t="inlineStr">
        <is>
          <t>Family</t>
        </is>
      </c>
      <c r="D456" s="10">
        <f>IF(COUNTIF(Category!$A:$A,E456)&gt;0,"Yes","No")</f>
        <v/>
      </c>
      <c r="E456" s="10">
        <f>LEFT(A456,80)</f>
        <v/>
      </c>
      <c r="F456" s="10">
        <f>IF(OR(B456="Uncategorised",C456="",C456="Review"),"Needs category/owner",IF(D456="Yes","Already in Category","Add to Category"))</f>
        <v/>
      </c>
    </row>
    <row r="457">
      <c r="A457" s="10" t="inlineStr">
        <is>
          <t>FLOUR AND STONE ANNEXE Woolloomooloo</t>
        </is>
      </c>
      <c r="B457" s="10" t="inlineStr">
        <is>
          <t>Food</t>
        </is>
      </c>
      <c r="C457" s="10" t="inlineStr">
        <is>
          <t>Family</t>
        </is>
      </c>
      <c r="D457" s="10">
        <f>IF(COUNTIF(Category!$A:$A,E457)&gt;0,"Yes","No")</f>
        <v/>
      </c>
      <c r="E457" s="10">
        <f>LEFT(A457,80)</f>
        <v/>
      </c>
      <c r="F457" s="10">
        <f>IF(OR(B457="Uncategorised",C457="",C457="Review"),"Needs category/owner",IF(D457="Yes","Already in Category","Add to Category"))</f>
        <v/>
      </c>
    </row>
    <row r="458">
      <c r="A458" s="10" t="inlineStr">
        <is>
          <t>PAYPAL *LARQ 5106769438</t>
        </is>
      </c>
      <c r="B458" s="10" t="inlineStr">
        <is>
          <t>Misc</t>
        </is>
      </c>
      <c r="C458" s="10" t="inlineStr">
        <is>
          <t>Family</t>
        </is>
      </c>
      <c r="D458" s="10">
        <f>IF(COUNTIF(Category!$A:$A,E458)&gt;0,"Yes","No")</f>
        <v/>
      </c>
      <c r="E458" s="10">
        <f>LEFT(A458,80)</f>
        <v/>
      </c>
      <c r="F458" s="10">
        <f>IF(OR(B458="Uncategorised",C458="",C458="Review"),"Needs category/owner",IF(D458="Yes","Already in Category","Add to Category"))</f>
        <v/>
      </c>
    </row>
    <row r="459">
      <c r="A459" s="10" t="inlineStr">
        <is>
          <t>DELSOLE Niseko, K.K. meng tian jun</t>
        </is>
      </c>
      <c r="B459" s="10" t="inlineStr">
        <is>
          <t>Uncategorised</t>
        </is>
      </c>
      <c r="C459" s="10" t="inlineStr">
        <is>
          <t>Review</t>
        </is>
      </c>
      <c r="D459" s="10">
        <f>IF(COUNTIF(Category!$A:$A,E459)&gt;0,"Yes","No")</f>
        <v/>
      </c>
      <c r="E459" s="10">
        <f>LEFT(A459,80)</f>
        <v/>
      </c>
      <c r="F459" s="10">
        <f>IF(OR(B459="Uncategorised",C459="",C459="Review"),"Needs category/owner",IF(D459="Yes","Already in Category","Add to Category"))</f>
        <v/>
      </c>
    </row>
    <row r="460">
      <c r="A460" s="10" t="inlineStr">
        <is>
          <t>QUAY QUARTER PHARMACY 1 SYDNEY</t>
        </is>
      </c>
      <c r="B460" s="10" t="inlineStr">
        <is>
          <t>Pharmacy</t>
        </is>
      </c>
      <c r="C460" s="10" t="inlineStr">
        <is>
          <t>Su</t>
        </is>
      </c>
      <c r="D460" s="10">
        <f>IF(COUNTIF(Category!$A:$A,E460)&gt;0,"Yes","No")</f>
        <v/>
      </c>
      <c r="E460" s="10">
        <f>LEFT(A460,80)</f>
        <v/>
      </c>
      <c r="F460" s="10">
        <f>IF(OR(B460="Uncategorised",C460="",C460="Review"),"Needs category/owner",IF(D460="Yes","Already in Category","Add to Category"))</f>
        <v/>
      </c>
    </row>
    <row r="461">
      <c r="A461" s="10" t="inlineStr">
        <is>
          <t>HARRIS FARM MARKETS PTY BONDI BEACH</t>
        </is>
      </c>
      <c r="B461" s="10" t="inlineStr">
        <is>
          <t>Food</t>
        </is>
      </c>
      <c r="C461" s="10" t="inlineStr">
        <is>
          <t>Family</t>
        </is>
      </c>
      <c r="D461" s="10">
        <f>IF(COUNTIF(Category!$A:$A,E461)&gt;0,"Yes","No")</f>
        <v/>
      </c>
      <c r="E461" s="10">
        <f>LEFT(A461,80)</f>
        <v/>
      </c>
      <c r="F461" s="10">
        <f>IF(OR(B461="Uncategorised",C461="",C461="Review"),"Needs category/owner",IF(D461="Yes","Already in Category","Add to Category"))</f>
        <v/>
      </c>
    </row>
    <row r="462">
      <c r="A462" s="10" t="inlineStr">
        <is>
          <t>THE PURE PRACTICE LIMI BATH</t>
        </is>
      </c>
      <c r="B462" s="10" t="inlineStr">
        <is>
          <t>Physiotherapy</t>
        </is>
      </c>
      <c r="C462" s="10" t="inlineStr">
        <is>
          <t>Su</t>
        </is>
      </c>
      <c r="D462" s="10">
        <f>IF(COUNTIF(Category!$A:$A,E462)&gt;0,"Yes","No")</f>
        <v/>
      </c>
      <c r="E462" s="10">
        <f>LEFT(A462,80)</f>
        <v/>
      </c>
      <c r="F462" s="10">
        <f>IF(OR(B462="Uncategorised",C462="",C462="Review"),"Needs category/owner",IF(D462="Yes","Already in Category","Add to Category"))</f>
        <v/>
      </c>
    </row>
    <row r="463">
      <c r="A463" s="10" t="inlineStr">
        <is>
          <t>BOOTS THE CHEMIST HOUNSLOW</t>
        </is>
      </c>
      <c r="B463" s="10" t="inlineStr">
        <is>
          <t>Uncategorised</t>
        </is>
      </c>
      <c r="C463" s="10" t="inlineStr">
        <is>
          <t>Review</t>
        </is>
      </c>
      <c r="D463" s="10">
        <f>IF(COUNTIF(Category!$A:$A,E463)&gt;0,"Yes","No")</f>
        <v/>
      </c>
      <c r="E463" s="10">
        <f>LEFT(A463,80)</f>
        <v/>
      </c>
      <c r="F463" s="10">
        <f>IF(OR(B463="Uncategorised",C463="",C463="Review"),"Needs category/owner",IF(D463="Yes","Already in Category","Add to Category"))</f>
        <v/>
      </c>
    </row>
    <row r="464">
      <c r="A464" s="10" t="inlineStr">
        <is>
          <t>CVS/PHARMACY #09652 000 WEST HOLLYWOO</t>
        </is>
      </c>
      <c r="B464" s="10" t="inlineStr">
        <is>
          <t>Uncategorised</t>
        </is>
      </c>
      <c r="C464" s="10" t="inlineStr">
        <is>
          <t>Review</t>
        </is>
      </c>
      <c r="D464" s="10">
        <f>IF(COUNTIF(Category!$A:$A,E464)&gt;0,"Yes","No")</f>
        <v/>
      </c>
      <c r="E464" s="10">
        <f>LEFT(A464,80)</f>
        <v/>
      </c>
      <c r="F464" s="10">
        <f>IF(OR(B464="Uncategorised",C464="",C464="Review"),"Needs category/owner",IF(D464="Yes","Already in Category","Add to Category"))</f>
        <v/>
      </c>
    </row>
    <row r="465">
      <c r="A465" s="10" t="inlineStr">
        <is>
          <t>NE WCHITOSE APTT.BLDG JAPAN</t>
        </is>
      </c>
      <c r="B465" s="10" t="inlineStr">
        <is>
          <t>Uncategorised</t>
        </is>
      </c>
      <c r="C465" s="10" t="inlineStr">
        <is>
          <t>Review</t>
        </is>
      </c>
      <c r="D465" s="10">
        <f>IF(COUNTIF(Category!$A:$A,E465)&gt;0,"Yes","No")</f>
        <v/>
      </c>
      <c r="E465" s="10">
        <f>LEFT(A465,80)</f>
        <v/>
      </c>
      <c r="F465" s="10">
        <f>IF(OR(B465="Uncategorised",C465="",C465="Review"),"Needs category/owner",IF(D465="Yes","Already in Category","Add to Category"))</f>
        <v/>
      </c>
    </row>
    <row r="466">
      <c r="A466" s="10" t="inlineStr">
        <is>
          <t>SIXT USA POS FORT LAUDERDALE</t>
        </is>
      </c>
      <c r="B466" s="10" t="inlineStr">
        <is>
          <t>Transport</t>
        </is>
      </c>
      <c r="C466" s="10" t="inlineStr">
        <is>
          <t>Family</t>
        </is>
      </c>
      <c r="D466" s="10">
        <f>IF(COUNTIF(Category!$A:$A,E466)&gt;0,"Yes","No")</f>
        <v/>
      </c>
      <c r="E466" s="10">
        <f>LEFT(A466,80)</f>
        <v/>
      </c>
      <c r="F466" s="10">
        <f>IF(OR(B466="Uncategorised",C466="",C466="Review"),"Needs category/owner",IF(D466="Yes","Already in Category","Add to Category"))</f>
        <v/>
      </c>
    </row>
    <row r="467">
      <c r="A467" s="10" t="inlineStr">
        <is>
          <t>CJ_OLIVE YOUNG SEOUL</t>
        </is>
      </c>
      <c r="B467" s="10" t="inlineStr">
        <is>
          <t>Beauty</t>
        </is>
      </c>
      <c r="C467" s="10" t="inlineStr">
        <is>
          <t>Su</t>
        </is>
      </c>
      <c r="D467" s="10">
        <f>IF(COUNTIF(Category!$A:$A,E467)&gt;0,"Yes","No")</f>
        <v/>
      </c>
      <c r="E467" s="10">
        <f>LEFT(A467,80)</f>
        <v/>
      </c>
      <c r="F467" s="10">
        <f>IF(OR(B467="Uncategorised",C467="",C467="Review"),"Needs category/owner",IF(D467="Yes","Already in Category","Add to Category"))</f>
        <v/>
      </c>
    </row>
    <row r="468">
      <c r="A468" s="10" t="inlineStr">
        <is>
          <t>TAXIWORLD*LONDON TAXI 6 GLASGOW</t>
        </is>
      </c>
      <c r="B468" s="10" t="inlineStr">
        <is>
          <t>Transport</t>
        </is>
      </c>
      <c r="C468" s="10" t="inlineStr">
        <is>
          <t>Su</t>
        </is>
      </c>
      <c r="D468" s="10">
        <f>IF(COUNTIF(Category!$A:$A,E468)&gt;0,"Yes","No")</f>
        <v/>
      </c>
      <c r="E468" s="10">
        <f>LEFT(A468,80)</f>
        <v/>
      </c>
      <c r="F468" s="10">
        <f>IF(OR(B468="Uncategorised",C468="",C468="Review"),"Needs category/owner",IF(D468="Yes","Already in Category","Add to Category"))</f>
        <v/>
      </c>
    </row>
    <row r="469">
      <c r="A469" s="10" t="inlineStr">
        <is>
          <t>AELLISEU SEOUL</t>
        </is>
      </c>
      <c r="B469" s="10" t="inlineStr">
        <is>
          <t>Uncategorised</t>
        </is>
      </c>
      <c r="C469" s="10" t="inlineStr">
        <is>
          <t>Review</t>
        </is>
      </c>
      <c r="D469" s="10">
        <f>IF(COUNTIF(Category!$A:$A,E469)&gt;0,"Yes","No")</f>
        <v/>
      </c>
      <c r="E469" s="10">
        <f>LEFT(A469,80)</f>
        <v/>
      </c>
      <c r="F469" s="10">
        <f>IF(OR(B469="Uncategorised",C469="",C469="Review"),"Needs category/owner",IF(D469="Yes","Already in Category","Add to Category"))</f>
        <v/>
      </c>
    </row>
    <row r="470">
      <c r="A470" s="10" t="inlineStr">
        <is>
          <t>FIATA CENTRAL</t>
        </is>
      </c>
      <c r="B470" s="10" t="inlineStr">
        <is>
          <t>Uncategorised</t>
        </is>
      </c>
      <c r="C470" s="10" t="inlineStr">
        <is>
          <t>Review</t>
        </is>
      </c>
      <c r="D470" s="10">
        <f>IF(COUNTIF(Category!$A:$A,E470)&gt;0,"Yes","No")</f>
        <v/>
      </c>
      <c r="E470" s="10">
        <f>LEFT(A470,80)</f>
        <v/>
      </c>
      <c r="F470" s="10">
        <f>IF(OR(B470="Uncategorised",C470="",C470="Review"),"Needs category/owner",IF(D470="Yes","Already in Category","Add to Category"))</f>
        <v/>
      </c>
    </row>
    <row r="471">
      <c r="A471" s="10" t="inlineStr">
        <is>
          <t>CITEES CARTAGENACARMEN MURCIA</t>
        </is>
      </c>
      <c r="B471" s="10" t="inlineStr">
        <is>
          <t>Uncategorised</t>
        </is>
      </c>
      <c r="C471" s="10" t="inlineStr">
        <is>
          <t>Review</t>
        </is>
      </c>
      <c r="D471" s="10">
        <f>IF(COUNTIF(Category!$A:$A,E471)&gt;0,"Yes","No")</f>
        <v/>
      </c>
      <c r="E471" s="10">
        <f>LEFT(A471,80)</f>
        <v/>
      </c>
      <c r="F471" s="10">
        <f>IF(OR(B471="Uncategorised",C471="",C471="Review"),"Needs category/owner",IF(D471="Yes","Already in Category","Add to Category"))</f>
        <v/>
      </c>
    </row>
    <row r="472">
      <c r="A472" s="10" t="inlineStr">
        <is>
          <t>U BER TRIP HELP.U BER.COM</t>
        </is>
      </c>
      <c r="B472" s="10" t="inlineStr">
        <is>
          <t>Transport</t>
        </is>
      </c>
      <c r="C472" s="10" t="inlineStr">
        <is>
          <t>Su</t>
        </is>
      </c>
      <c r="D472" s="10">
        <f>IF(COUNTIF(Category!$A:$A,E472)&gt;0,"Yes","No")</f>
        <v/>
      </c>
      <c r="E472" s="10">
        <f>LEFT(A472,80)</f>
        <v/>
      </c>
      <c r="F472" s="10">
        <f>IF(OR(B472="Uncategorised",C472="",C472="Review"),"Needs category/owner",IF(D472="Yes","Already in Category","Add to Category"))</f>
        <v/>
      </c>
    </row>
    <row r="473">
      <c r="A473" s="10" t="inlineStr">
        <is>
          <t>Kumo meng t ian j u n</t>
        </is>
      </c>
      <c r="B473" s="10" t="inlineStr">
        <is>
          <t>Uncategorised</t>
        </is>
      </c>
      <c r="C473" s="10" t="inlineStr">
        <is>
          <t>Review</t>
        </is>
      </c>
      <c r="D473" s="10">
        <f>IF(COUNTIF(Category!$A:$A,E473)&gt;0,"Yes","No")</f>
        <v/>
      </c>
      <c r="E473" s="10">
        <f>LEFT(A473,80)</f>
        <v/>
      </c>
      <c r="F473" s="10">
        <f>IF(OR(B473="Uncategorised",C473="",C473="Review"),"Needs category/owner",IF(D473="Yes","Already in Category","Add to Category"))</f>
        <v/>
      </c>
    </row>
    <row r="474">
      <c r="A474" s="10" t="inlineStr">
        <is>
          <t>Hidden Stand meng tian jun</t>
        </is>
      </c>
      <c r="B474" s="10" t="inlineStr">
        <is>
          <t>Food</t>
        </is>
      </c>
      <c r="C474" s="10" t="inlineStr">
        <is>
          <t>Family</t>
        </is>
      </c>
      <c r="D474" s="10">
        <f>IF(COUNTIF(Category!$A:$A,E474)&gt;0,"Yes","No")</f>
        <v/>
      </c>
      <c r="E474" s="10">
        <f>LEFT(A474,80)</f>
        <v/>
      </c>
      <c r="F474" s="10">
        <f>IF(OR(B474="Uncategorised",C474="",C474="Review"),"Needs category/owner",IF(D474="Yes","Already in Category","Add to Category"))</f>
        <v/>
      </c>
    </row>
    <row r="475">
      <c r="A475" s="10" t="inlineStr">
        <is>
          <t>OTTOLENGHI.CO.UK LONDON</t>
        </is>
      </c>
      <c r="B475" s="10" t="inlineStr">
        <is>
          <t>Uncategorised</t>
        </is>
      </c>
      <c r="C475" s="10" t="inlineStr">
        <is>
          <t>Review</t>
        </is>
      </c>
      <c r="D475" s="10">
        <f>IF(COUNTIF(Category!$A:$A,E475)&gt;0,"Yes","No")</f>
        <v/>
      </c>
      <c r="E475" s="10">
        <f>LEFT(A475,80)</f>
        <v/>
      </c>
      <c r="F475" s="10">
        <f>IF(OR(B475="Uncategorised",C475="",C475="Review"),"Needs category/owner",IF(D475="Yes","Already in Category","Add to Category"))</f>
        <v/>
      </c>
    </row>
    <row r="476">
      <c r="A476" s="10" t="inlineStr">
        <is>
          <t>PROCOOK GLOUCESTER</t>
        </is>
      </c>
      <c r="B476" s="10" t="inlineStr">
        <is>
          <t>Uncategorised</t>
        </is>
      </c>
      <c r="C476" s="10" t="inlineStr">
        <is>
          <t>Review</t>
        </is>
      </c>
      <c r="D476" s="10">
        <f>IF(COUNTIF(Category!$A:$A,E476)&gt;0,"Yes","No")</f>
        <v/>
      </c>
      <c r="E476" s="10">
        <f>LEFT(A476,80)</f>
        <v/>
      </c>
      <c r="F476" s="10">
        <f>IF(OR(B476="Uncategorised",C476="",C476="Review"),"Needs category/owner",IF(D476="Yes","Already in Category","Add to Category"))</f>
        <v/>
      </c>
    </row>
    <row r="477">
      <c r="A477" s="10" t="inlineStr">
        <is>
          <t>( JOO ) INISEUPEULI JEOIJ O J E J U-DO</t>
        </is>
      </c>
      <c r="B477" s="10" t="inlineStr">
        <is>
          <t>Dining out</t>
        </is>
      </c>
      <c r="C477" s="10" t="inlineStr">
        <is>
          <t>Family</t>
        </is>
      </c>
      <c r="D477" s="10">
        <f>IF(COUNTIF(Category!$A:$A,E477)&gt;0,"Yes","No")</f>
        <v/>
      </c>
      <c r="E477" s="10">
        <f>LEFT(A477,80)</f>
        <v/>
      </c>
      <c r="F477" s="10">
        <f>IF(OR(B477="Uncategorised",C477="",C477="Review"),"Needs category/owner",IF(D477="Yes","Already in Category","Add to Category"))</f>
        <v/>
      </c>
    </row>
    <row r="478">
      <c r="A478" s="10" t="inlineStr">
        <is>
          <t>B ' IN SELECT 00000000000 HONG KONG</t>
        </is>
      </c>
      <c r="B478" s="10" t="inlineStr">
        <is>
          <t>Uncategorised</t>
        </is>
      </c>
      <c r="C478" s="10" t="inlineStr">
        <is>
          <t>Review</t>
        </is>
      </c>
      <c r="D478" s="10">
        <f>IF(COUNTIF(Category!$A:$A,E478)&gt;0,"Yes","No")</f>
        <v/>
      </c>
      <c r="E478" s="10">
        <f>LEFT(A478,80)</f>
        <v/>
      </c>
      <c r="F478" s="10">
        <f>IF(OR(B478="Uncategorised",C478="",C478="Review"),"Needs category/owner",IF(D478="Yes","Already in Category","Add to Category"))</f>
        <v/>
      </c>
    </row>
    <row r="479">
      <c r="A479" s="10" t="inlineStr">
        <is>
          <t>IPPODO TEA KYOTO</t>
        </is>
      </c>
      <c r="B479" s="10" t="inlineStr">
        <is>
          <t>Food</t>
        </is>
      </c>
      <c r="C479" s="10" t="inlineStr">
        <is>
          <t>Family</t>
        </is>
      </c>
      <c r="D479" s="10">
        <f>IF(COUNTIF(Category!$A:$A,E479)&gt;0,"Yes","No")</f>
        <v/>
      </c>
      <c r="E479" s="10">
        <f>LEFT(A479,80)</f>
        <v/>
      </c>
      <c r="F479" s="10">
        <f>IF(OR(B479="Uncategorised",C479="",C479="Review"),"Needs category/owner",IF(D479="Yes","Already in Category","Add to Category"))</f>
        <v/>
      </c>
    </row>
    <row r="480">
      <c r="A480" s="10" t="inlineStr">
        <is>
          <t>FARMACIA MATA 055606560 MALAGA</t>
        </is>
      </c>
      <c r="B480" s="10" t="inlineStr">
        <is>
          <t>Uncategorised</t>
        </is>
      </c>
      <c r="C480" s="10" t="inlineStr">
        <is>
          <t>Review</t>
        </is>
      </c>
      <c r="D480" s="10">
        <f>IF(COUNTIF(Category!$A:$A,E480)&gt;0,"Yes","No")</f>
        <v/>
      </c>
      <c r="E480" s="10">
        <f>LEFT(A480,80)</f>
        <v/>
      </c>
      <c r="F480" s="10">
        <f>IF(OR(B480="Uncategorised",C480="",C480="Review"),"Needs category/owner",IF(D480="Yes","Already in Category","Add to Category"))</f>
        <v/>
      </c>
    </row>
    <row r="481">
      <c r="A481" s="10" t="inlineStr">
        <is>
          <t>Anemone Bath</t>
        </is>
      </c>
      <c r="B481" s="10" t="inlineStr">
        <is>
          <t>Uncategorised</t>
        </is>
      </c>
      <c r="C481" s="10" t="inlineStr">
        <is>
          <t>Review</t>
        </is>
      </c>
      <c r="D481" s="10">
        <f>IF(COUNTIF(Category!$A:$A,E481)&gt;0,"Yes","No")</f>
        <v/>
      </c>
      <c r="E481" s="10">
        <f>LEFT(A481,80)</f>
        <v/>
      </c>
      <c r="F481" s="10">
        <f>IF(OR(B481="Uncategorised",C481="",C481="Review"),"Needs category/owner",IF(D481="Yes","Already in Category","Add to Category"))</f>
        <v/>
      </c>
    </row>
    <row r="482">
      <c r="A482" s="10" t="inlineStr">
        <is>
          <t>ROOM 10 POTTS POINT</t>
        </is>
      </c>
      <c r="B482" s="10" t="inlineStr">
        <is>
          <t>Uncategorised</t>
        </is>
      </c>
      <c r="C482" s="10" t="inlineStr">
        <is>
          <t>Review</t>
        </is>
      </c>
      <c r="D482" s="10">
        <f>IF(COUNTIF(Category!$A:$A,E482)&gt;0,"Yes","No")</f>
        <v/>
      </c>
      <c r="E482" s="10">
        <f>LEFT(A482,80)</f>
        <v/>
      </c>
      <c r="F482" s="10">
        <f>IF(OR(B482="Uncategorised",C482="",C482="Review"),"Needs category/owner",IF(D482="Yes","Already in Category","Add to Category"))</f>
        <v/>
      </c>
    </row>
    <row r="483">
      <c r="A483" s="10" t="inlineStr">
        <is>
          <t>AP QUAY Sy d n ey</t>
        </is>
      </c>
      <c r="B483" s="10" t="inlineStr">
        <is>
          <t>Uncategorised</t>
        </is>
      </c>
      <c r="C483" s="10" t="inlineStr">
        <is>
          <t>Review</t>
        </is>
      </c>
      <c r="D483" s="10">
        <f>IF(COUNTIF(Category!$A:$A,E483)&gt;0,"Yes","No")</f>
        <v/>
      </c>
      <c r="E483" s="10">
        <f>LEFT(A483,80)</f>
        <v/>
      </c>
      <c r="F483" s="10">
        <f>IF(OR(B483="Uncategorised",C483="",C483="Review"),"Needs category/owner",IF(D483="Yes","Already in Category","Add to Category"))</f>
        <v/>
      </c>
    </row>
    <row r="484">
      <c r="A484" s="10" t="inlineStr">
        <is>
          <t>CITY'SUPER CAUSEWAY BAY</t>
        </is>
      </c>
      <c r="B484" s="10" t="inlineStr">
        <is>
          <t>Groceries</t>
        </is>
      </c>
      <c r="C484" s="10" t="inlineStr">
        <is>
          <t>Family</t>
        </is>
      </c>
      <c r="D484" s="10">
        <f>IF(COUNTIF(Category!$A:$A,E484)&gt;0,"Yes","No")</f>
        <v/>
      </c>
      <c r="E484" s="10">
        <f>LEFT(A484,80)</f>
        <v/>
      </c>
      <c r="F484" s="10">
        <f>IF(OR(B484="Uncategorised",C484="",C484="Review"),"Needs category/owner",IF(D484="Yes","Already in Category","Add to Category"))</f>
        <v/>
      </c>
    </row>
    <row r="485">
      <c r="A485" s="10" t="inlineStr">
        <is>
          <t>THE COCONUT Club - KIM SINGAPORE</t>
        </is>
      </c>
      <c r="B485" s="10" t="inlineStr">
        <is>
          <t>Dining out</t>
        </is>
      </c>
      <c r="C485" s="10" t="inlineStr">
        <is>
          <t>Family</t>
        </is>
      </c>
      <c r="D485" s="10">
        <f>IF(COUNTIF(Category!$A:$A,E485)&gt;0,"Yes","No")</f>
        <v/>
      </c>
      <c r="E485" s="10">
        <f>LEFT(A485,80)</f>
        <v/>
      </c>
      <c r="F485" s="10">
        <f>IF(OR(B485="Uncategorised",C485="",C485="Review"),"Needs category/owner",IF(D485="Yes","Already in Category","Add to Category"))</f>
        <v/>
      </c>
    </row>
    <row r="486">
      <c r="A486" s="10" t="inlineStr">
        <is>
          <t>J U MPSPEAK WIL MINGTON</t>
        </is>
      </c>
      <c r="B486" s="10" t="inlineStr">
        <is>
          <t>Uncategorised</t>
        </is>
      </c>
      <c r="C486" s="10" t="inlineStr">
        <is>
          <t>Review</t>
        </is>
      </c>
      <c r="D486" s="10">
        <f>IF(COUNTIF(Category!$A:$A,E486)&gt;0,"Yes","No")</f>
        <v/>
      </c>
      <c r="E486" s="10">
        <f>LEFT(A486,80)</f>
        <v/>
      </c>
      <c r="F486" s="10">
        <f>IF(OR(B486="Uncategorised",C486="",C486="Review"),"Needs category/owner",IF(D486="Yes","Already in Category","Add to Category"))</f>
        <v/>
      </c>
    </row>
    <row r="487">
      <c r="A487" s="10" t="inlineStr">
        <is>
          <t>AMZNMKTPLACE*TO11Y8184 AMAZON.CO.UK</t>
        </is>
      </c>
      <c r="B487" s="10" t="inlineStr">
        <is>
          <t>Book &amp; Kindle</t>
        </is>
      </c>
      <c r="C487" s="10" t="inlineStr">
        <is>
          <t>Family</t>
        </is>
      </c>
      <c r="D487" s="10">
        <f>IF(COUNTIF(Category!$A:$A,E487)&gt;0,"Yes","No")</f>
        <v/>
      </c>
      <c r="E487" s="10">
        <f>LEFT(A487,80)</f>
        <v/>
      </c>
      <c r="F487" s="10">
        <f>IF(OR(B487="Uncategorised",C487="",C487="Review"),"Needs category/owner",IF(D487="Yes","Already in Category","Add to Category"))</f>
        <v/>
      </c>
    </row>
    <row r="488">
      <c r="A488" s="10" t="inlineStr">
        <is>
          <t>ROSSITERS OF BATH ROSSI BATH</t>
        </is>
      </c>
      <c r="B488" s="10" t="inlineStr">
        <is>
          <t>Uncategorised</t>
        </is>
      </c>
      <c r="C488" s="10" t="inlineStr">
        <is>
          <t>Review</t>
        </is>
      </c>
      <c r="D488" s="10">
        <f>IF(COUNTIF(Category!$A:$A,E488)&gt;0,"Yes","No")</f>
        <v/>
      </c>
      <c r="E488" s="10">
        <f>LEFT(A488,80)</f>
        <v/>
      </c>
      <c r="F488" s="10">
        <f>IF(OR(B488="Uncategorised",C488="",C488="Review"),"Needs category/owner",IF(D488="Yes","Already in Category","Add to Category"))</f>
        <v/>
      </c>
    </row>
    <row r="489">
      <c r="A489" s="10" t="inlineStr">
        <is>
          <t>ET TA SOEUR BONIFACIO</t>
        </is>
      </c>
      <c r="B489" s="10" t="inlineStr">
        <is>
          <t>Uncategorised</t>
        </is>
      </c>
      <c r="C489" s="10" t="inlineStr">
        <is>
          <t>Review</t>
        </is>
      </c>
      <c r="D489" s="10">
        <f>IF(COUNTIF(Category!$A:$A,E489)&gt;0,"Yes","No")</f>
        <v/>
      </c>
      <c r="E489" s="10">
        <f>LEFT(A489,80)</f>
        <v/>
      </c>
      <c r="F489" s="10">
        <f>IF(OR(B489="Uncategorised",C489="",C489="Review"),"Needs category/owner",IF(D489="Yes","Already in Category","Add to Category"))</f>
        <v/>
      </c>
    </row>
    <row r="490">
      <c r="A490" s="10" t="inlineStr">
        <is>
          <t>HKSH HEALTHCARE ( TANNER HONG KONG</t>
        </is>
      </c>
      <c r="B490" s="10" t="inlineStr">
        <is>
          <t>Uncategorised</t>
        </is>
      </c>
      <c r="C490" s="10" t="inlineStr">
        <is>
          <t>Review</t>
        </is>
      </c>
      <c r="D490" s="10">
        <f>IF(COUNTIF(Category!$A:$A,E490)&gt;0,"Yes","No")</f>
        <v/>
      </c>
      <c r="E490" s="10">
        <f>LEFT(A490,80)</f>
        <v/>
      </c>
      <c r="F490" s="10">
        <f>IF(OR(B490="Uncategorised",C490="",C490="Review"),"Needs category/owner",IF(D490="Yes","Already in Category","Add to Category"))</f>
        <v/>
      </c>
    </row>
    <row r="491">
      <c r="A491" s="10" t="inlineStr">
        <is>
          <t>A FURISETSUNISEKO HOKKAIDO</t>
        </is>
      </c>
      <c r="B491" s="10" t="inlineStr">
        <is>
          <t>Uncategorised</t>
        </is>
      </c>
      <c r="C491" s="10" t="inlineStr">
        <is>
          <t>Review</t>
        </is>
      </c>
      <c r="D491" s="10">
        <f>IF(COUNTIF(Category!$A:$A,E491)&gt;0,"Yes","No")</f>
        <v/>
      </c>
      <c r="E491" s="10">
        <f>LEFT(A491,80)</f>
        <v/>
      </c>
      <c r="F491" s="10">
        <f>IF(OR(B491="Uncategorised",C491="",C491="Review"),"Needs category/owner",IF(D491="Yes","Already in Category","Add to Category"))</f>
        <v/>
      </c>
    </row>
    <row r="492">
      <c r="A492" s="10" t="inlineStr">
        <is>
          <t>JOOSIKHOISA GOODLEONEOK SEOUL</t>
        </is>
      </c>
      <c r="B492" s="10" t="inlineStr">
        <is>
          <t>Dining out</t>
        </is>
      </c>
      <c r="C492" s="10" t="inlineStr">
        <is>
          <t>Family</t>
        </is>
      </c>
      <c r="D492" s="10">
        <f>IF(COUNTIF(Category!$A:$A,E492)&gt;0,"Yes","No")</f>
        <v/>
      </c>
      <c r="E492" s="10">
        <f>LEFT(A492,80)</f>
        <v/>
      </c>
      <c r="F492" s="10">
        <f>IF(OR(B492="Uncategorised",C492="",C492="Review"),"Needs category/owner",IF(D492="Yes","Already in Category","Add to Category"))</f>
        <v/>
      </c>
    </row>
    <row r="493">
      <c r="A493" s="10" t="inlineStr">
        <is>
          <t>HACHIRIKI TAXI HOKKAIDO</t>
        </is>
      </c>
      <c r="B493" s="10" t="inlineStr">
        <is>
          <t>Transport</t>
        </is>
      </c>
      <c r="C493" s="10" t="inlineStr">
        <is>
          <t>Su</t>
        </is>
      </c>
      <c r="D493" s="10">
        <f>IF(COUNTIF(Category!$A:$A,E493)&gt;0,"Yes","No")</f>
        <v/>
      </c>
      <c r="E493" s="10">
        <f>LEFT(A493,80)</f>
        <v/>
      </c>
      <c r="F493" s="10">
        <f>IF(OR(B493="Uncategorised",C493="",C493="Review"),"Needs category/owner",IF(D493="Yes","Already in Category","Add to Category"))</f>
        <v/>
      </c>
    </row>
    <row r="494">
      <c r="A494" s="10" t="inlineStr">
        <is>
          <t>SHAKE SHACKI F C (0201) CENTRAL</t>
        </is>
      </c>
      <c r="B494" s="10" t="inlineStr">
        <is>
          <t>Uncategorised</t>
        </is>
      </c>
      <c r="C494" s="10" t="inlineStr">
        <is>
          <t>Review</t>
        </is>
      </c>
      <c r="D494" s="10">
        <f>IF(COUNTIF(Category!$A:$A,E494)&gt;0,"Yes","No")</f>
        <v/>
      </c>
      <c r="E494" s="10">
        <f>LEFT(A494,80)</f>
        <v/>
      </c>
      <c r="F494" s="10">
        <f>IF(OR(B494="Uncategorised",C494="",C494="Review"),"Needs category/owner",IF(D494="Yes","Already in Category","Add to Category"))</f>
        <v/>
      </c>
    </row>
    <row r="495">
      <c r="A495" s="10" t="inlineStr">
        <is>
          <t>FREE PEOPLE 4804 38/39 LONDON</t>
        </is>
      </c>
      <c r="B495" s="10" t="inlineStr">
        <is>
          <t>Uncategorised</t>
        </is>
      </c>
      <c r="C495" s="10" t="inlineStr">
        <is>
          <t>Review</t>
        </is>
      </c>
      <c r="D495" s="10">
        <f>IF(COUNTIF(Category!$A:$A,E495)&gt;0,"Yes","No")</f>
        <v/>
      </c>
      <c r="E495" s="10">
        <f>LEFT(A495,80)</f>
        <v/>
      </c>
      <c r="F495" s="10">
        <f>IF(OR(B495="Uncategorised",C495="",C495="Review"),"Needs category/owner",IF(D495="Yes","Already in Category","Add to Category"))</f>
        <v/>
      </c>
    </row>
    <row r="496">
      <c r="A496" s="10" t="inlineStr">
        <is>
          <t>EMPEUTI SEONGSOO SEOUL</t>
        </is>
      </c>
      <c r="B496" s="10" t="inlineStr">
        <is>
          <t>Uncategorised</t>
        </is>
      </c>
      <c r="C496" s="10" t="inlineStr">
        <is>
          <t>Review</t>
        </is>
      </c>
      <c r="D496" s="10">
        <f>IF(COUNTIF(Category!$A:$A,E496)&gt;0,"Yes","No")</f>
        <v/>
      </c>
      <c r="E496" s="10">
        <f>LEFT(A496,80)</f>
        <v/>
      </c>
      <c r="F496" s="10">
        <f>IF(OR(B496="Uncategorised",C496="",C496="Review"),"Needs category/owner",IF(D496="Yes","Already in Category","Add to Category"))</f>
        <v/>
      </c>
    </row>
    <row r="497">
      <c r="A497" s="10" t="inlineStr">
        <is>
          <t>GARMIN ( EUROPE ) LIMITED SOUTHAMPTON</t>
        </is>
      </c>
      <c r="B497" s="10" t="inlineStr">
        <is>
          <t>Fitness Equipment</t>
        </is>
      </c>
      <c r="C497" s="10" t="inlineStr">
        <is>
          <t>Family</t>
        </is>
      </c>
      <c r="D497" s="10">
        <f>IF(COUNTIF(Category!$A:$A,E497)&gt;0,"Yes","No")</f>
        <v/>
      </c>
      <c r="E497" s="10">
        <f>LEFT(A497,80)</f>
        <v/>
      </c>
      <c r="F497" s="10">
        <f>IF(OR(B497="Uncategorised",C497="",C497="Review"),"Needs category/owner",IF(D497="Yes","Already in Category","Add to Category"))</f>
        <v/>
      </c>
    </row>
    <row r="498">
      <c r="A498" s="10" t="inlineStr">
        <is>
          <t>UNIVERSITY OPTICAL SHOP CENTRAL</t>
        </is>
      </c>
      <c r="B498" s="10" t="inlineStr">
        <is>
          <t>Uncategorised</t>
        </is>
      </c>
      <c r="C498" s="10" t="inlineStr">
        <is>
          <t>Review</t>
        </is>
      </c>
      <c r="D498" s="10">
        <f>IF(COUNTIF(Category!$A:$A,E498)&gt;0,"Yes","No")</f>
        <v/>
      </c>
      <c r="E498" s="10">
        <f>LEFT(A498,80)</f>
        <v/>
      </c>
      <c r="F498" s="10">
        <f>IF(OR(B498="Uncategorised",C498="",C498="Review"),"Needs category/owner",IF(D498="Yes","Already in Category","Add to Category"))</f>
        <v/>
      </c>
    </row>
    <row r="499">
      <c r="A499" s="10" t="inlineStr">
        <is>
          <t>SATSUDORA NISEKOHIRAHUT HOKKAIDO</t>
        </is>
      </c>
      <c r="B499" s="10" t="inlineStr">
        <is>
          <t>Food</t>
        </is>
      </c>
      <c r="C499" s="10" t="inlineStr">
        <is>
          <t>Family</t>
        </is>
      </c>
      <c r="D499" s="10">
        <f>IF(COUNTIF(Category!$A:$A,E499)&gt;0,"Yes","No")</f>
        <v/>
      </c>
      <c r="E499" s="10">
        <f>LEFT(A499,80)</f>
        <v/>
      </c>
      <c r="F499" s="10">
        <f>IF(OR(B499="Uncategorised",C499="",C499="Review"),"Needs category/owner",IF(D499="Yes","Already in Category","Add to Category"))</f>
        <v/>
      </c>
    </row>
    <row r="500">
      <c r="A500" s="10" t="inlineStr">
        <is>
          <t>DY MOCKS PTY LTD SYDNEY SYDNEY</t>
        </is>
      </c>
      <c r="B500" s="10" t="inlineStr">
        <is>
          <t>Uncategorised</t>
        </is>
      </c>
      <c r="C500" s="10" t="inlineStr">
        <is>
          <t>Review</t>
        </is>
      </c>
      <c r="D500" s="10">
        <f>IF(COUNTIF(Category!$A:$A,E500)&gt;0,"Yes","No")</f>
        <v/>
      </c>
      <c r="E500" s="10">
        <f>LEFT(A500,80)</f>
        <v/>
      </c>
      <c r="F500" s="10">
        <f>IF(OR(B500="Uncategorised",C500="",C500="Review"),"Needs category/owner",IF(D500="Yes","Already in Category","Add to Category"))</f>
        <v/>
      </c>
    </row>
    <row r="501">
      <c r="A501" s="10" t="inlineStr">
        <is>
          <t>KELLY &amp; WALSH LTD CENTRAL</t>
        </is>
      </c>
      <c r="B501" s="10" t="inlineStr">
        <is>
          <t>Book &amp; Kindle</t>
        </is>
      </c>
      <c r="C501" s="10" t="inlineStr">
        <is>
          <t>Family</t>
        </is>
      </c>
      <c r="D501" s="10">
        <f>IF(COUNTIF(Category!$A:$A,E501)&gt;0,"Yes","No")</f>
        <v/>
      </c>
      <c r="E501" s="10">
        <f>LEFT(A501,80)</f>
        <v/>
      </c>
      <c r="F501" s="10">
        <f>IF(OR(B501="Uncategorised",C501="",C501="Review"),"Needs category/owner",IF(D501="Yes","Already in Category","Add to Category"))</f>
        <v/>
      </c>
    </row>
    <row r="502">
      <c r="A502" s="10" t="inlineStr">
        <is>
          <t>GREAT FOOD HALL (GPP-25 ADMIRALTY</t>
        </is>
      </c>
      <c r="B502" s="10" t="inlineStr">
        <is>
          <t>Uncategorised</t>
        </is>
      </c>
      <c r="C502" s="10" t="inlineStr">
        <is>
          <t>Review</t>
        </is>
      </c>
      <c r="D502" s="10">
        <f>IF(COUNTIF(Category!$A:$A,E502)&gt;0,"Yes","No")</f>
        <v/>
      </c>
      <c r="E502" s="10">
        <f>LEFT(A502,80)</f>
        <v/>
      </c>
      <c r="F502" s="10">
        <f>IF(OR(B502="Uncategorised",C502="",C502="Review"),"Needs category/owner",IF(D502="Yes","Already in Category","Add to Category"))</f>
        <v/>
      </c>
    </row>
    <row r="503">
      <c r="A503" s="10" t="inlineStr">
        <is>
          <t>LS RUNNING BATH BATH</t>
        </is>
      </c>
      <c r="B503" s="10" t="inlineStr">
        <is>
          <t>Uncategorised</t>
        </is>
      </c>
      <c r="C503" s="10" t="inlineStr">
        <is>
          <t>Review</t>
        </is>
      </c>
      <c r="D503" s="10">
        <f>IF(COUNTIF(Category!$A:$A,E503)&gt;0,"Yes","No")</f>
        <v/>
      </c>
      <c r="E503" s="10">
        <f>LEFT(A503,80)</f>
        <v/>
      </c>
      <c r="F503" s="10">
        <f>IF(OR(B503="Uncategorised",C503="",C503="Review"),"Needs category/owner",IF(D503="Yes","Already in Category","Add to Category"))</f>
        <v/>
      </c>
    </row>
    <row r="504">
      <c r="A504" s="10" t="inlineStr">
        <is>
          <t>KPAY * SC ROASTERY 000000 HONG KONG</t>
        </is>
      </c>
      <c r="B504" s="10" t="inlineStr">
        <is>
          <t>Uncategorised</t>
        </is>
      </c>
      <c r="C504" s="10" t="inlineStr">
        <is>
          <t>Review</t>
        </is>
      </c>
      <c r="D504" s="10">
        <f>IF(COUNTIF(Category!$A:$A,E504)&gt;0,"Yes","No")</f>
        <v/>
      </c>
      <c r="E504" s="10">
        <f>LEFT(A504,80)</f>
        <v/>
      </c>
      <c r="F504" s="10">
        <f>IF(OR(B504="Uncategorised",C504="",C504="Review"),"Needs category/owner",IF(D504="Yes","Already in Category","Add to Category"))</f>
        <v/>
      </c>
    </row>
    <row r="505">
      <c r="A505" s="10" t="inlineStr">
        <is>
          <t>SA SA (HA02) CAUSEWAY BAY</t>
        </is>
      </c>
      <c r="B505" s="10" t="inlineStr">
        <is>
          <t>Beauty</t>
        </is>
      </c>
      <c r="C505" s="10" t="inlineStr">
        <is>
          <t>Su</t>
        </is>
      </c>
      <c r="D505" s="10">
        <f>IF(COUNTIF(Category!$A:$A,E505)&gt;0,"Yes","No")</f>
        <v/>
      </c>
      <c r="E505" s="10">
        <f>LEFT(A505,80)</f>
        <v/>
      </c>
      <c r="F505" s="10">
        <f>IF(OR(B505="Uncategorised",C505="",C505="Review"),"Needs category/owner",IF(D505="Yes","Already in Category","Add to Category"))</f>
        <v/>
      </c>
    </row>
    <row r="506">
      <c r="A506" s="10" t="inlineStr">
        <is>
          <t>EMPEROR CINEMA HONG KONG</t>
        </is>
      </c>
      <c r="B506" s="10" t="inlineStr">
        <is>
          <t>Uncategorised</t>
        </is>
      </c>
      <c r="C506" s="10" t="inlineStr">
        <is>
          <t>Review</t>
        </is>
      </c>
      <c r="D506" s="10">
        <f>IF(COUNTIF(Category!$A:$A,E506)&gt;0,"Yes","No")</f>
        <v/>
      </c>
      <c r="E506" s="10">
        <f>LEFT(A506,80)</f>
        <v/>
      </c>
      <c r="F506" s="10">
        <f>IF(OR(B506="Uncategorised",C506="",C506="Review"),"Needs category/owner",IF(D506="Yes","Already in Category","Add to Category"))</f>
        <v/>
      </c>
    </row>
    <row r="507">
      <c r="A507" s="10" t="inlineStr">
        <is>
          <t>FARMACIA EL SAGRARIO 01 MALAGA</t>
        </is>
      </c>
      <c r="B507" s="10" t="inlineStr">
        <is>
          <t>Uncategorised</t>
        </is>
      </c>
      <c r="C507" s="10" t="inlineStr">
        <is>
          <t>Review</t>
        </is>
      </c>
      <c r="D507" s="10">
        <f>IF(COUNTIF(Category!$A:$A,E507)&gt;0,"Yes","No")</f>
        <v/>
      </c>
      <c r="E507" s="10">
        <f>LEFT(A507,80)</f>
        <v/>
      </c>
      <c r="F507" s="10">
        <f>IF(OR(B507="Uncategorised",C507="",C507="Review"),"Needs category/owner",IF(D507="Yes","Already in Category","Add to Category"))</f>
        <v/>
      </c>
    </row>
    <row r="508">
      <c r="A508" s="10" t="inlineStr">
        <is>
          <t>WOOLWORTHS 1416 DOUBLE DOUBLE BAY</t>
        </is>
      </c>
      <c r="B508" s="10" t="inlineStr">
        <is>
          <t>Groceries</t>
        </is>
      </c>
      <c r="C508" s="10" t="inlineStr">
        <is>
          <t>Family</t>
        </is>
      </c>
      <c r="D508" s="10">
        <f>IF(COUNTIF(Category!$A:$A,E508)&gt;0,"Yes","No")</f>
        <v/>
      </c>
      <c r="E508" s="10">
        <f>LEFT(A508,80)</f>
        <v/>
      </c>
      <c r="F508" s="10">
        <f>IF(OR(B508="Uncategorised",C508="",C508="Review"),"Needs category/owner",IF(D508="Yes","Already in Category","Add to Category"))</f>
        <v/>
      </c>
    </row>
    <row r="509">
      <c r="A509" s="10" t="inlineStr">
        <is>
          <t>GM TAXIPAY MASCOT</t>
        </is>
      </c>
      <c r="B509" s="10" t="inlineStr">
        <is>
          <t>Transport</t>
        </is>
      </c>
      <c r="C509" s="10" t="inlineStr">
        <is>
          <t>Su</t>
        </is>
      </c>
      <c r="D509" s="10">
        <f>IF(COUNTIF(Category!$A:$A,E509)&gt;0,"Yes","No")</f>
        <v/>
      </c>
      <c r="E509" s="10">
        <f>LEFT(A509,80)</f>
        <v/>
      </c>
      <c r="F509" s="10">
        <f>IF(OR(B509="Uncategorised",C509="",C509="Review"),"Needs category/owner",IF(D509="Yes","Already in Category","Add to Category"))</f>
        <v/>
      </c>
    </row>
    <row r="510">
      <c r="A510" s="10" t="inlineStr">
        <is>
          <t>AMZNMKTPLACE*R69W451K4 AMAZON.CO.UK</t>
        </is>
      </c>
      <c r="B510" s="10" t="inlineStr">
        <is>
          <t>Book &amp; Kindle</t>
        </is>
      </c>
      <c r="C510" s="10" t="inlineStr">
        <is>
          <t>Family</t>
        </is>
      </c>
      <c r="D510" s="10">
        <f>IF(COUNTIF(Category!$A:$A,E510)&gt;0,"Yes","No")</f>
        <v/>
      </c>
      <c r="E510" s="10">
        <f>LEFT(A510,80)</f>
        <v/>
      </c>
      <c r="F510" s="10">
        <f>IF(OR(B510="Uncategorised",C510="",C510="Review"),"Needs category/owner",IF(D510="Yes","Already in Category","Add to Category"))</f>
        <v/>
      </c>
    </row>
    <row r="511">
      <c r="A511" s="10" t="inlineStr">
        <is>
          <t>3CPAYMENT*COACH HOUSE DSURREY</t>
        </is>
      </c>
      <c r="B511" s="10" t="inlineStr">
        <is>
          <t>Uncategorised</t>
        </is>
      </c>
      <c r="C511" s="10" t="inlineStr">
        <is>
          <t>Review</t>
        </is>
      </c>
      <c r="D511" s="10">
        <f>IF(COUNTIF(Category!$A:$A,E511)&gt;0,"Yes","No")</f>
        <v/>
      </c>
      <c r="E511" s="10">
        <f>LEFT(A511,80)</f>
        <v/>
      </c>
      <c r="F511" s="10">
        <f>IF(OR(B511="Uncategorised",C511="",C511="Review"),"Needs category/owner",IF(D511="Yes","Already in Category","Add to Category"))</f>
        <v/>
      </c>
    </row>
    <row r="512">
      <c r="A512" s="10" t="inlineStr">
        <is>
          <t>KIRORORESORT HOKKAIDO</t>
        </is>
      </c>
      <c r="B512" s="10" t="inlineStr">
        <is>
          <t>Uncategorised</t>
        </is>
      </c>
      <c r="C512" s="10" t="inlineStr">
        <is>
          <t>Review</t>
        </is>
      </c>
      <c r="D512" s="10">
        <f>IF(COUNTIF(Category!$A:$A,E512)&gt;0,"Yes","No")</f>
        <v/>
      </c>
      <c r="E512" s="10">
        <f>LEFT(A512,80)</f>
        <v/>
      </c>
      <c r="F512" s="10">
        <f>IF(OR(B512="Uncategorised",C512="",C512="Review"),"Needs category/owner",IF(D512="Yes","Already in Category","Add to Category"))</f>
        <v/>
      </c>
    </row>
    <row r="513">
      <c r="A513" s="10" t="inlineStr">
        <is>
          <t>PINA EATERY POTT POINT</t>
        </is>
      </c>
      <c r="B513" s="10" t="inlineStr">
        <is>
          <t>Dining out</t>
        </is>
      </c>
      <c r="C513" s="10" t="inlineStr">
        <is>
          <t>Family</t>
        </is>
      </c>
      <c r="D513" s="10">
        <f>IF(COUNTIF(Category!$A:$A,E513)&gt;0,"Yes","No")</f>
        <v/>
      </c>
      <c r="E513" s="10">
        <f>LEFT(A513,80)</f>
        <v/>
      </c>
      <c r="F513" s="10">
        <f>IF(OR(B513="Uncategorised",C513="",C513="Review"),"Needs category/owner",IF(D513="Yes","Already in Category","Add to Category"))</f>
        <v/>
      </c>
    </row>
    <row r="514">
      <c r="A514" s="10" t="inlineStr">
        <is>
          <t>UBER TRIP HELP.UBER.COM</t>
        </is>
      </c>
      <c r="B514" s="10" t="inlineStr">
        <is>
          <t>Transport</t>
        </is>
      </c>
      <c r="C514" s="10" t="inlineStr">
        <is>
          <t>Su</t>
        </is>
      </c>
      <c r="D514" s="10">
        <f>IF(COUNTIF(Category!$A:$A,E514)&gt;0,"Yes","No")</f>
        <v/>
      </c>
      <c r="E514" s="10">
        <f>LEFT(A514,80)</f>
        <v/>
      </c>
      <c r="F514" s="10">
        <f>IF(OR(B514="Uncategorised",C514="",C514="Review"),"Needs category/owner",IF(D514="Yes","Already in Category","Add to Category"))</f>
        <v/>
      </c>
    </row>
    <row r="515">
      <c r="A515" s="10" t="inlineStr">
        <is>
          <t>BATH PRIORY HOTEL BATH</t>
        </is>
      </c>
      <c r="B515" s="10" t="inlineStr">
        <is>
          <t>Uncategorised</t>
        </is>
      </c>
      <c r="C515" s="10" t="inlineStr">
        <is>
          <t>Review</t>
        </is>
      </c>
      <c r="D515" s="10">
        <f>IF(COUNTIF(Category!$A:$A,E515)&gt;0,"Yes","No")</f>
        <v/>
      </c>
      <c r="E515" s="10">
        <f>LEFT(A515,80)</f>
        <v/>
      </c>
      <c r="F515" s="10">
        <f>IF(OR(B515="Uncategorised",C515="",C515="Review"),"Needs category/owner",IF(D515="Yes","Already in Category","Add to Category"))</f>
        <v/>
      </c>
    </row>
    <row r="516">
      <c r="A516" s="10" t="inlineStr">
        <is>
          <t>FARM FRONT AIR NIGATA</t>
        </is>
      </c>
      <c r="B516" s="10" t="inlineStr">
        <is>
          <t>Uncategorised</t>
        </is>
      </c>
      <c r="C516" s="10" t="inlineStr">
        <is>
          <t>Review</t>
        </is>
      </c>
      <c r="D516" s="10">
        <f>IF(COUNTIF(Category!$A:$A,E516)&gt;0,"Yes","No")</f>
        <v/>
      </c>
      <c r="E516" s="10">
        <f>LEFT(A516,80)</f>
        <v/>
      </c>
      <c r="F516" s="10">
        <f>IF(OR(B516="Uncategorised",C516="",C516="Review"),"Needs category/owner",IF(D516="Yes","Already in Category","Add to Category"))</f>
        <v/>
      </c>
    </row>
    <row r="517">
      <c r="A517" s="10" t="inlineStr">
        <is>
          <t>SP IPPODOTEAGLOBAL KIYOUTOSHI NAKA</t>
        </is>
      </c>
      <c r="B517" s="10" t="inlineStr">
        <is>
          <t>Food</t>
        </is>
      </c>
      <c r="C517" s="10" t="inlineStr">
        <is>
          <t>Family</t>
        </is>
      </c>
      <c r="D517" s="10">
        <f>IF(COUNTIF(Category!$A:$A,E517)&gt;0,"Yes","No")</f>
        <v/>
      </c>
      <c r="E517" s="10">
        <f>LEFT(A517,80)</f>
        <v/>
      </c>
      <c r="F517" s="10">
        <f>IF(OR(B517="Uncategorised",C517="",C517="Review"),"Needs category/owner",IF(D517="Yes","Already in Category","Add to Category"))</f>
        <v/>
      </c>
    </row>
    <row r="518">
      <c r="A518" s="10" t="inlineStr">
        <is>
          <t>CITYSUPER STORE @ AIRSI KOWLOON CITY</t>
        </is>
      </c>
      <c r="B518" s="10" t="inlineStr">
        <is>
          <t>Groceries</t>
        </is>
      </c>
      <c r="C518" s="10" t="inlineStr">
        <is>
          <t>Family</t>
        </is>
      </c>
      <c r="D518" s="10">
        <f>IF(COUNTIF(Category!$A:$A,E518)&gt;0,"Yes","No")</f>
        <v/>
      </c>
      <c r="E518" s="10">
        <f>LEFT(A518,80)</f>
        <v/>
      </c>
      <c r="F518" s="10">
        <f>IF(OR(B518="Uncategorised",C518="",C518="Review"),"Needs category/owner",IF(D518="Yes","Already in Category","Add to Category"))</f>
        <v/>
      </c>
    </row>
    <row r="519">
      <c r="A519" s="10" t="inlineStr">
        <is>
          <t>PINA EATERY POTTS POINT</t>
        </is>
      </c>
      <c r="B519" s="10" t="inlineStr">
        <is>
          <t>Dining out</t>
        </is>
      </c>
      <c r="C519" s="10" t="inlineStr">
        <is>
          <t>Family</t>
        </is>
      </c>
      <c r="D519" s="10">
        <f>IF(COUNTIF(Category!$A:$A,E519)&gt;0,"Yes","No")</f>
        <v/>
      </c>
      <c r="E519" s="10">
        <f>LEFT(A519,80)</f>
        <v/>
      </c>
      <c r="F519" s="10">
        <f>IF(OR(B519="Uncategorised",C519="",C519="Review"),"Needs category/owner",IF(D519="Yes","Already in Category","Add to Category"))</f>
        <v/>
      </c>
    </row>
    <row r="520">
      <c r="A520" s="10" t="inlineStr">
        <is>
          <t>KPAY*METAPOD MA-2 00000 HONG KONG</t>
        </is>
      </c>
      <c r="B520" s="10" t="inlineStr">
        <is>
          <t>Uncategorised</t>
        </is>
      </c>
      <c r="C520" s="10" t="inlineStr">
        <is>
          <t>Review</t>
        </is>
      </c>
      <c r="D520" s="10">
        <f>IF(COUNTIF(Category!$A:$A,E520)&gt;0,"Yes","No")</f>
        <v/>
      </c>
      <c r="E520" s="10">
        <f>LEFT(A520,80)</f>
        <v/>
      </c>
      <c r="F520" s="10">
        <f>IF(OR(B520="Uncategorised",C520="",C520="Review"),"Needs category/owner",IF(D520="Yes","Already in Category","Add to Category"))</f>
        <v/>
      </c>
    </row>
    <row r="521">
      <c r="A521" s="10" t="inlineStr">
        <is>
          <t>ZARA - PACIFIC PLACE ADMIRALTY</t>
        </is>
      </c>
      <c r="B521" s="10" t="inlineStr">
        <is>
          <t>Uncategorised</t>
        </is>
      </c>
      <c r="C521" s="10" t="inlineStr">
        <is>
          <t>Review</t>
        </is>
      </c>
      <c r="D521" s="10">
        <f>IF(COUNTIF(Category!$A:$A,E521)&gt;0,"Yes","No")</f>
        <v/>
      </c>
      <c r="E521" s="10">
        <f>LEFT(A521,80)</f>
        <v/>
      </c>
      <c r="F521" s="10">
        <f>IF(OR(B521="Uncategorised",C521="",C521="Review"),"Needs category/owner",IF(D521="Yes","Already in Category","Add to Category"))</f>
        <v/>
      </c>
    </row>
    <row r="522">
      <c r="A522" s="10" t="inlineStr">
        <is>
          <t>ZARA-IFC CENTRAL</t>
        </is>
      </c>
      <c r="B522" s="10" t="inlineStr">
        <is>
          <t>Uncategorised</t>
        </is>
      </c>
      <c r="C522" s="10" t="inlineStr">
        <is>
          <t>Review</t>
        </is>
      </c>
      <c r="D522" s="10">
        <f>IF(COUNTIF(Category!$A:$A,E522)&gt;0,"Yes","No")</f>
        <v/>
      </c>
      <c r="E522" s="10">
        <f>LEFT(A522,80)</f>
        <v/>
      </c>
      <c r="F522" s="10">
        <f>IF(OR(B522="Uncategorised",C522="",C522="Review"),"Needs category/owner",IF(D522="Yes","Already in Category","Add to Category"))</f>
        <v/>
      </c>
    </row>
    <row r="523">
      <c r="A523" s="10" t="inlineStr">
        <is>
          <t>UNIQLO (HK0018) CAUSEWAY BAY</t>
        </is>
      </c>
      <c r="B523" s="10" t="inlineStr">
        <is>
          <t>Clothes &amp; Shoes</t>
        </is>
      </c>
      <c r="C523" s="10" t="inlineStr">
        <is>
          <t>Su</t>
        </is>
      </c>
      <c r="D523" s="10">
        <f>IF(COUNTIF(Category!$A:$A,E523)&gt;0,"Yes","No")</f>
        <v/>
      </c>
      <c r="E523" s="10">
        <f>LEFT(A523,80)</f>
        <v/>
      </c>
      <c r="F523" s="10">
        <f>IF(OR(B523="Uncategorised",C523="",C523="Review"),"Needs category/owner",IF(D523="Yes","Already in Category","Add to Category"))</f>
        <v/>
      </c>
    </row>
    <row r="524">
      <c r="A524" s="10" t="inlineStr">
        <is>
          <t>IHER BIHERB .COM A MSTERDAM</t>
        </is>
      </c>
      <c r="B524" s="10" t="inlineStr">
        <is>
          <t>Health</t>
        </is>
      </c>
      <c r="C524" s="10" t="inlineStr">
        <is>
          <t>Family</t>
        </is>
      </c>
      <c r="D524" s="10">
        <f>IF(COUNTIF(Category!$A:$A,E524)&gt;0,"Yes","No")</f>
        <v/>
      </c>
      <c r="E524" s="10">
        <f>LEFT(A524,80)</f>
        <v/>
      </c>
      <c r="F524" s="10">
        <f>IF(OR(B524="Uncategorised",C524="",C524="Review"),"Needs category/owner",IF(D524="Yes","Already in Category","Add to Category"))</f>
        <v/>
      </c>
    </row>
    <row r="525">
      <c r="A525" s="10" t="inlineStr">
        <is>
          <t>Skye Cafe meng tian jun</t>
        </is>
      </c>
      <c r="B525" s="10" t="inlineStr">
        <is>
          <t>Dining out</t>
        </is>
      </c>
      <c r="C525" s="10" t="inlineStr">
        <is>
          <t>Family</t>
        </is>
      </c>
      <c r="D525" s="10">
        <f>IF(COUNTIF(Category!$A:$A,E525)&gt;0,"Yes","No")</f>
        <v/>
      </c>
      <c r="E525" s="10">
        <f>LEFT(A525,80)</f>
        <v/>
      </c>
      <c r="F525" s="10">
        <f>IF(OR(B525="Uncategorised",C525="",C525="Review"),"Needs category/owner",IF(D525="Yes","Already in Category","Add to Category"))</f>
        <v/>
      </c>
    </row>
    <row r="526">
      <c r="A526" s="10" t="inlineStr">
        <is>
          <t>FOTOMAX - F3 48 ( BH ) CENTRAL</t>
        </is>
      </c>
      <c r="B526" s="10" t="inlineStr">
        <is>
          <t>Uncategorised</t>
        </is>
      </c>
      <c r="C526" s="10" t="inlineStr">
        <is>
          <t>Review</t>
        </is>
      </c>
      <c r="D526" s="10">
        <f>IF(COUNTIF(Category!$A:$A,E526)&gt;0,"Yes","No")</f>
        <v/>
      </c>
      <c r="E526" s="10">
        <f>LEFT(A526,80)</f>
        <v/>
      </c>
      <c r="F526" s="10">
        <f>IF(OR(B526="Uncategorised",C526="",C526="Review"),"Needs category/owner",IF(D526="Yes","Already in Category","Add to Category"))</f>
        <v/>
      </c>
    </row>
    <row r="527">
      <c r="A527" s="10" t="inlineStr">
        <is>
          <t>BARRALONXCICCIO BONIFACIO</t>
        </is>
      </c>
      <c r="B527" s="10" t="inlineStr">
        <is>
          <t>Uncategorised</t>
        </is>
      </c>
      <c r="C527" s="10" t="inlineStr">
        <is>
          <t>Review</t>
        </is>
      </c>
      <c r="D527" s="10">
        <f>IF(COUNTIF(Category!$A:$A,E527)&gt;0,"Yes","No")</f>
        <v/>
      </c>
      <c r="E527" s="10">
        <f>LEFT(A527,80)</f>
        <v/>
      </c>
      <c r="F527" s="10">
        <f>IF(OR(B527="Uncategorised",C527="",C527="Review"),"Needs category/owner",IF(D527="Yes","Already in Category","Add to Category"))</f>
        <v/>
      </c>
    </row>
    <row r="528">
      <c r="A528" s="10" t="inlineStr">
        <is>
          <t>HUDSONNEW SST 1247 1247 CARSON</t>
        </is>
      </c>
      <c r="B528" s="10" t="inlineStr">
        <is>
          <t>Uncategorised</t>
        </is>
      </c>
      <c r="C528" s="10" t="inlineStr">
        <is>
          <t>Review</t>
        </is>
      </c>
      <c r="D528" s="10">
        <f>IF(COUNTIF(Category!$A:$A,E528)&gt;0,"Yes","No")</f>
        <v/>
      </c>
      <c r="E528" s="10">
        <f>LEFT(A528,80)</f>
        <v/>
      </c>
      <c r="F528" s="10">
        <f>IF(OR(B528="Uncategorised",C528="",C528="Review"),"Needs category/owner",IF(D528="Yes","Already in Category","Add to Category"))</f>
        <v/>
      </c>
    </row>
    <row r="529">
      <c r="A529" s="10" t="inlineStr">
        <is>
          <t>SOGO HK LTD - SUPERMARK CAUSEWAY BAY</t>
        </is>
      </c>
      <c r="B529" s="10" t="inlineStr">
        <is>
          <t>Groceries</t>
        </is>
      </c>
      <c r="C529" s="10" t="inlineStr">
        <is>
          <t>Family</t>
        </is>
      </c>
      <c r="D529" s="10">
        <f>IF(COUNTIF(Category!$A:$A,E529)&gt;0,"Yes","No")</f>
        <v/>
      </c>
      <c r="E529" s="10">
        <f>LEFT(A529,80)</f>
        <v/>
      </c>
      <c r="F529" s="10">
        <f>IF(OR(B529="Uncategorised",C529="",C529="Review"),"Needs category/owner",IF(D529="Yes","Already in Category","Add to Category"))</f>
        <v/>
      </c>
    </row>
    <row r="530">
      <c r="A530" s="10" t="inlineStr">
        <is>
          <t>MERIVALE ME&amp;U* ME&amp;USYDNEY</t>
        </is>
      </c>
      <c r="B530" s="10" t="inlineStr">
        <is>
          <t>Uncategorised</t>
        </is>
      </c>
      <c r="C530" s="10" t="inlineStr">
        <is>
          <t>Review</t>
        </is>
      </c>
      <c r="D530" s="10">
        <f>IF(COUNTIF(Category!$A:$A,E530)&gt;0,"Yes","No")</f>
        <v/>
      </c>
      <c r="E530" s="10">
        <f>LEFT(A530,80)</f>
        <v/>
      </c>
      <c r="F530" s="10">
        <f>IF(OR(B530="Uncategorised",C530="",C530="Review"),"Needs category/owner",IF(D530="Yes","Already in Category","Add to Category"))</f>
        <v/>
      </c>
    </row>
    <row r="531">
      <c r="A531" s="10" t="inlineStr">
        <is>
          <t>LANDRACE BAKERY Bathwick</t>
        </is>
      </c>
      <c r="B531" s="10" t="inlineStr">
        <is>
          <t>Dining out</t>
        </is>
      </c>
      <c r="C531" s="10" t="inlineStr">
        <is>
          <t>Family</t>
        </is>
      </c>
      <c r="D531" s="10">
        <f>IF(COUNTIF(Category!$A:$A,E531)&gt;0,"Yes","No")</f>
        <v/>
      </c>
      <c r="E531" s="10">
        <f>LEFT(A531,80)</f>
        <v/>
      </c>
      <c r="F531" s="10">
        <f>IF(OR(B531="Uncategorised",C531="",C531="Review"),"Needs category/owner",IF(D531="Yes","Already in Category","Add to Category"))</f>
        <v/>
      </c>
    </row>
    <row r="532">
      <c r="A532" s="10" t="inlineStr">
        <is>
          <t>CURB MOBILITY LONDON</t>
        </is>
      </c>
      <c r="B532" s="10" t="inlineStr">
        <is>
          <t>Transport</t>
        </is>
      </c>
      <c r="C532" s="10" t="inlineStr">
        <is>
          <t>Su</t>
        </is>
      </c>
      <c r="D532" s="10">
        <f>IF(COUNTIF(Category!$A:$A,E532)&gt;0,"Yes","No")</f>
        <v/>
      </c>
      <c r="E532" s="10">
        <f>LEFT(A532,80)</f>
        <v/>
      </c>
      <c r="F532" s="10">
        <f>IF(OR(B532="Uncategorised",C532="",C532="Review"),"Needs category/owner",IF(D532="Yes","Already in Category","Add to Category"))</f>
        <v/>
      </c>
    </row>
    <row r="533">
      <c r="A533" s="10" t="inlineStr">
        <is>
          <t>TAXIWORLD*LONDON TAXI 7 GLASGOW</t>
        </is>
      </c>
      <c r="B533" s="10" t="inlineStr">
        <is>
          <t>Transport</t>
        </is>
      </c>
      <c r="C533" s="10" t="inlineStr">
        <is>
          <t>Su</t>
        </is>
      </c>
      <c r="D533" s="10">
        <f>IF(COUNTIF(Category!$A:$A,E533)&gt;0,"Yes","No")</f>
        <v/>
      </c>
      <c r="E533" s="10">
        <f>LEFT(A533,80)</f>
        <v/>
      </c>
      <c r="F533" s="10">
        <f>IF(OR(B533="Uncategorised",C533="",C533="Review"),"Needs category/owner",IF(D533="Yes","Already in Category","Add to Category"))</f>
        <v/>
      </c>
    </row>
    <row r="534">
      <c r="A534" s="10" t="inlineStr">
        <is>
          <t>BAKEHOUSE CENTRAL</t>
        </is>
      </c>
      <c r="B534" s="10" t="inlineStr">
        <is>
          <t>Uncategorised</t>
        </is>
      </c>
      <c r="C534" s="10" t="inlineStr">
        <is>
          <t>Review</t>
        </is>
      </c>
      <c r="D534" s="10">
        <f>IF(COUNTIF(Category!$A:$A,E534)&gt;0,"Yes","No")</f>
        <v/>
      </c>
      <c r="E534" s="10">
        <f>LEFT(A534,80)</f>
        <v/>
      </c>
      <c r="F534" s="10">
        <f>IF(OR(B534="Uncategorised",C534="",C534="Review"),"Needs category/owner",IF(D534="Yes","Already in Category","Add to Category"))</f>
        <v/>
      </c>
    </row>
    <row r="535">
      <c r="A535" s="10" t="inlineStr">
        <is>
          <t>OH MY CREAM LTD LONDON</t>
        </is>
      </c>
      <c r="B535" s="10" t="inlineStr">
        <is>
          <t>Uncategorised</t>
        </is>
      </c>
      <c r="C535" s="10" t="inlineStr">
        <is>
          <t>Review</t>
        </is>
      </c>
      <c r="D535" s="10">
        <f>IF(COUNTIF(Category!$A:$A,E535)&gt;0,"Yes","No")</f>
        <v/>
      </c>
      <c r="E535" s="10">
        <f>LEFT(A535,80)</f>
        <v/>
      </c>
      <c r="F535" s="10">
        <f>IF(OR(B535="Uncategorised",C535="",C535="Review"),"Needs category/owner",IF(D535="Yes","Already in Category","Add to Category"))</f>
        <v/>
      </c>
    </row>
    <row r="536">
      <c r="A536" s="10" t="inlineStr">
        <is>
          <t>SSI JEOIIOLLI BEUYEONGJ OSEOUL</t>
        </is>
      </c>
      <c r="B536" s="10" t="inlineStr">
        <is>
          <t>Uncategorised</t>
        </is>
      </c>
      <c r="C536" s="10" t="inlineStr">
        <is>
          <t>Review</t>
        </is>
      </c>
      <c r="D536" s="10">
        <f>IF(COUNTIF(Category!$A:$A,E536)&gt;0,"Yes","No")</f>
        <v/>
      </c>
      <c r="E536" s="10">
        <f>LEFT(A536,80)</f>
        <v/>
      </c>
      <c r="F536" s="10">
        <f>IF(OR(B536="Uncategorised",C536="",C536="Review"),"Needs category/owner",IF(D536="Yes","Already in Category","Add to Category"))</f>
        <v/>
      </c>
    </row>
    <row r="537">
      <c r="A537" s="10" t="inlineStr">
        <is>
          <t>HOUSE OF PHAR MACY 14456 DOU BLE BAY</t>
        </is>
      </c>
      <c r="B537" s="10" t="inlineStr">
        <is>
          <t>Uncategorised</t>
        </is>
      </c>
      <c r="C537" s="10" t="inlineStr">
        <is>
          <t>Review</t>
        </is>
      </c>
      <c r="D537" s="10">
        <f>IF(COUNTIF(Category!$A:$A,E537)&gt;0,"Yes","No")</f>
        <v/>
      </c>
      <c r="E537" s="10">
        <f>LEFT(A537,80)</f>
        <v/>
      </c>
      <c r="F537" s="10">
        <f>IF(OR(B537="Uncategorised",C537="",C537="Review"),"Needs category/owner",IF(D537="Yes","Already in Category","Add to Category"))</f>
        <v/>
      </c>
    </row>
    <row r="538">
      <c r="A538" s="10" t="inlineStr">
        <is>
          <t>USCUSTOMS ESTA APPL PMT INDIANAPOLIS</t>
        </is>
      </c>
      <c r="B538" s="10" t="inlineStr">
        <is>
          <t>Uncategorised</t>
        </is>
      </c>
      <c r="C538" s="10" t="inlineStr">
        <is>
          <t>Review</t>
        </is>
      </c>
      <c r="D538" s="10">
        <f>IF(COUNTIF(Category!$A:$A,E538)&gt;0,"Yes","No")</f>
        <v/>
      </c>
      <c r="E538" s="10">
        <f>LEFT(A538,80)</f>
        <v/>
      </c>
      <c r="F538" s="10">
        <f>IF(OR(B538="Uncategorised",C538="",C538="Review"),"Needs category/owner",IF(D538="Yes","Already in Category","Add to Category"))</f>
        <v/>
      </c>
    </row>
    <row r="539">
      <c r="A539" s="10" t="inlineStr">
        <is>
          <t>KATES BREAD OJAI</t>
        </is>
      </c>
      <c r="B539" s="10" t="inlineStr">
        <is>
          <t>Food</t>
        </is>
      </c>
      <c r="C539" s="10" t="inlineStr">
        <is>
          <t>Family</t>
        </is>
      </c>
      <c r="D539" s="10">
        <f>IF(COUNTIF(Category!$A:$A,E539)&gt;0,"Yes","No")</f>
        <v/>
      </c>
      <c r="E539" s="10">
        <f>LEFT(A539,80)</f>
        <v/>
      </c>
      <c r="F539" s="10">
        <f>IF(OR(B539="Uncategorised",C539="",C539="Review"),"Needs category/owner",IF(D539="Yes","Already in Category","Add to Category"))</f>
        <v/>
      </c>
    </row>
    <row r="540">
      <c r="A540" s="10" t="inlineStr">
        <is>
          <t>SILB I JIP SILB I JIP \ CSYDNEY</t>
        </is>
      </c>
      <c r="B540" s="10" t="inlineStr">
        <is>
          <t>Uncategorised</t>
        </is>
      </c>
      <c r="C540" s="10" t="inlineStr">
        <is>
          <t>Review</t>
        </is>
      </c>
      <c r="D540" s="10">
        <f>IF(COUNTIF(Category!$A:$A,E540)&gt;0,"Yes","No")</f>
        <v/>
      </c>
      <c r="E540" s="10">
        <f>LEFT(A540,80)</f>
        <v/>
      </c>
      <c r="F540" s="10">
        <f>IF(OR(B540="Uncategorised",C540="",C540="Review"),"Needs category/owner",IF(D540="Yes","Already in Category","Add to Category"))</f>
        <v/>
      </c>
    </row>
    <row r="541">
      <c r="A541" s="10" t="inlineStr">
        <is>
          <t>BONIIK HILTON 100370 SYDNEY</t>
        </is>
      </c>
      <c r="B541" s="10" t="inlineStr">
        <is>
          <t>Uncategorised</t>
        </is>
      </c>
      <c r="C541" s="10" t="inlineStr">
        <is>
          <t>Review</t>
        </is>
      </c>
      <c r="D541" s="10">
        <f>IF(COUNTIF(Category!$A:$A,E541)&gt;0,"Yes","No")</f>
        <v/>
      </c>
      <c r="E541" s="10">
        <f>LEFT(A541,80)</f>
        <v/>
      </c>
      <c r="F541" s="10">
        <f>IF(OR(B541="Uncategorised",C541="",C541="Review"),"Needs category/owner",IF(D541="Yes","Already in Category","Add to Category"))</f>
        <v/>
      </c>
    </row>
    <row r="542">
      <c r="A542" s="10" t="inlineStr">
        <is>
          <t>THE DAIRY FARM - MANNIN WANCHAI</t>
        </is>
      </c>
      <c r="B542" s="10" t="inlineStr">
        <is>
          <t>Food</t>
        </is>
      </c>
      <c r="C542" s="10" t="inlineStr">
        <is>
          <t>Family</t>
        </is>
      </c>
      <c r="D542" s="10">
        <f>IF(COUNTIF(Category!$A:$A,E542)&gt;0,"Yes","No")</f>
        <v/>
      </c>
      <c r="E542" s="10">
        <f>LEFT(A542,80)</f>
        <v/>
      </c>
      <c r="F542" s="10">
        <f>IF(OR(B542="Uncategorised",C542="",C542="Review"),"Needs category/owner",IF(D542="Yes","Already in Category","Add to Category"))</f>
        <v/>
      </c>
    </row>
    <row r="543">
      <c r="A543" s="10" t="inlineStr">
        <is>
          <t>CINE MACOM C in emacom A M H</t>
        </is>
      </c>
      <c r="B543" s="10" t="inlineStr">
        <is>
          <t>Uncategorised</t>
        </is>
      </c>
      <c r="C543" s="10" t="inlineStr">
        <is>
          <t>Review</t>
        </is>
      </c>
      <c r="D543" s="10">
        <f>IF(COUNTIF(Category!$A:$A,E543)&gt;0,"Yes","No")</f>
        <v/>
      </c>
      <c r="E543" s="10">
        <f>LEFT(A543,80)</f>
        <v/>
      </c>
      <c r="F543" s="10">
        <f>IF(OR(B543="Uncategorised",C543="",C543="Review"),"Needs category/owner",IF(D543="Yes","Already in Category","Add to Category"))</f>
        <v/>
      </c>
    </row>
    <row r="544">
      <c r="A544" s="10" t="inlineStr">
        <is>
          <t>RAKUTENPAY YAKITORI FUJ HOKKAIDO</t>
        </is>
      </c>
      <c r="B544" s="10" t="inlineStr">
        <is>
          <t>Uncategorised</t>
        </is>
      </c>
      <c r="C544" s="10" t="inlineStr">
        <is>
          <t>Review</t>
        </is>
      </c>
      <c r="D544" s="10">
        <f>IF(COUNTIF(Category!$A:$A,E544)&gt;0,"Yes","No")</f>
        <v/>
      </c>
      <c r="E544" s="10">
        <f>LEFT(A544,80)</f>
        <v/>
      </c>
      <c r="F544" s="10">
        <f>IF(OR(B544="Uncategorised",C544="",C544="Review"),"Needs category/owner",IF(D544="Yes","Already in Category","Add to Category"))</f>
        <v/>
      </c>
    </row>
    <row r="545">
      <c r="A545" s="10" t="inlineStr">
        <is>
          <t>IGA QUAY QUARTER SYDNEY</t>
        </is>
      </c>
      <c r="B545" s="10" t="inlineStr">
        <is>
          <t>Groceries</t>
        </is>
      </c>
      <c r="C545" s="10" t="inlineStr">
        <is>
          <t>Family</t>
        </is>
      </c>
      <c r="D545" s="10">
        <f>IF(COUNTIF(Category!$A:$A,E545)&gt;0,"Yes","No")</f>
        <v/>
      </c>
      <c r="E545" s="10">
        <f>LEFT(A545,80)</f>
        <v/>
      </c>
      <c r="F545" s="10">
        <f>IF(OR(B545="Uncategorised",C545="",C545="Review"),"Needs category/owner",IF(D545="Yes","Already in Category","Add to Category"))</f>
        <v/>
      </c>
    </row>
    <row r="546">
      <c r="A546" s="10" t="inlineStr">
        <is>
          <t>PRIORITY PASS (A.P.) LI HONG KONG</t>
        </is>
      </c>
      <c r="B546" s="10" t="inlineStr">
        <is>
          <t>Uncategorised</t>
        </is>
      </c>
      <c r="C546" s="10" t="inlineStr">
        <is>
          <t>Review</t>
        </is>
      </c>
      <c r="D546" s="10">
        <f>IF(COUNTIF(Category!$A:$A,E546)&gt;0,"Yes","No")</f>
        <v/>
      </c>
      <c r="E546" s="10">
        <f>LEFT(A546,80)</f>
        <v/>
      </c>
      <c r="F546" s="10">
        <f>IF(OR(B546="Uncategorised",C546="",C546="Review"),"Needs category/owner",IF(D546="Yes","Already in Category","Add to Category"))</f>
        <v/>
      </c>
    </row>
    <row r="547">
      <c r="A547" s="10" t="inlineStr">
        <is>
          <t>ZLR * PINA PINA POTTS POINT</t>
        </is>
      </c>
      <c r="B547" s="10" t="inlineStr">
        <is>
          <t>Uncategorised</t>
        </is>
      </c>
      <c r="C547" s="10" t="inlineStr">
        <is>
          <t>Review</t>
        </is>
      </c>
      <c r="D547" s="10">
        <f>IF(COUNTIF(Category!$A:$A,E547)&gt;0,"Yes","No")</f>
        <v/>
      </c>
      <c r="E547" s="10">
        <f>LEFT(A547,80)</f>
        <v/>
      </c>
      <c r="F547" s="10">
        <f>IF(OR(B547="Uncategorised",C547="",C547="Review"),"Needs category/owner",IF(D547="Yes","Already in Category","Add to Category"))</f>
        <v/>
      </c>
    </row>
    <row r="548">
      <c r="A548" s="10" t="inlineStr">
        <is>
          <t>Rikka Spa meng tian jun</t>
        </is>
      </c>
      <c r="B548" s="10" t="inlineStr">
        <is>
          <t>Uncategorised</t>
        </is>
      </c>
      <c r="C548" s="10" t="inlineStr">
        <is>
          <t>Review</t>
        </is>
      </c>
      <c r="D548" s="10">
        <f>IF(COUNTIF(Category!$A:$A,E548)&gt;0,"Yes","No")</f>
        <v/>
      </c>
      <c r="E548" s="10">
        <f>LEFT(A548,80)</f>
        <v/>
      </c>
      <c r="F548" s="10">
        <f>IF(OR(B548="Uncategorised",C548="",C548="Review"),"Needs category/owner",IF(D548="Yes","Already in Category","Add to Category"))</f>
        <v/>
      </c>
    </row>
    <row r="549">
      <c r="A549" s="10" t="inlineStr">
        <is>
          <t>GO APP RIDE FEE TOKYO</t>
        </is>
      </c>
      <c r="B549" s="10" t="inlineStr">
        <is>
          <t>Uncategorised</t>
        </is>
      </c>
      <c r="C549" s="10" t="inlineStr">
        <is>
          <t>Review</t>
        </is>
      </c>
      <c r="D549" s="10">
        <f>IF(COUNTIF(Category!$A:$A,E549)&gt;0,"Yes","No")</f>
        <v/>
      </c>
      <c r="E549" s="10">
        <f>LEFT(A549,80)</f>
        <v/>
      </c>
      <c r="F549" s="10">
        <f>IF(OR(B549="Uncategorised",C549="",C549="Review"),"Needs category/owner",IF(D549="Yes","Already in Category","Add to Category"))</f>
        <v/>
      </c>
    </row>
    <row r="550">
      <c r="A550" s="10" t="inlineStr">
        <is>
          <t>ZLR *QUAY QUARTER PHARM ASYDNEY</t>
        </is>
      </c>
      <c r="B550" s="10" t="inlineStr">
        <is>
          <t>Uncategorised</t>
        </is>
      </c>
      <c r="C550" s="10" t="inlineStr">
        <is>
          <t>Review</t>
        </is>
      </c>
      <c r="D550" s="10">
        <f>IF(COUNTIF(Category!$A:$A,E550)&gt;0,"Yes","No")</f>
        <v/>
      </c>
      <c r="E550" s="10">
        <f>LEFT(A550,80)</f>
        <v/>
      </c>
      <c r="F550" s="10">
        <f>IF(OR(B550="Uncategorised",C550="",C550="Review"),"Needs category/owner",IF(D550="Yes","Already in Category","Add to Category"))</f>
        <v/>
      </c>
    </row>
    <row r="551">
      <c r="A551" s="10" t="inlineStr">
        <is>
          <t>KANGAROO VALLEY FINE WKANGAROO VALL</t>
        </is>
      </c>
      <c r="B551" s="10" t="inlineStr">
        <is>
          <t>Uncategorised</t>
        </is>
      </c>
      <c r="C551" s="10" t="inlineStr">
        <is>
          <t>Review</t>
        </is>
      </c>
      <c r="D551" s="10">
        <f>IF(COUNTIF(Category!$A:$A,E551)&gt;0,"Yes","No")</f>
        <v/>
      </c>
      <c r="E551" s="10">
        <f>LEFT(A551,80)</f>
        <v/>
      </c>
      <c r="F551" s="10">
        <f>IF(OR(B551="Uncategorised",C551="",C551="Review"),"Needs category/owner",IF(D551="Yes","Already in Category","Add to Category"))</f>
        <v/>
      </c>
    </row>
    <row r="552">
      <c r="A552" s="10" t="inlineStr">
        <is>
          <t>ZETTLE *SWOON GELATO LT BATH</t>
        </is>
      </c>
      <c r="B552" s="10" t="inlineStr">
        <is>
          <t>Food</t>
        </is>
      </c>
      <c r="C552" s="10" t="inlineStr">
        <is>
          <t>Family</t>
        </is>
      </c>
      <c r="D552" s="10">
        <f>IF(COUNTIF(Category!$A:$A,E552)&gt;0,"Yes","No")</f>
        <v/>
      </c>
      <c r="E552" s="10">
        <f>LEFT(A552,80)</f>
        <v/>
      </c>
      <c r="F552" s="10">
        <f>IF(OR(B552="Uncategorised",C552="",C552="Review"),"Needs category/owner",IF(D552="Yes","Already in Category","Add to Category"))</f>
        <v/>
      </c>
    </row>
    <row r="553">
      <c r="A553" s="10" t="inlineStr">
        <is>
          <t>AMZNMKTPLACE*CR43U3GB5 AMAZON.CO.UK</t>
        </is>
      </c>
      <c r="B553" s="10" t="inlineStr">
        <is>
          <t>Book &amp; Kindle</t>
        </is>
      </c>
      <c r="C553" s="10" t="inlineStr">
        <is>
          <t>Family</t>
        </is>
      </c>
      <c r="D553" s="10">
        <f>IF(COUNTIF(Category!$A:$A,E553)&gt;0,"Yes","No")</f>
        <v/>
      </c>
      <c r="E553" s="10">
        <f>LEFT(A553,80)</f>
        <v/>
      </c>
      <c r="F553" s="10">
        <f>IF(OR(B553="Uncategorised",C553="",C553="Review"),"Needs category/owner",IF(D553="Yes","Already in Category","Add to Category"))</f>
        <v/>
      </c>
    </row>
    <row r="554">
      <c r="A554" s="10" t="inlineStr">
        <is>
          <t>Alice Pizza CTRL HK</t>
        </is>
      </c>
      <c r="B554" s="10" t="inlineStr">
        <is>
          <t>Uncategorised</t>
        </is>
      </c>
      <c r="C554" s="10" t="inlineStr">
        <is>
          <t>Review</t>
        </is>
      </c>
      <c r="D554" s="10">
        <f>IF(COUNTIF(Category!$A:$A,E554)&gt;0,"Yes","No")</f>
        <v/>
      </c>
      <c r="E554" s="10">
        <f>LEFT(A554,80)</f>
        <v/>
      </c>
      <c r="F554" s="10">
        <f>IF(OR(B554="Uncategorised",C554="",C554="Review"),"Needs category/owner",IF(D554="Yes","Already in Category","Add to Category"))</f>
        <v/>
      </c>
    </row>
    <row r="555">
      <c r="A555" s="10" t="inlineStr">
        <is>
          <t>PIKANROLLPIZZA PG HOKKAIDO</t>
        </is>
      </c>
      <c r="B555" s="10" t="inlineStr">
        <is>
          <t>Uncategorised</t>
        </is>
      </c>
      <c r="C555" s="10" t="inlineStr">
        <is>
          <t>Review</t>
        </is>
      </c>
      <c r="D555" s="10">
        <f>IF(COUNTIF(Category!$A:$A,E555)&gt;0,"Yes","No")</f>
        <v/>
      </c>
      <c r="E555" s="10">
        <f>LEFT(A555,80)</f>
        <v/>
      </c>
      <c r="F555" s="10">
        <f>IF(OR(B555="Uncategorised",C555="",C555="Review"),"Needs category/owner",IF(D555="Yes","Already in Category","Add to Category"))</f>
        <v/>
      </c>
    </row>
    <row r="556">
      <c r="A556" s="10" t="inlineStr">
        <is>
          <t>NISHIGISHI FURNITURE CO jing dou shi zh</t>
        </is>
      </c>
      <c r="B556" s="10" t="inlineStr">
        <is>
          <t>Housewares</t>
        </is>
      </c>
      <c r="C556" s="10" t="inlineStr">
        <is>
          <t>Family</t>
        </is>
      </c>
      <c r="D556" s="10">
        <f>IF(COUNTIF(Category!$A:$A,E556)&gt;0,"Yes","No")</f>
        <v/>
      </c>
      <c r="E556" s="10">
        <f>LEFT(A556,80)</f>
        <v/>
      </c>
      <c r="F556" s="10">
        <f>IF(OR(B556="Uncategorised",C556="",C556="Review"),"Needs category/owner",IF(D556="Yes","Already in Category","Add to Category"))</f>
        <v/>
      </c>
    </row>
    <row r="557">
      <c r="A557" s="10" t="inlineStr">
        <is>
          <t>BASEHALL 2 CENTRAL</t>
        </is>
      </c>
      <c r="B557" s="10" t="inlineStr">
        <is>
          <t>Dining out</t>
        </is>
      </c>
      <c r="C557" s="10" t="inlineStr">
        <is>
          <t>Family</t>
        </is>
      </c>
      <c r="D557" s="10">
        <f>IF(COUNTIF(Category!$A:$A,E557)&gt;0,"Yes","No")</f>
        <v/>
      </c>
      <c r="E557" s="10">
        <f>LEFT(A557,80)</f>
        <v/>
      </c>
      <c r="F557" s="10">
        <f>IF(OR(B557="Uncategorised",C557="",C557="Review"),"Needs category/owner",IF(D557="Yes","Already in Category","Add to Category"))</f>
        <v/>
      </c>
    </row>
    <row r="558">
      <c r="A558" s="10" t="inlineStr">
        <is>
          <t>PARAGON CENTRAL</t>
        </is>
      </c>
      <c r="B558" s="10" t="inlineStr">
        <is>
          <t>Uncategorised</t>
        </is>
      </c>
      <c r="C558" s="10" t="inlineStr">
        <is>
          <t>Review</t>
        </is>
      </c>
      <c r="D558" s="10">
        <f>IF(COUNTIF(Category!$A:$A,E558)&gt;0,"Yes","No")</f>
        <v/>
      </c>
      <c r="E558" s="10">
        <f>LEFT(A558,80)</f>
        <v/>
      </c>
      <c r="F558" s="10">
        <f>IF(OR(B558="Uncategorised",C558="",C558="Review"),"Needs category/owner",IF(D558="Yes","Already in Category","Add to Category"))</f>
        <v/>
      </c>
    </row>
    <row r="559">
      <c r="A559" s="10" t="inlineStr">
        <is>
          <t>Hidden Stand meng t ian j u n</t>
        </is>
      </c>
      <c r="B559" s="10" t="inlineStr">
        <is>
          <t>Food</t>
        </is>
      </c>
      <c r="C559" s="10" t="inlineStr">
        <is>
          <t>Family</t>
        </is>
      </c>
      <c r="D559" s="10">
        <f>IF(COUNTIF(Category!$A:$A,E559)&gt;0,"Yes","No")</f>
        <v/>
      </c>
      <c r="E559" s="10">
        <f>LEFT(A559,80)</f>
        <v/>
      </c>
      <c r="F559" s="10">
        <f>IF(OR(B559="Uncategorised",C559="",C559="Review"),"Needs category/owner",IF(D559="Yes","Already in Category","Add to Category"))</f>
        <v/>
      </c>
    </row>
    <row r="560">
      <c r="A560" s="10" t="inlineStr">
        <is>
          <t>HINCHCLIFF - GRANA SYDNEY</t>
        </is>
      </c>
      <c r="B560" s="10" t="inlineStr">
        <is>
          <t>Dining out</t>
        </is>
      </c>
      <c r="C560" s="10" t="inlineStr">
        <is>
          <t>Family</t>
        </is>
      </c>
      <c r="D560" s="10">
        <f>IF(COUNTIF(Category!$A:$A,E560)&gt;0,"Yes","No")</f>
        <v/>
      </c>
      <c r="E560" s="10">
        <f>LEFT(A560,80)</f>
        <v/>
      </c>
      <c r="F560" s="10">
        <f>IF(OR(B560="Uncategorised",C560="",C560="Review"),"Needs category/owner",IF(D560="Yes","Already in Category","Add to Category"))</f>
        <v/>
      </c>
    </row>
    <row r="561">
      <c r="A561" s="10" t="inlineStr">
        <is>
          <t>BP LONDON * BPLONDONTA BRENTWOOD</t>
        </is>
      </c>
      <c r="B561" s="10" t="inlineStr">
        <is>
          <t>Uncategorised</t>
        </is>
      </c>
      <c r="C561" s="10" t="inlineStr">
        <is>
          <t>Review</t>
        </is>
      </c>
      <c r="D561" s="10">
        <f>IF(COUNTIF(Category!$A:$A,E561)&gt;0,"Yes","No")</f>
        <v/>
      </c>
      <c r="E561" s="10">
        <f>LEFT(A561,80)</f>
        <v/>
      </c>
      <c r="F561" s="10">
        <f>IF(OR(B561="Uncategorised",C561="",C561="Review"),"Needs category/owner",IF(D561="Yes","Already in Category","Add to Category"))</f>
        <v/>
      </c>
    </row>
    <row r="562">
      <c r="A562" s="10" t="inlineStr">
        <is>
          <t>KAPEKICHEUNE SEOUL SEOUL</t>
        </is>
      </c>
      <c r="B562" s="10" t="inlineStr">
        <is>
          <t>Uncategorised</t>
        </is>
      </c>
      <c r="C562" s="10" t="inlineStr">
        <is>
          <t>Review</t>
        </is>
      </c>
      <c r="D562" s="10">
        <f>IF(COUNTIF(Category!$A:$A,E562)&gt;0,"Yes","No")</f>
        <v/>
      </c>
      <c r="E562" s="10">
        <f>LEFT(A562,80)</f>
        <v/>
      </c>
      <c r="F562" s="10">
        <f>IF(OR(B562="Uncategorised",C562="",C562="Review"),"Needs category/owner",IF(D562="Yes","Already in Category","Add to Category"))</f>
        <v/>
      </c>
    </row>
    <row r="563">
      <c r="A563" s="10" t="inlineStr">
        <is>
          <t>PAYPAL *LARQ 4029357733</t>
        </is>
      </c>
      <c r="B563" s="10" t="inlineStr">
        <is>
          <t>Misc</t>
        </is>
      </c>
      <c r="C563" s="10" t="inlineStr">
        <is>
          <t>Family</t>
        </is>
      </c>
      <c r="D563" s="10">
        <f>IF(COUNTIF(Category!$A:$A,E563)&gt;0,"Yes","No")</f>
        <v/>
      </c>
      <c r="E563" s="10">
        <f>LEFT(A563,80)</f>
        <v/>
      </c>
      <c r="F563" s="10">
        <f>IF(OR(B563="Uncategorised",C563="",C563="Review"),"Needs category/owner",IF(D563="Yes","Already in Category","Add to Category"))</f>
        <v/>
      </c>
    </row>
    <row r="564">
      <c r="A564" s="10" t="inlineStr">
        <is>
          <t>PAYPAL * LARQ 4029357733</t>
        </is>
      </c>
      <c r="B564" s="10" t="inlineStr">
        <is>
          <t>Misc</t>
        </is>
      </c>
      <c r="C564" s="10" t="inlineStr">
        <is>
          <t>Family</t>
        </is>
      </c>
      <c r="D564" s="10">
        <f>IF(COUNTIF(Category!$A:$A,E564)&gt;0,"Yes","No")</f>
        <v/>
      </c>
      <c r="E564" s="10">
        <f>LEFT(A564,80)</f>
        <v/>
      </c>
      <c r="F564" s="10">
        <f>IF(OR(B564="Uncategorised",C564="",C564="Review"),"Needs category/owner",IF(D564="Yes","Already in Category","Add to Category"))</f>
        <v/>
      </c>
    </row>
    <row r="565">
      <c r="A565" s="10" t="inlineStr">
        <is>
          <t>MUJI (PACIFIC PLACE) ADMIRALTY</t>
        </is>
      </c>
      <c r="B565" s="10" t="inlineStr">
        <is>
          <t>Housewares</t>
        </is>
      </c>
      <c r="C565" s="10" t="inlineStr">
        <is>
          <t>Family</t>
        </is>
      </c>
      <c r="D565" s="10">
        <f>IF(COUNTIF(Category!$A:$A,E565)&gt;0,"Yes","No")</f>
        <v/>
      </c>
      <c r="E565" s="10">
        <f>LEFT(A565,80)</f>
        <v/>
      </c>
      <c r="F565" s="10">
        <f>IF(OR(B565="Uncategorised",C565="",C565="Review"),"Needs category/owner",IF(D565="Yes","Already in Category","Add to Category"))</f>
        <v/>
      </c>
    </row>
    <row r="566">
      <c r="A566" s="10" t="inlineStr">
        <is>
          <t>Bl u e B o ttl e Co ff ee Ko r e SEOUL</t>
        </is>
      </c>
      <c r="B566" s="10" t="inlineStr">
        <is>
          <t>Food</t>
        </is>
      </c>
      <c r="C566" s="10" t="inlineStr">
        <is>
          <t>Family</t>
        </is>
      </c>
      <c r="D566" s="10">
        <f>IF(COUNTIF(Category!$A:$A,E566)&gt;0,"Yes","No")</f>
        <v/>
      </c>
      <c r="E566" s="10">
        <f>LEFT(A566,80)</f>
        <v/>
      </c>
      <c r="F566" s="10">
        <f>IF(OR(B566="Uncategorised",C566="",C566="Review"),"Needs category/owner",IF(D566="Yes","Already in Category","Add to Category"))</f>
        <v/>
      </c>
    </row>
    <row r="567">
      <c r="A567" s="10" t="inlineStr">
        <is>
          <t>CHEQUERS BATH</t>
        </is>
      </c>
      <c r="B567" s="10" t="inlineStr">
        <is>
          <t>Uncategorised</t>
        </is>
      </c>
      <c r="C567" s="10" t="inlineStr">
        <is>
          <t>Review</t>
        </is>
      </c>
      <c r="D567" s="10">
        <f>IF(COUNTIF(Category!$A:$A,E567)&gt;0,"Yes","No")</f>
        <v/>
      </c>
      <c r="E567" s="10">
        <f>LEFT(A567,80)</f>
        <v/>
      </c>
      <c r="F567" s="10">
        <f>IF(OR(B567="Uncategorised",C567="",C567="Review"),"Needs category/owner",IF(D567="Yes","Already in Category","Add to Category"))</f>
        <v/>
      </c>
    </row>
    <row r="568">
      <c r="A568" s="10" t="inlineStr">
        <is>
          <t>OKAKIDOKOROTERAKOYAHOMP NAGANO</t>
        </is>
      </c>
      <c r="B568" s="10" t="inlineStr">
        <is>
          <t>Uncategorised</t>
        </is>
      </c>
      <c r="C568" s="10" t="inlineStr">
        <is>
          <t>Review</t>
        </is>
      </c>
      <c r="D568" s="10">
        <f>IF(COUNTIF(Category!$A:$A,E568)&gt;0,"Yes","No")</f>
        <v/>
      </c>
      <c r="E568" s="10">
        <f>LEFT(A568,80)</f>
        <v/>
      </c>
      <c r="F568" s="10">
        <f>IF(OR(B568="Uncategorised",C568="",C568="Review"),"Needs category/owner",IF(D568="Yes","Already in Category","Add to Category"))</f>
        <v/>
      </c>
    </row>
    <row r="569">
      <c r="A569" s="10" t="inlineStr">
        <is>
          <t>DOJO*OTTOLENGHI NOTTING LONDON</t>
        </is>
      </c>
      <c r="B569" s="10" t="inlineStr">
        <is>
          <t>Uncategorised</t>
        </is>
      </c>
      <c r="C569" s="10" t="inlineStr">
        <is>
          <t>Review</t>
        </is>
      </c>
      <c r="D569" s="10">
        <f>IF(COUNTIF(Category!$A:$A,E569)&gt;0,"Yes","No")</f>
        <v/>
      </c>
      <c r="E569" s="10">
        <f>LEFT(A569,80)</f>
        <v/>
      </c>
      <c r="F569" s="10">
        <f>IF(OR(B569="Uncategorised",C569="",C569="Review"),"Needs category/owner",IF(D569="Yes","Already in Category","Add to Category"))</f>
        <v/>
      </c>
    </row>
    <row r="570">
      <c r="A570" s="10" t="inlineStr">
        <is>
          <t>MOVIE MOVIE PACI FIC PLA ADMIRALTY</t>
        </is>
      </c>
      <c r="B570" s="10" t="inlineStr">
        <is>
          <t>Uncategorised</t>
        </is>
      </c>
      <c r="C570" s="10" t="inlineStr">
        <is>
          <t>Review</t>
        </is>
      </c>
      <c r="D570" s="10">
        <f>IF(COUNTIF(Category!$A:$A,E570)&gt;0,"Yes","No")</f>
        <v/>
      </c>
      <c r="E570" s="10">
        <f>LEFT(A570,80)</f>
        <v/>
      </c>
      <c r="F570" s="10">
        <f>IF(OR(B570="Uncategorised",C570="",C570="Review"),"Needs category/owner",IF(D570="Yes","Already in Category","Add to Category"))</f>
        <v/>
      </c>
    </row>
    <row r="571">
      <c r="A571" s="10" t="inlineStr">
        <is>
          <t>MOVIE MOVIE PACIFIC PLA ADMIRALTY</t>
        </is>
      </c>
      <c r="B571" s="10" t="inlineStr">
        <is>
          <t>Uncategorised</t>
        </is>
      </c>
      <c r="C571" s="10" t="inlineStr">
        <is>
          <t>Review</t>
        </is>
      </c>
      <c r="D571" s="10">
        <f>IF(COUNTIF(Category!$A:$A,E571)&gt;0,"Yes","No")</f>
        <v/>
      </c>
      <c r="E571" s="10">
        <f>LEFT(A571,80)</f>
        <v/>
      </c>
      <c r="F571" s="10">
        <f>IF(OR(B571="Uncategorised",C571="",C571="Review"),"Needs category/owner",IF(D571="Yes","Already in Category","Add to Category"))</f>
        <v/>
      </c>
    </row>
    <row r="572">
      <c r="A572" s="10" t="inlineStr">
        <is>
          <t>QUEEN STREET PHARMACY WOOLLAHRA</t>
        </is>
      </c>
      <c r="B572" s="10" t="inlineStr">
        <is>
          <t>Pharmacy</t>
        </is>
      </c>
      <c r="C572" s="10" t="inlineStr">
        <is>
          <t>Su</t>
        </is>
      </c>
      <c r="D572" s="10">
        <f>IF(COUNTIF(Category!$A:$A,E572)&gt;0,"Yes","No")</f>
        <v/>
      </c>
      <c r="E572" s="10">
        <f>LEFT(A572,80)</f>
        <v/>
      </c>
      <c r="F572" s="10">
        <f>IF(OR(B572="Uncategorised",C572="",C572="Review"),"Needs category/owner",IF(D572="Yes","Already in Category","Add to Category"))</f>
        <v/>
      </c>
    </row>
    <row r="573">
      <c r="A573" s="10" t="inlineStr">
        <is>
          <t>Neighbourhood Coffee 52 Hong Kong</t>
        </is>
      </c>
      <c r="B573" s="10" t="inlineStr">
        <is>
          <t>Food</t>
        </is>
      </c>
      <c r="C573" s="10" t="inlineStr">
        <is>
          <t>Family</t>
        </is>
      </c>
      <c r="D573" s="10">
        <f>IF(COUNTIF(Category!$A:$A,E573)&gt;0,"Yes","No")</f>
        <v/>
      </c>
      <c r="E573" s="10">
        <f>LEFT(A573,80)</f>
        <v/>
      </c>
      <c r="F573" s="10">
        <f>IF(OR(B573="Uncategorised",C573="",C573="Review"),"Needs category/owner",IF(D573="Yes","Already in Category","Add to Category"))</f>
        <v/>
      </c>
    </row>
    <row r="574">
      <c r="A574" s="10" t="inlineStr">
        <is>
          <t>MAKKARIBASE AIR HOKKAIDO</t>
        </is>
      </c>
      <c r="B574" s="10" t="inlineStr">
        <is>
          <t>Uncategorised</t>
        </is>
      </c>
      <c r="C574" s="10" t="inlineStr">
        <is>
          <t>Review</t>
        </is>
      </c>
      <c r="D574" s="10">
        <f>IF(COUNTIF(Category!$A:$A,E574)&gt;0,"Yes","No")</f>
        <v/>
      </c>
      <c r="E574" s="10">
        <f>LEFT(A574,80)</f>
        <v/>
      </c>
      <c r="F574" s="10">
        <f>IF(OR(B574="Uncategorised",C574="",C574="Review"),"Needs category/owner",IF(D574="Yes","Already in Category","Add to Category"))</f>
        <v/>
      </c>
    </row>
    <row r="575">
      <c r="A575" s="10" t="inlineStr">
        <is>
          <t>SIXT PORTUGAL RAC _ 307 _ MPAREDES</t>
        </is>
      </c>
      <c r="B575" s="10" t="inlineStr">
        <is>
          <t>Transport</t>
        </is>
      </c>
      <c r="C575" s="10" t="inlineStr">
        <is>
          <t>Family</t>
        </is>
      </c>
      <c r="D575" s="10">
        <f>IF(COUNTIF(Category!$A:$A,E575)&gt;0,"Yes","No")</f>
        <v/>
      </c>
      <c r="E575" s="10">
        <f>LEFT(A575,80)</f>
        <v/>
      </c>
      <c r="F575" s="10">
        <f>IF(OR(B575="Uncategorised",C575="",C575="Review"),"Needs category/owner",IF(D575="Yes","Already in Category","Add to Category"))</f>
        <v/>
      </c>
    </row>
    <row r="576">
      <c r="A576" s="10" t="inlineStr">
        <is>
          <t>BOOKAZINE CENTRAL</t>
        </is>
      </c>
      <c r="B576" s="10" t="inlineStr">
        <is>
          <t>Uncategorised</t>
        </is>
      </c>
      <c r="C576" s="10" t="inlineStr">
        <is>
          <t>Review</t>
        </is>
      </c>
      <c r="D576" s="10">
        <f>IF(COUNTIF(Category!$A:$A,E576)&gt;0,"Yes","No")</f>
        <v/>
      </c>
      <c r="E576" s="10">
        <f>LEFT(A576,80)</f>
        <v/>
      </c>
      <c r="F576" s="10">
        <f>IF(OR(B576="Uncategorised",C576="",C576="Review"),"Needs category/owner",IF(D576="Yes","Already in Category","Add to Category"))</f>
        <v/>
      </c>
    </row>
    <row r="577">
      <c r="A577" s="10" t="inlineStr">
        <is>
          <t>JAL INTL INFLIGHT SALES TOKYO JAPAN</t>
        </is>
      </c>
      <c r="B577" s="10" t="inlineStr">
        <is>
          <t>Uncategorised</t>
        </is>
      </c>
      <c r="C577" s="10" t="inlineStr">
        <is>
          <t>Review</t>
        </is>
      </c>
      <c r="D577" s="10">
        <f>IF(COUNTIF(Category!$A:$A,E577)&gt;0,"Yes","No")</f>
        <v/>
      </c>
      <c r="E577" s="10">
        <f>LEFT(A577,80)</f>
        <v/>
      </c>
      <c r="F577" s="10">
        <f>IF(OR(B577="Uncategorised",C577="",C577="Review"),"Needs category/owner",IF(D577="Yes","Already in Category","Add to Category"))</f>
        <v/>
      </c>
    </row>
    <row r="578">
      <c r="A578" s="10" t="inlineStr">
        <is>
          <t>CLE DE PEAU BEAUTE CENTRAL</t>
        </is>
      </c>
      <c r="B578" s="10" t="inlineStr">
        <is>
          <t>Uncategorised</t>
        </is>
      </c>
      <c r="C578" s="10" t="inlineStr">
        <is>
          <t>Review</t>
        </is>
      </c>
      <c r="D578" s="10">
        <f>IF(COUNTIF(Category!$A:$A,E578)&gt;0,"Yes","No")</f>
        <v/>
      </c>
      <c r="E578" s="10">
        <f>LEFT(A578,80)</f>
        <v/>
      </c>
      <c r="F578" s="10">
        <f>IF(OR(B578="Uncategorised",C578="",C578="Review"),"Needs category/owner",IF(D578="Yes","Already in Category","Add to Category"))</f>
        <v/>
      </c>
    </row>
    <row r="579">
      <c r="A579" s="10" t="inlineStr">
        <is>
          <t>THE MANDARIN CAKE SHOP CENTRAL</t>
        </is>
      </c>
      <c r="B579" s="10" t="inlineStr">
        <is>
          <t>Uncategorised</t>
        </is>
      </c>
      <c r="C579" s="10" t="inlineStr">
        <is>
          <t>Review</t>
        </is>
      </c>
      <c r="D579" s="10">
        <f>IF(COUNTIF(Category!$A:$A,E579)&gt;0,"Yes","No")</f>
        <v/>
      </c>
      <c r="E579" s="10">
        <f>LEFT(A579,80)</f>
        <v/>
      </c>
      <c r="F579" s="10">
        <f>IF(OR(B579="Uncategorised",C579="",C579="Review"),"Needs category/owner",IF(D579="Yes","Already in Category","Add to Category"))</f>
        <v/>
      </c>
    </row>
    <row r="580">
      <c r="A580" s="10" t="inlineStr">
        <is>
          <t>KITH Cafe ASCOTT ORCHAR SINGAPORE</t>
        </is>
      </c>
      <c r="B580" s="10" t="inlineStr">
        <is>
          <t>Dining out</t>
        </is>
      </c>
      <c r="C580" s="10" t="inlineStr">
        <is>
          <t>Family</t>
        </is>
      </c>
      <c r="D580" s="10">
        <f>IF(COUNTIF(Category!$A:$A,E580)&gt;0,"Yes","No")</f>
        <v/>
      </c>
      <c r="E580" s="10">
        <f>LEFT(A580,80)</f>
        <v/>
      </c>
      <c r="F580" s="10">
        <f>IF(OR(B580="Uncategorised",C580="",C580="Review"),"Needs category/owner",IF(D580="Yes","Already in Category","Add to Category"))</f>
        <v/>
      </c>
    </row>
    <row r="581">
      <c r="A581" s="10" t="inlineStr">
        <is>
          <t>FISHBUTCHERY WATERLOO 1 WATERLOO</t>
        </is>
      </c>
      <c r="B581" s="10" t="inlineStr">
        <is>
          <t>Uncategorised</t>
        </is>
      </c>
      <c r="C581" s="10" t="inlineStr">
        <is>
          <t>Review</t>
        </is>
      </c>
      <c r="D581" s="10">
        <f>IF(COUNTIF(Category!$A:$A,E581)&gt;0,"Yes","No")</f>
        <v/>
      </c>
      <c r="E581" s="10">
        <f>LEFT(A581,80)</f>
        <v/>
      </c>
      <c r="F581" s="10">
        <f>IF(OR(B581="Uncategorised",C581="",C581="Review"),"Needs category/owner",IF(D581="Yes","Already in Category","Add to Category"))</f>
        <v/>
      </c>
    </row>
    <row r="582">
      <c r="A582" s="10" t="inlineStr">
        <is>
          <t>SEUTAENDADEU BEULEDEU SSEOUL</t>
        </is>
      </c>
      <c r="B582" s="10" t="inlineStr">
        <is>
          <t>Food</t>
        </is>
      </c>
      <c r="C582" s="10" t="inlineStr">
        <is>
          <t>Family</t>
        </is>
      </c>
      <c r="D582" s="10">
        <f>IF(COUNTIF(Category!$A:$A,E582)&gt;0,"Yes","No")</f>
        <v/>
      </c>
      <c r="E582" s="10">
        <f>LEFT(A582,80)</f>
        <v/>
      </c>
      <c r="F582" s="10">
        <f>IF(OR(B582="Uncategorised",C582="",C582="Review"),"Needs category/owner",IF(D582="Yes","Already in Category","Add to Category"))</f>
        <v/>
      </c>
    </row>
    <row r="583">
      <c r="A583" s="10" t="inlineStr">
        <is>
          <t>GRAB*A-6T3KP6GWWFFO SINGAPORE</t>
        </is>
      </c>
      <c r="B583" s="10" t="inlineStr">
        <is>
          <t>Food</t>
        </is>
      </c>
      <c r="C583" s="10" t="inlineStr">
        <is>
          <t>Family</t>
        </is>
      </c>
      <c r="D583" s="10">
        <f>IF(COUNTIF(Category!$A:$A,E583)&gt;0,"Yes","No")</f>
        <v/>
      </c>
      <c r="E583" s="10">
        <f>LEFT(A583,80)</f>
        <v/>
      </c>
      <c r="F583" s="10">
        <f>IF(OR(B583="Uncategorised",C583="",C583="Review"),"Needs category/owner",IF(D583="Yes","Already in Category","Add to Category"))</f>
        <v/>
      </c>
    </row>
    <row r="584">
      <c r="A584" s="10" t="inlineStr">
        <is>
          <t>THE LANDMARK MO HOTEL - CENTRAL</t>
        </is>
      </c>
      <c r="B584" s="10" t="inlineStr">
        <is>
          <t>Uncategorised</t>
        </is>
      </c>
      <c r="C584" s="10" t="inlineStr">
        <is>
          <t>Review</t>
        </is>
      </c>
      <c r="D584" s="10">
        <f>IF(COUNTIF(Category!$A:$A,E584)&gt;0,"Yes","No")</f>
        <v/>
      </c>
      <c r="E584" s="10">
        <f>LEFT(A584,80)</f>
        <v/>
      </c>
      <c r="F584" s="10">
        <f>IF(OR(B584="Uncategorised",C584="",C584="Review"),"Needs category/owner",IF(D584="Yes","Already in Category","Add to Category"))</f>
        <v/>
      </c>
    </row>
    <row r="585">
      <c r="A585" s="10" t="inlineStr">
        <is>
          <t>W HSMITH TRAVEL HEATH HOWNSLOW</t>
        </is>
      </c>
      <c r="B585" s="10" t="inlineStr">
        <is>
          <t>Uncategorised</t>
        </is>
      </c>
      <c r="C585" s="10" t="inlineStr">
        <is>
          <t>Review</t>
        </is>
      </c>
      <c r="D585" s="10">
        <f>IF(COUNTIF(Category!$A:$A,E585)&gt;0,"Yes","No")</f>
        <v/>
      </c>
      <c r="E585" s="10">
        <f>LEFT(A585,80)</f>
        <v/>
      </c>
      <c r="F585" s="10">
        <f>IF(OR(B585="Uncategorised",C585="",C585="Review"),"Needs category/owner",IF(D585="Yes","Already in Category","Add to Category"))</f>
        <v/>
      </c>
    </row>
    <row r="586">
      <c r="A586" s="10" t="inlineStr">
        <is>
          <t>HOW MATCHA London</t>
        </is>
      </c>
      <c r="B586" s="10" t="inlineStr">
        <is>
          <t>Food</t>
        </is>
      </c>
      <c r="C586" s="10" t="inlineStr">
        <is>
          <t>Family</t>
        </is>
      </c>
      <c r="D586" s="10">
        <f>IF(COUNTIF(Category!$A:$A,E586)&gt;0,"Yes","No")</f>
        <v/>
      </c>
      <c r="E586" s="10">
        <f>LEFT(A586,80)</f>
        <v/>
      </c>
      <c r="F586" s="10">
        <f>IF(OR(B586="Uncategorised",C586="",C586="Review"),"Needs category/owner",IF(D586="Yes","Already in Category","Add to Category"))</f>
        <v/>
      </c>
    </row>
    <row r="587">
      <c r="A587" s="10" t="inlineStr">
        <is>
          <t>SP SO FTER VOLUMES ZETLAND</t>
        </is>
      </c>
      <c r="B587" s="10" t="inlineStr">
        <is>
          <t>Uncategorised</t>
        </is>
      </c>
      <c r="C587" s="10" t="inlineStr">
        <is>
          <t>Review</t>
        </is>
      </c>
      <c r="D587" s="10">
        <f>IF(COUNTIF(Category!$A:$A,E587)&gt;0,"Yes","No")</f>
        <v/>
      </c>
      <c r="E587" s="10">
        <f>LEFT(A587,80)</f>
        <v/>
      </c>
      <c r="F587" s="10">
        <f>IF(OR(B587="Uncategorised",C587="",C587="Review"),"Needs category/owner",IF(D587="Yes","Already in Category","Add to Category"))</f>
        <v/>
      </c>
    </row>
    <row r="588">
      <c r="A588" s="10" t="inlineStr">
        <is>
          <t>FLOUR AND STONE PANTRYW oo ll oomoo l oo</t>
        </is>
      </c>
      <c r="B588" s="10" t="inlineStr">
        <is>
          <t>Food</t>
        </is>
      </c>
      <c r="C588" s="10" t="inlineStr">
        <is>
          <t>Family</t>
        </is>
      </c>
      <c r="D588" s="10">
        <f>IF(COUNTIF(Category!$A:$A,E588)&gt;0,"Yes","No")</f>
        <v/>
      </c>
      <c r="E588" s="10">
        <f>LEFT(A588,80)</f>
        <v/>
      </c>
      <c r="F588" s="10">
        <f>IF(OR(B588="Uncategorised",C588="",C588="Review"),"Needs category/owner",IF(D588="Yes","Already in Category","Add to Category"))</f>
        <v/>
      </c>
    </row>
    <row r="589">
      <c r="A589" s="10" t="inlineStr">
        <is>
          <t>HOUSE BYLIM INC SEOUL</t>
        </is>
      </c>
      <c r="B589" s="10" t="inlineStr">
        <is>
          <t>Uncategorised</t>
        </is>
      </c>
      <c r="C589" s="10" t="inlineStr">
        <is>
          <t>Review</t>
        </is>
      </c>
      <c r="D589" s="10">
        <f>IF(COUNTIF(Category!$A:$A,E589)&gt;0,"Yes","No")</f>
        <v/>
      </c>
      <c r="E589" s="10">
        <f>LEFT(A589,80)</f>
        <v/>
      </c>
      <c r="F589" s="10">
        <f>IF(OR(B589="Uncategorised",C589="",C589="Review"),"Needs category/owner",IF(D589="Yes","Already in Category","Add to Category"))</f>
        <v/>
      </c>
    </row>
    <row r="590">
      <c r="A590" s="10" t="inlineStr">
        <is>
          <t>NISEKOCACAOCROWN AIR HOKKAIDO</t>
        </is>
      </c>
      <c r="B590" s="10" t="inlineStr">
        <is>
          <t>Uncategorised</t>
        </is>
      </c>
      <c r="C590" s="10" t="inlineStr">
        <is>
          <t>Review</t>
        </is>
      </c>
      <c r="D590" s="10">
        <f>IF(COUNTIF(Category!$A:$A,E590)&gt;0,"Yes","No")</f>
        <v/>
      </c>
      <c r="E590" s="10">
        <f>LEFT(A590,80)</f>
        <v/>
      </c>
      <c r="F590" s="10">
        <f>IF(OR(B590="Uncategorised",C590="",C590="Review"),"Needs category/owner",IF(D590="Yes","Already in Category","Add to Category"))</f>
        <v/>
      </c>
    </row>
    <row r="591">
      <c r="A591" s="10" t="inlineStr">
        <is>
          <t>PIERRE HERME PARIS CENTRAL</t>
        </is>
      </c>
      <c r="B591" s="10" t="inlineStr">
        <is>
          <t>Food</t>
        </is>
      </c>
      <c r="C591" s="10" t="inlineStr">
        <is>
          <t>Family</t>
        </is>
      </c>
      <c r="D591" s="10">
        <f>IF(COUNTIF(Category!$A:$A,E591)&gt;0,"Yes","No")</f>
        <v/>
      </c>
      <c r="E591" s="10">
        <f>LEFT(A591,80)</f>
        <v/>
      </c>
      <c r="F591" s="10">
        <f>IF(OR(B591="Uncategorised",C591="",C591="Review"),"Needs category/owner",IF(D591="Yes","Already in Category","Add to Category"))</f>
        <v/>
      </c>
    </row>
    <row r="592">
      <c r="A592" s="10" t="inlineStr">
        <is>
          <t>ZETTLE *SYRA COFFEES.LBARCELONA</t>
        </is>
      </c>
      <c r="B592" s="10" t="inlineStr">
        <is>
          <t>Food</t>
        </is>
      </c>
      <c r="C592" s="10" t="inlineStr">
        <is>
          <t>Family</t>
        </is>
      </c>
      <c r="D592" s="10">
        <f>IF(COUNTIF(Category!$A:$A,E592)&gt;0,"Yes","No")</f>
        <v/>
      </c>
      <c r="E592" s="10">
        <f>LEFT(A592,80)</f>
        <v/>
      </c>
      <c r="F592" s="10">
        <f>IF(OR(B592="Uncategorised",C592="",C592="Review"),"Needs category/owner",IF(D592="Yes","Already in Category","Add to Category"))</f>
        <v/>
      </c>
    </row>
    <row r="593">
      <c r="A593" s="10" t="inlineStr">
        <is>
          <t>DOJO*OTTOLENGHI PAVILIO LONDON</t>
        </is>
      </c>
      <c r="B593" s="10" t="inlineStr">
        <is>
          <t>Uncategorised</t>
        </is>
      </c>
      <c r="C593" s="10" t="inlineStr">
        <is>
          <t>Review</t>
        </is>
      </c>
      <c r="D593" s="10">
        <f>IF(COUNTIF(Category!$A:$A,E593)&gt;0,"Yes","No")</f>
        <v/>
      </c>
      <c r="E593" s="10">
        <f>LEFT(A593,80)</f>
        <v/>
      </c>
      <c r="F593" s="10">
        <f>IF(OR(B593="Uncategorised",C593="",C593="Review"),"Needs category/owner",IF(D593="Yes","Already in Category","Add to Category"))</f>
        <v/>
      </c>
    </row>
    <row r="594">
      <c r="A594" s="10" t="inlineStr">
        <is>
          <t>RAKUTENPAY YUKARANISEKO HOKKAIDO</t>
        </is>
      </c>
      <c r="B594" s="10" t="inlineStr">
        <is>
          <t>Uncategorised</t>
        </is>
      </c>
      <c r="C594" s="10" t="inlineStr">
        <is>
          <t>Review</t>
        </is>
      </c>
      <c r="D594" s="10">
        <f>IF(COUNTIF(Category!$A:$A,E594)&gt;0,"Yes","No")</f>
        <v/>
      </c>
      <c r="E594" s="10">
        <f>LEFT(A594,80)</f>
        <v/>
      </c>
      <c r="F594" s="10">
        <f>IF(OR(B594="Uncategorised",C594="",C594="Review"),"Needs category/owner",IF(D594="Yes","Already in Category","Add to Category"))</f>
        <v/>
      </c>
    </row>
    <row r="595">
      <c r="A595" s="10" t="inlineStr">
        <is>
          <t>HUMBLE COFFEE&amp;BAKERY 74 SURRY HILLS</t>
        </is>
      </c>
      <c r="B595" s="10" t="inlineStr">
        <is>
          <t>Food</t>
        </is>
      </c>
      <c r="C595" s="10" t="inlineStr">
        <is>
          <t>Family</t>
        </is>
      </c>
      <c r="D595" s="10">
        <f>IF(COUNTIF(Category!$A:$A,E595)&gt;0,"Yes","No")</f>
        <v/>
      </c>
      <c r="E595" s="10">
        <f>LEFT(A595,80)</f>
        <v/>
      </c>
      <c r="F595" s="10">
        <f>IF(OR(B595="Uncategorised",C595="",C595="Review"),"Needs category/owner",IF(D595="Yes","Already in Category","Add to Category"))</f>
        <v/>
      </c>
    </row>
    <row r="596">
      <c r="A596" s="10" t="inlineStr">
        <is>
          <t>AMAZON PRIME*N348J9DN2 AMZN.COM/BILL</t>
        </is>
      </c>
      <c r="B596" s="10" t="inlineStr">
        <is>
          <t>Book &amp; Kindle</t>
        </is>
      </c>
      <c r="C596" s="10" t="inlineStr">
        <is>
          <t>Family</t>
        </is>
      </c>
      <c r="D596" s="10">
        <f>IF(COUNTIF(Category!$A:$A,E596)&gt;0,"Yes","No")</f>
        <v/>
      </c>
      <c r="E596" s="10">
        <f>LEFT(A596,80)</f>
        <v/>
      </c>
      <c r="F596" s="10">
        <f>IF(OR(B596="Uncategorised",C596="",C596="Review"),"Needs category/owner",IF(D596="Yes","Already in Category","Add to Category"))</f>
        <v/>
      </c>
    </row>
    <row r="597">
      <c r="A597" s="10" t="inlineStr">
        <is>
          <t>AMAZON PRIME*LH0E794C3 AMZN.COM/BILL</t>
        </is>
      </c>
      <c r="B597" s="10" t="inlineStr">
        <is>
          <t>Book &amp; Kindle</t>
        </is>
      </c>
      <c r="C597" s="10" t="inlineStr">
        <is>
          <t>Family</t>
        </is>
      </c>
      <c r="D597" s="10">
        <f>IF(COUNTIF(Category!$A:$A,E597)&gt;0,"Yes","No")</f>
        <v/>
      </c>
      <c r="E597" s="10">
        <f>LEFT(A597,80)</f>
        <v/>
      </c>
      <c r="F597" s="10">
        <f>IF(OR(B597="Uncategorised",C597="",C597="Review"),"Needs category/owner",IF(D597="Yes","Already in Category","Add to Category"))</f>
        <v/>
      </c>
    </row>
    <row r="598">
      <c r="A598" s="10" t="inlineStr">
        <is>
          <t>AMAZON PRIME*N60L36LH1 AMZN.COM/BILL</t>
        </is>
      </c>
      <c r="B598" s="10" t="inlineStr">
        <is>
          <t>Book &amp; Kindle</t>
        </is>
      </c>
      <c r="C598" s="10" t="inlineStr">
        <is>
          <t>Family</t>
        </is>
      </c>
      <c r="D598" s="10">
        <f>IF(COUNTIF(Category!$A:$A,E598)&gt;0,"Yes","No")</f>
        <v/>
      </c>
      <c r="E598" s="10">
        <f>LEFT(A598,80)</f>
        <v/>
      </c>
      <c r="F598" s="10">
        <f>IF(OR(B598="Uncategorised",C598="",C598="Review"),"Needs category/owner",IF(D598="Yes","Already in Category","Add to Category"))</f>
        <v/>
      </c>
    </row>
    <row r="599">
      <c r="A599" s="10" t="inlineStr">
        <is>
          <t>AMAZON PRIME*RK2502SU0 AMZN.COM/BILL</t>
        </is>
      </c>
      <c r="B599" s="10" t="inlineStr">
        <is>
          <t>Book &amp; Kindle</t>
        </is>
      </c>
      <c r="C599" s="10" t="inlineStr">
        <is>
          <t>Family</t>
        </is>
      </c>
      <c r="D599" s="10">
        <f>IF(COUNTIF(Category!$A:$A,E599)&gt;0,"Yes","No")</f>
        <v/>
      </c>
      <c r="E599" s="10">
        <f>LEFT(A599,80)</f>
        <v/>
      </c>
      <c r="F599" s="10">
        <f>IF(OR(B599="Uncategorised",C599="",C599="Review"),"Needs category/owner",IF(D599="Yes","Already in Category","Add to Category"))</f>
        <v/>
      </c>
    </row>
    <row r="600">
      <c r="A600" s="10" t="inlineStr">
        <is>
          <t>AMA ZON PRIME * H 90 I 59 S B 3 AMZ N.COM/ BILL</t>
        </is>
      </c>
      <c r="B600" s="10" t="inlineStr">
        <is>
          <t>Subscriptions</t>
        </is>
      </c>
      <c r="C600" s="10" t="inlineStr">
        <is>
          <t>Family</t>
        </is>
      </c>
      <c r="D600" s="10">
        <f>IF(COUNTIF(Category!$A:$A,E600)&gt;0,"Yes","No")</f>
        <v/>
      </c>
      <c r="E600" s="10">
        <f>LEFT(A600,80)</f>
        <v/>
      </c>
      <c r="F600" s="10">
        <f>IF(OR(B600="Uncategorised",C600="",C600="Review"),"Needs category/owner",IF(D600="Yes","Already in Category","Add to Category"))</f>
        <v/>
      </c>
    </row>
    <row r="601">
      <c r="A601" s="10" t="inlineStr">
        <is>
          <t>OMAKASE SHIBUYAKU</t>
        </is>
      </c>
      <c r="B601" s="10" t="inlineStr">
        <is>
          <t>Dining out</t>
        </is>
      </c>
      <c r="C601" s="10" t="inlineStr">
        <is>
          <t>Family</t>
        </is>
      </c>
      <c r="D601" s="10">
        <f>IF(COUNTIF(Category!$A:$A,E601)&gt;0,"Yes","No")</f>
        <v/>
      </c>
      <c r="E601" s="10">
        <f>LEFT(A601,80)</f>
        <v/>
      </c>
      <c r="F601" s="10">
        <f>IF(OR(B601="Uncategorised",C601="",C601="Review"),"Needs category/owner",IF(D601="Yes","Already in Category","Add to Category"))</f>
        <v/>
      </c>
    </row>
    <row r="602">
      <c r="A602" s="10" t="inlineStr">
        <is>
          <t>DAMGILJ E J U-DO</t>
        </is>
      </c>
      <c r="B602" s="10" t="inlineStr">
        <is>
          <t>Uncategorised</t>
        </is>
      </c>
      <c r="C602" s="10" t="inlineStr">
        <is>
          <t>Review</t>
        </is>
      </c>
      <c r="D602" s="10">
        <f>IF(COUNTIF(Category!$A:$A,E602)&gt;0,"Yes","No")</f>
        <v/>
      </c>
      <c r="E602" s="10">
        <f>LEFT(A602,80)</f>
        <v/>
      </c>
      <c r="F602" s="10">
        <f>IF(OR(B602="Uncategorised",C602="",C602="Review"),"Needs category/owner",IF(D602="Yes","Already in Category","Add to Category"))</f>
        <v/>
      </c>
    </row>
    <row r="603">
      <c r="A603" s="10" t="inlineStr">
        <is>
          <t>AMAZON PRIME*ZL3XU33Q2 AMZN.COM/BILL</t>
        </is>
      </c>
      <c r="B603" s="10" t="inlineStr">
        <is>
          <t>Book &amp; Kindle</t>
        </is>
      </c>
      <c r="C603" s="10" t="inlineStr">
        <is>
          <t>Family</t>
        </is>
      </c>
      <c r="D603" s="10">
        <f>IF(COUNTIF(Category!$A:$A,E603)&gt;0,"Yes","No")</f>
        <v/>
      </c>
      <c r="E603" s="10">
        <f>LEFT(A603,80)</f>
        <v/>
      </c>
      <c r="F603" s="10">
        <f>IF(OR(B603="Uncategorised",C603="",C603="Review"),"Needs category/owner",IF(D603="Yes","Already in Category","Add to Category"))</f>
        <v/>
      </c>
    </row>
    <row r="604">
      <c r="A604" s="10" t="inlineStr">
        <is>
          <t>AMAZON PRIME*T000B3AE3 AMZN.COM/BILL</t>
        </is>
      </c>
      <c r="B604" s="10" t="inlineStr">
        <is>
          <t>Book &amp; Kindle</t>
        </is>
      </c>
      <c r="C604" s="10" t="inlineStr">
        <is>
          <t>Family</t>
        </is>
      </c>
      <c r="D604" s="10">
        <f>IF(COUNTIF(Category!$A:$A,E604)&gt;0,"Yes","No")</f>
        <v/>
      </c>
      <c r="E604" s="10">
        <f>LEFT(A604,80)</f>
        <v/>
      </c>
      <c r="F604" s="10">
        <f>IF(OR(B604="Uncategorised",C604="",C604="Review"),"Needs category/owner",IF(D604="Yes","Already in Category","Add to Category"))</f>
        <v/>
      </c>
    </row>
    <row r="605">
      <c r="A605" s="10" t="inlineStr">
        <is>
          <t>AMAZON PRIME*0F9FD4PG3 AMZN.COM/BILL</t>
        </is>
      </c>
      <c r="B605" s="10" t="inlineStr">
        <is>
          <t>Book &amp; Kindle</t>
        </is>
      </c>
      <c r="C605" s="10" t="inlineStr">
        <is>
          <t>Family</t>
        </is>
      </c>
      <c r="D605" s="10">
        <f>IF(COUNTIF(Category!$A:$A,E605)&gt;0,"Yes","No")</f>
        <v/>
      </c>
      <c r="E605" s="10">
        <f>LEFT(A605,80)</f>
        <v/>
      </c>
      <c r="F605" s="10">
        <f>IF(OR(B605="Uncategorised",C605="",C605="Review"),"Needs category/owner",IF(D605="Yes","Already in Category","Add to Category"))</f>
        <v/>
      </c>
    </row>
    <row r="606">
      <c r="A606" s="10" t="inlineStr">
        <is>
          <t>AMAZON PRIME*A396O4Q43 AMZN.COM/BILL</t>
        </is>
      </c>
      <c r="B606" s="10" t="inlineStr">
        <is>
          <t>Book &amp; Kindle</t>
        </is>
      </c>
      <c r="C606" s="10" t="inlineStr">
        <is>
          <t>Family</t>
        </is>
      </c>
      <c r="D606" s="10">
        <f>IF(COUNTIF(Category!$A:$A,E606)&gt;0,"Yes","No")</f>
        <v/>
      </c>
      <c r="E606" s="10">
        <f>LEFT(A606,80)</f>
        <v/>
      </c>
      <c r="F606" s="10">
        <f>IF(OR(B606="Uncategorised",C606="",C606="Review"),"Needs category/owner",IF(D606="Yes","Already in Category","Add to Category"))</f>
        <v/>
      </c>
    </row>
    <row r="607">
      <c r="A607" s="10" t="inlineStr">
        <is>
          <t>AMAZON PRIME*ZE5M342X1 AMZN.COM/BILL</t>
        </is>
      </c>
      <c r="B607" s="10" t="inlineStr">
        <is>
          <t>Book &amp; Kindle</t>
        </is>
      </c>
      <c r="C607" s="10" t="inlineStr">
        <is>
          <t>Family</t>
        </is>
      </c>
      <c r="D607" s="10">
        <f>IF(COUNTIF(Category!$A:$A,E607)&gt;0,"Yes","No")</f>
        <v/>
      </c>
      <c r="E607" s="10">
        <f>LEFT(A607,80)</f>
        <v/>
      </c>
      <c r="F607" s="10">
        <f>IF(OR(B607="Uncategorised",C607="",C607="Review"),"Needs category/owner",IF(D607="Yes","Already in Category","Add to Category"))</f>
        <v/>
      </c>
    </row>
    <row r="608">
      <c r="A608" s="10" t="inlineStr">
        <is>
          <t>AMAZON PRIME*N264D57N0 AMZN.COM/BILL</t>
        </is>
      </c>
      <c r="B608" s="10" t="inlineStr">
        <is>
          <t>Book &amp; Kindle</t>
        </is>
      </c>
      <c r="C608" s="10" t="inlineStr">
        <is>
          <t>Family</t>
        </is>
      </c>
      <c r="D608" s="10">
        <f>IF(COUNTIF(Category!$A:$A,E608)&gt;0,"Yes","No")</f>
        <v/>
      </c>
      <c r="E608" s="10">
        <f>LEFT(A608,80)</f>
        <v/>
      </c>
      <c r="F608" s="10">
        <f>IF(OR(B608="Uncategorised",C608="",C608="Review"),"Needs category/owner",IF(D608="Yes","Already in Category","Add to Category"))</f>
        <v/>
      </c>
    </row>
    <row r="609">
      <c r="A609" s="10" t="inlineStr">
        <is>
          <t>RUSUTSU RESORT HOKKAIDO</t>
        </is>
      </c>
      <c r="B609" s="10" t="inlineStr">
        <is>
          <t>Uncategorised</t>
        </is>
      </c>
      <c r="C609" s="10" t="inlineStr">
        <is>
          <t>Review</t>
        </is>
      </c>
      <c r="D609" s="10">
        <f>IF(COUNTIF(Category!$A:$A,E609)&gt;0,"Yes","No")</f>
        <v/>
      </c>
      <c r="E609" s="10">
        <f>LEFT(A609,80)</f>
        <v/>
      </c>
      <c r="F609" s="10">
        <f>IF(OR(B609="Uncategorised",C609="",C609="Review"),"Needs category/owner",IF(D609="Yes","Already in Category","Add to Category"))</f>
        <v/>
      </c>
    </row>
    <row r="610">
      <c r="A610" s="10" t="inlineStr">
        <is>
          <t>Rikka Spa meng tian jun j</t>
        </is>
      </c>
      <c r="B610" s="10" t="inlineStr">
        <is>
          <t>Uncategorised</t>
        </is>
      </c>
      <c r="C610" s="10" t="inlineStr">
        <is>
          <t>Review</t>
        </is>
      </c>
      <c r="D610" s="10">
        <f>IF(COUNTIF(Category!$A:$A,E610)&gt;0,"Yes","No")</f>
        <v/>
      </c>
      <c r="E610" s="10">
        <f>LEFT(A610,80)</f>
        <v/>
      </c>
      <c r="F610" s="10">
        <f>IF(OR(B610="Uncategorised",C610="",C610="Review"),"Needs category/owner",IF(D610="Yes","Already in Category","Add to Category"))</f>
        <v/>
      </c>
    </row>
    <row r="611">
      <c r="A611" s="10" t="inlineStr">
        <is>
          <t>LS LUNE CROISSANTERIE ROSEBERY</t>
        </is>
      </c>
      <c r="B611" s="10" t="inlineStr">
        <is>
          <t>Uncategorised</t>
        </is>
      </c>
      <c r="C611" s="10" t="inlineStr">
        <is>
          <t>Review</t>
        </is>
      </c>
      <c r="D611" s="10">
        <f>IF(COUNTIF(Category!$A:$A,E611)&gt;0,"Yes","No")</f>
        <v/>
      </c>
      <c r="E611" s="10">
        <f>LEFT(A611,80)</f>
        <v/>
      </c>
      <c r="F611" s="10">
        <f>IF(OR(B611="Uncategorised",C611="",C611="Review"),"Needs category/owner",IF(D611="Yes","Already in Category","Add to Category"))</f>
        <v/>
      </c>
    </row>
    <row r="612">
      <c r="A612" s="10" t="inlineStr">
        <is>
          <t>AUSTRALIANETA NORTH SYDNEY</t>
        </is>
      </c>
      <c r="B612" s="10" t="inlineStr">
        <is>
          <t>Uncategorised</t>
        </is>
      </c>
      <c r="C612" s="10" t="inlineStr">
        <is>
          <t>Review</t>
        </is>
      </c>
      <c r="D612" s="10">
        <f>IF(COUNTIF(Category!$A:$A,E612)&gt;0,"Yes","No")</f>
        <v/>
      </c>
      <c r="E612" s="10">
        <f>LEFT(A612,80)</f>
        <v/>
      </c>
      <c r="F612" s="10">
        <f>IF(OR(B612="Uncategorised",C612="",C612="Review"),"Needs category/owner",IF(D612="Yes","Already in Category","Add to Category"))</f>
        <v/>
      </c>
    </row>
    <row r="613">
      <c r="A613" s="10" t="inlineStr">
        <is>
          <t>QUEEN STREET PHAR MACY WOOLLAHRA</t>
        </is>
      </c>
      <c r="B613" s="10" t="inlineStr">
        <is>
          <t>Uncategorised</t>
        </is>
      </c>
      <c r="C613" s="10" t="inlineStr">
        <is>
          <t>Review</t>
        </is>
      </c>
      <c r="D613" s="10">
        <f>IF(COUNTIF(Category!$A:$A,E613)&gt;0,"Yes","No")</f>
        <v/>
      </c>
      <c r="E613" s="10">
        <f>LEFT(A613,80)</f>
        <v/>
      </c>
      <c r="F613" s="10">
        <f>IF(OR(B613="Uncategorised",C613="",C613="Review"),"Needs category/owner",IF(D613="Yes","Already in Category","Add to Category"))</f>
        <v/>
      </c>
    </row>
    <row r="614">
      <c r="A614" s="10" t="inlineStr">
        <is>
          <t>AMA ZON.CO.UK 353 - 12477661</t>
        </is>
      </c>
      <c r="B614" s="10" t="inlineStr">
        <is>
          <t>Uncategorised</t>
        </is>
      </c>
      <c r="C614" s="10" t="inlineStr">
        <is>
          <t>Review</t>
        </is>
      </c>
      <c r="D614" s="10">
        <f>IF(COUNTIF(Category!$A:$A,E614)&gt;0,"Yes","No")</f>
        <v/>
      </c>
      <c r="E614" s="10">
        <f>LEFT(A614,80)</f>
        <v/>
      </c>
      <c r="F614" s="10">
        <f>IF(OR(B614="Uncategorised",C614="",C614="Review"),"Needs category/owner",IF(D614="Yes","Already in Category","Add to Category"))</f>
        <v/>
      </c>
    </row>
    <row r="615">
      <c r="A615" s="10" t="inlineStr">
        <is>
          <t>UKVI UKVI LONDON</t>
        </is>
      </c>
      <c r="B615" s="10" t="inlineStr">
        <is>
          <t>Uncategorised</t>
        </is>
      </c>
      <c r="C615" s="10" t="inlineStr">
        <is>
          <t>Review</t>
        </is>
      </c>
      <c r="D615" s="10">
        <f>IF(COUNTIF(Category!$A:$A,E615)&gt;0,"Yes","No")</f>
        <v/>
      </c>
      <c r="E615" s="10">
        <f>LEFT(A615,80)</f>
        <v/>
      </c>
      <c r="F615" s="10">
        <f>IF(OR(B615="Uncategorised",C615="",C615="Review"),"Needs category/owner",IF(D615="Yes","Already in Category","Add to Category"))</f>
        <v/>
      </c>
    </row>
    <row r="616">
      <c r="A616" s="10" t="inlineStr">
        <is>
          <t>HAI NA TRADING LIMITED BATH</t>
        </is>
      </c>
      <c r="B616" s="10" t="inlineStr">
        <is>
          <t>Uncategorised</t>
        </is>
      </c>
      <c r="C616" s="10" t="inlineStr">
        <is>
          <t>Review</t>
        </is>
      </c>
      <c r="D616" s="10">
        <f>IF(COUNTIF(Category!$A:$A,E616)&gt;0,"Yes","No")</f>
        <v/>
      </c>
      <c r="E616" s="10">
        <f>LEFT(A616,80)</f>
        <v/>
      </c>
      <c r="F616" s="10">
        <f>IF(OR(B616="Uncategorised",C616="",C616="Review"),"Needs category/owner",IF(D616="Yes","Already in Category","Add to Category"))</f>
        <v/>
      </c>
    </row>
    <row r="617">
      <c r="A617" s="10" t="inlineStr">
        <is>
          <t>AMAZON PRIME*DU8OG7U15 AMZN.CO.UK/PM</t>
        </is>
      </c>
      <c r="B617" s="10" t="inlineStr">
        <is>
          <t>Book &amp; Kindle</t>
        </is>
      </c>
      <c r="C617" s="10" t="inlineStr">
        <is>
          <t>Family</t>
        </is>
      </c>
      <c r="D617" s="10">
        <f>IF(COUNTIF(Category!$A:$A,E617)&gt;0,"Yes","No")</f>
        <v/>
      </c>
      <c r="E617" s="10">
        <f>LEFT(A617,80)</f>
        <v/>
      </c>
      <c r="F617" s="10">
        <f>IF(OR(B617="Uncategorised",C617="",C617="Review"),"Needs category/owner",IF(D617="Yes","Already in Category","Add to Category"))</f>
        <v/>
      </c>
    </row>
    <row r="618">
      <c r="A618" s="10" t="inlineStr">
        <is>
          <t>AMA ZON PRIME* Z F 8 D6 1 B 84 AMZ N.CO.UK/PM</t>
        </is>
      </c>
      <c r="B618" s="10" t="inlineStr">
        <is>
          <t>Subscriptions</t>
        </is>
      </c>
      <c r="C618" s="10" t="inlineStr">
        <is>
          <t>Family</t>
        </is>
      </c>
      <c r="D618" s="10">
        <f>IF(COUNTIF(Category!$A:$A,E618)&gt;0,"Yes","No")</f>
        <v/>
      </c>
      <c r="E618" s="10">
        <f>LEFT(A618,80)</f>
        <v/>
      </c>
      <c r="F618" s="10">
        <f>IF(OR(B618="Uncategorised",C618="",C618="Review"),"Needs category/owner",IF(D618="Yes","Already in Category","Add to Category"))</f>
        <v/>
      </c>
    </row>
    <row r="619">
      <c r="A619" s="10" t="inlineStr">
        <is>
          <t>AMAZON PRIME*R769S8CR4 AMZN.CO.UK/PM</t>
        </is>
      </c>
      <c r="B619" s="10" t="inlineStr">
        <is>
          <t>Book &amp; Kindle</t>
        </is>
      </c>
      <c r="C619" s="10" t="inlineStr">
        <is>
          <t>Family</t>
        </is>
      </c>
      <c r="D619" s="10">
        <f>IF(COUNTIF(Category!$A:$A,E619)&gt;0,"Yes","No")</f>
        <v/>
      </c>
      <c r="E619" s="10">
        <f>LEFT(A619,80)</f>
        <v/>
      </c>
      <c r="F619" s="10">
        <f>IF(OR(B619="Uncategorised",C619="",C619="Review"),"Needs category/owner",IF(D619="Yes","Already in Category","Add to Category"))</f>
        <v/>
      </c>
    </row>
    <row r="620">
      <c r="A620" s="10" t="inlineStr">
        <is>
          <t>AMAZON PRIME*CT7099AT5 AMZN.CO.UK/PM</t>
        </is>
      </c>
      <c r="B620" s="10" t="inlineStr">
        <is>
          <t>Book &amp; Kindle</t>
        </is>
      </c>
      <c r="C620" s="10" t="inlineStr">
        <is>
          <t>Family</t>
        </is>
      </c>
      <c r="D620" s="10">
        <f>IF(COUNTIF(Category!$A:$A,E620)&gt;0,"Yes","No")</f>
        <v/>
      </c>
      <c r="E620" s="10">
        <f>LEFT(A620,80)</f>
        <v/>
      </c>
      <c r="F620" s="10">
        <f>IF(OR(B620="Uncategorised",C620="",C620="Review"),"Needs category/owner",IF(D620="Yes","Already in Category","Add to Category"))</f>
        <v/>
      </c>
    </row>
    <row r="621">
      <c r="A621" s="10" t="inlineStr">
        <is>
          <t>MIYAGEDOKOROYATAIREN SAITAMA</t>
        </is>
      </c>
      <c r="B621" s="10" t="inlineStr">
        <is>
          <t>Uncategorised</t>
        </is>
      </c>
      <c r="C621" s="10" t="inlineStr">
        <is>
          <t>Review</t>
        </is>
      </c>
      <c r="D621" s="10">
        <f>IF(COUNTIF(Category!$A:$A,E621)&gt;0,"Yes","No")</f>
        <v/>
      </c>
      <c r="E621" s="10">
        <f>LEFT(A621,80)</f>
        <v/>
      </c>
      <c r="F621" s="10">
        <f>IF(OR(B621="Uncategorised",C621="",C621="Review"),"Needs category/owner",IF(D621="Yes","Already in Category","Add to Category"))</f>
        <v/>
      </c>
    </row>
    <row r="622">
      <c r="A622" s="10" t="inlineStr">
        <is>
          <t>AMAZON PRIME*ZM62Y7I15 AMZN.CO.UK/PM</t>
        </is>
      </c>
      <c r="B622" s="10" t="inlineStr">
        <is>
          <t>Book &amp; Kindle</t>
        </is>
      </c>
      <c r="C622" s="10" t="inlineStr">
        <is>
          <t>Family</t>
        </is>
      </c>
      <c r="D622" s="10">
        <f>IF(COUNTIF(Category!$A:$A,E622)&gt;0,"Yes","No")</f>
        <v/>
      </c>
      <c r="E622" s="10">
        <f>LEFT(A622,80)</f>
        <v/>
      </c>
      <c r="F622" s="10">
        <f>IF(OR(B622="Uncategorised",C622="",C622="Review"),"Needs category/owner",IF(D622="Yes","Already in Category","Add to Category"))</f>
        <v/>
      </c>
    </row>
    <row r="623">
      <c r="A623" s="10" t="inlineStr">
        <is>
          <t>AMA ZON PRIME *Z 818 D 33 E 4 AMZ N.CO.UK/PM</t>
        </is>
      </c>
      <c r="B623" s="10" t="inlineStr">
        <is>
          <t>Subscriptions</t>
        </is>
      </c>
      <c r="C623" s="10" t="inlineStr">
        <is>
          <t>Family</t>
        </is>
      </c>
      <c r="D623" s="10">
        <f>IF(COUNTIF(Category!$A:$A,E623)&gt;0,"Yes","No")</f>
        <v/>
      </c>
      <c r="E623" s="10">
        <f>LEFT(A623,80)</f>
        <v/>
      </c>
      <c r="F623" s="10">
        <f>IF(OR(B623="Uncategorised",C623="",C623="Review"),"Needs category/owner",IF(D623="Yes","Already in Category","Add to Category"))</f>
        <v/>
      </c>
    </row>
    <row r="624">
      <c r="A624" s="10" t="inlineStr">
        <is>
          <t>AMAZON PRIME*RF8363QU4 AMZN.CO.UK/PM</t>
        </is>
      </c>
      <c r="B624" s="10" t="inlineStr">
        <is>
          <t>Book &amp; Kindle</t>
        </is>
      </c>
      <c r="C624" s="10" t="inlineStr">
        <is>
          <t>Family</t>
        </is>
      </c>
      <c r="D624" s="10">
        <f>IF(COUNTIF(Category!$A:$A,E624)&gt;0,"Yes","No")</f>
        <v/>
      </c>
      <c r="E624" s="10">
        <f>LEFT(A624,80)</f>
        <v/>
      </c>
      <c r="F624" s="10">
        <f>IF(OR(B624="Uncategorised",C624="",C624="Review"),"Needs category/owner",IF(D624="Yes","Already in Category","Add to Category"))</f>
        <v/>
      </c>
    </row>
    <row r="625">
      <c r="A625" s="10" t="inlineStr">
        <is>
          <t>AMA ZON PRIME * RK 2 C 78 R J4 AMZ N.CO.UK/PM</t>
        </is>
      </c>
      <c r="B625" s="10" t="inlineStr">
        <is>
          <t>Subscriptions</t>
        </is>
      </c>
      <c r="C625" s="10" t="inlineStr">
        <is>
          <t>Family</t>
        </is>
      </c>
      <c r="D625" s="10">
        <f>IF(COUNTIF(Category!$A:$A,E625)&gt;0,"Yes","No")</f>
        <v/>
      </c>
      <c r="E625" s="10">
        <f>LEFT(A625,80)</f>
        <v/>
      </c>
      <c r="F625" s="10">
        <f>IF(OR(B625="Uncategorised",C625="",C625="Review"),"Needs category/owner",IF(D625="Yes","Already in Category","Add to Category"))</f>
        <v/>
      </c>
    </row>
    <row r="626">
      <c r="A626" s="10" t="inlineStr">
        <is>
          <t>AMA ZON PRIME * 986 EL 4 F O 5 AMZ N.CO.UK/PM</t>
        </is>
      </c>
      <c r="B626" s="10" t="inlineStr">
        <is>
          <t>Subscriptions</t>
        </is>
      </c>
      <c r="C626" s="10" t="inlineStr">
        <is>
          <t>Family</t>
        </is>
      </c>
      <c r="D626" s="10">
        <f>IF(COUNTIF(Category!$A:$A,E626)&gt;0,"Yes","No")</f>
        <v/>
      </c>
      <c r="E626" s="10">
        <f>LEFT(A626,80)</f>
        <v/>
      </c>
      <c r="F626" s="10">
        <f>IF(OR(B626="Uncategorised",C626="",C626="Review"),"Needs category/owner",IF(D626="Yes","Already in Category","Add to Category"))</f>
        <v/>
      </c>
    </row>
    <row r="627">
      <c r="A627" s="10" t="inlineStr">
        <is>
          <t>AMAZON PRIME*RV34P3P74 AMZN.CO.UK/PM</t>
        </is>
      </c>
      <c r="B627" s="10" t="inlineStr">
        <is>
          <t>Book &amp; Kindle</t>
        </is>
      </c>
      <c r="C627" s="10" t="inlineStr">
        <is>
          <t>Family</t>
        </is>
      </c>
      <c r="D627" s="10">
        <f>IF(COUNTIF(Category!$A:$A,E627)&gt;0,"Yes","No")</f>
        <v/>
      </c>
      <c r="E627" s="10">
        <f>LEFT(A627,80)</f>
        <v/>
      </c>
      <c r="F627" s="10">
        <f>IF(OR(B627="Uncategorised",C627="",C627="Review"),"Needs category/owner",IF(D627="Yes","Already in Category","Add to Category"))</f>
        <v/>
      </c>
    </row>
    <row r="628">
      <c r="A628" s="10" t="inlineStr">
        <is>
          <t>AMA ZON PRIME * A Q 3 CG 5 IH 5 AMZ N.CO.UK/PM</t>
        </is>
      </c>
      <c r="B628" s="10" t="inlineStr">
        <is>
          <t>Subscriptions</t>
        </is>
      </c>
      <c r="C628" s="10" t="inlineStr">
        <is>
          <t>Family</t>
        </is>
      </c>
      <c r="D628" s="10">
        <f>IF(COUNTIF(Category!$A:$A,E628)&gt;0,"Yes","No")</f>
        <v/>
      </c>
      <c r="E628" s="10">
        <f>LEFT(A628,80)</f>
        <v/>
      </c>
      <c r="F628" s="10">
        <f>IF(OR(B628="Uncategorised",C628="",C628="Review"),"Needs category/owner",IF(D628="Yes","Already in Category","Add to Category"))</f>
        <v/>
      </c>
    </row>
    <row r="629">
      <c r="A629" s="10" t="inlineStr">
        <is>
          <t>A M A ZON PRIM E *Z 91 T 85 HC 4 AMZN.CO.UK/P M</t>
        </is>
      </c>
      <c r="B629" s="10" t="inlineStr">
        <is>
          <t>Book &amp; Kindle</t>
        </is>
      </c>
      <c r="C629" s="10" t="inlineStr">
        <is>
          <t>Family</t>
        </is>
      </c>
      <c r="D629" s="10">
        <f>IF(COUNTIF(Category!$A:$A,E629)&gt;0,"Yes","No")</f>
        <v/>
      </c>
      <c r="E629" s="10">
        <f>LEFT(A629,80)</f>
        <v/>
      </c>
      <c r="F629" s="10">
        <f>IF(OR(B629="Uncategorised",C629="",C629="Review"),"Needs category/owner",IF(D629="Yes","Already in Category","Add to Category"))</f>
        <v/>
      </c>
    </row>
    <row r="630">
      <c r="A630" s="10" t="inlineStr">
        <is>
          <t>AMAZON PRIME*5Q56T0PF5 AMZN.CO.UK/PM</t>
        </is>
      </c>
      <c r="B630" s="10" t="inlineStr">
        <is>
          <t>Book &amp; Kindle</t>
        </is>
      </c>
      <c r="C630" s="10" t="inlineStr">
        <is>
          <t>Family</t>
        </is>
      </c>
      <c r="D630" s="10">
        <f>IF(COUNTIF(Category!$A:$A,E630)&gt;0,"Yes","No")</f>
        <v/>
      </c>
      <c r="E630" s="10">
        <f>LEFT(A630,80)</f>
        <v/>
      </c>
      <c r="F630" s="10">
        <f>IF(OR(B630="Uncategorised",C630="",C630="Review"),"Needs category/owner",IF(D630="Yes","Already in Category","Add to Category"))</f>
        <v/>
      </c>
    </row>
    <row r="631">
      <c r="A631" s="10" t="inlineStr">
        <is>
          <t>AMAZON PRIME*MK9TT81S5 AMZN.CO.UK/PM</t>
        </is>
      </c>
      <c r="B631" s="10" t="inlineStr">
        <is>
          <t>Book &amp; Kindle</t>
        </is>
      </c>
      <c r="C631" s="10" t="inlineStr">
        <is>
          <t>Family</t>
        </is>
      </c>
      <c r="D631" s="10">
        <f>IF(COUNTIF(Category!$A:$A,E631)&gt;0,"Yes","No")</f>
        <v/>
      </c>
      <c r="E631" s="10">
        <f>LEFT(A631,80)</f>
        <v/>
      </c>
      <c r="F631" s="10">
        <f>IF(OR(B631="Uncategorised",C631="",C631="Review"),"Needs category/owner",IF(D631="Yes","Already in Category","Add to Category"))</f>
        <v/>
      </c>
    </row>
    <row r="632">
      <c r="A632" s="10" t="inlineStr">
        <is>
          <t>AMAZON PRIME*TA1M20WO4 AMZN.CO.UK/PM</t>
        </is>
      </c>
      <c r="B632" s="10" t="inlineStr">
        <is>
          <t>Book &amp; Kindle</t>
        </is>
      </c>
      <c r="C632" s="10" t="inlineStr">
        <is>
          <t>Family</t>
        </is>
      </c>
      <c r="D632" s="10">
        <f>IF(COUNTIF(Category!$A:$A,E632)&gt;0,"Yes","No")</f>
        <v/>
      </c>
      <c r="E632" s="10">
        <f>LEFT(A632,80)</f>
        <v/>
      </c>
      <c r="F632" s="10">
        <f>IF(OR(B632="Uncategorised",C632="",C632="Review"),"Needs category/owner",IF(D632="Yes","Already in Category","Add to Category"))</f>
        <v/>
      </c>
    </row>
    <row r="633">
      <c r="A633" s="10" t="inlineStr">
        <is>
          <t>AMAZON PRIME*7M54I5JM5 AMZN.CO.UK/PM</t>
        </is>
      </c>
      <c r="B633" s="10" t="inlineStr">
        <is>
          <t>Book &amp; Kindle</t>
        </is>
      </c>
      <c r="C633" s="10" t="inlineStr">
        <is>
          <t>Family</t>
        </is>
      </c>
      <c r="D633" s="10">
        <f>IF(COUNTIF(Category!$A:$A,E633)&gt;0,"Yes","No")</f>
        <v/>
      </c>
      <c r="E633" s="10">
        <f>LEFT(A633,80)</f>
        <v/>
      </c>
      <c r="F633" s="10">
        <f>IF(OR(B633="Uncategorised",C633="",C633="Review"),"Needs category/owner",IF(D633="Yes","Already in Category","Add to Category"))</f>
        <v/>
      </c>
    </row>
    <row r="634">
      <c r="A634" s="10" t="inlineStr">
        <is>
          <t>AMA ZON PRIME * 1 O 0 G 12 UG 5 AMZ N.CO.UK/PM</t>
        </is>
      </c>
      <c r="B634" s="10" t="inlineStr">
        <is>
          <t>Subscriptions</t>
        </is>
      </c>
      <c r="C634" s="10" t="inlineStr">
        <is>
          <t>Family</t>
        </is>
      </c>
      <c r="D634" s="10">
        <f>IF(COUNTIF(Category!$A:$A,E634)&gt;0,"Yes","No")</f>
        <v/>
      </c>
      <c r="E634" s="10">
        <f>LEFT(A634,80)</f>
        <v/>
      </c>
      <c r="F634" s="10">
        <f>IF(OR(B634="Uncategorised",C634="",C634="Review"),"Needs category/owner",IF(D634="Yes","Already in Category","Add to Category"))</f>
        <v/>
      </c>
    </row>
    <row r="635">
      <c r="A635" s="10" t="inlineStr">
        <is>
          <t>AMAZON PRIME*BV1JF4LD5 AMZN.CO.UK/PM</t>
        </is>
      </c>
      <c r="B635" s="10" t="inlineStr">
        <is>
          <t>Book &amp; Kindle</t>
        </is>
      </c>
      <c r="C635" s="10" t="inlineStr">
        <is>
          <t>Family</t>
        </is>
      </c>
      <c r="D635" s="10">
        <f>IF(COUNTIF(Category!$A:$A,E635)&gt;0,"Yes","No")</f>
        <v/>
      </c>
      <c r="E635" s="10">
        <f>LEFT(A635,80)</f>
        <v/>
      </c>
      <c r="F635" s="10">
        <f>IF(OR(B635="Uncategorised",C635="",C635="Review"),"Needs category/owner",IF(D635="Yes","Already in Category","Add to Category"))</f>
        <v/>
      </c>
    </row>
    <row r="636">
      <c r="A636" s="10" t="inlineStr">
        <is>
          <t>AMAZON PRIME*TQ6OW4JL4 AMZN.CO.UK/PM</t>
        </is>
      </c>
      <c r="B636" s="10" t="inlineStr">
        <is>
          <t>Book &amp; Kindle</t>
        </is>
      </c>
      <c r="C636" s="10" t="inlineStr">
        <is>
          <t>Family</t>
        </is>
      </c>
      <c r="D636" s="10">
        <f>IF(COUNTIF(Category!$A:$A,E636)&gt;0,"Yes","No")</f>
        <v/>
      </c>
      <c r="E636" s="10">
        <f>LEFT(A636,80)</f>
        <v/>
      </c>
      <c r="F636" s="10">
        <f>IF(OR(B636="Uncategorised",C636="",C636="Review"),"Needs category/owner",IF(D636="Yes","Already in Category","Add to Category"))</f>
        <v/>
      </c>
    </row>
    <row r="637">
      <c r="A637" s="10" t="inlineStr">
        <is>
          <t>AMAZON PRIME*RN4VS3864 AMZN.CO.UK/PM</t>
        </is>
      </c>
      <c r="B637" s="10" t="inlineStr">
        <is>
          <t>Book &amp; Kindle</t>
        </is>
      </c>
      <c r="C637" s="10" t="inlineStr">
        <is>
          <t>Family</t>
        </is>
      </c>
      <c r="D637" s="10">
        <f>IF(COUNTIF(Category!$A:$A,E637)&gt;0,"Yes","No")</f>
        <v/>
      </c>
      <c r="E637" s="10">
        <f>LEFT(A637,80)</f>
        <v/>
      </c>
      <c r="F637" s="10">
        <f>IF(OR(B637="Uncategorised",C637="",C637="Review"),"Needs category/owner",IF(D637="Yes","Already in Category","Add to Category"))</f>
        <v/>
      </c>
    </row>
    <row r="638">
      <c r="A638" s="10" t="inlineStr">
        <is>
          <t>AMAZON PRIME*RB59H5X34 AMZN.CO.UK/PM</t>
        </is>
      </c>
      <c r="B638" s="10" t="inlineStr">
        <is>
          <t>Book &amp; Kindle</t>
        </is>
      </c>
      <c r="C638" s="10" t="inlineStr">
        <is>
          <t>Family</t>
        </is>
      </c>
      <c r="D638" s="10">
        <f>IF(COUNTIF(Category!$A:$A,E638)&gt;0,"Yes","No")</f>
        <v/>
      </c>
      <c r="E638" s="10">
        <f>LEFT(A638,80)</f>
        <v/>
      </c>
      <c r="F638" s="10">
        <f>IF(OR(B638="Uncategorised",C638="",C638="Review"),"Needs category/owner",IF(D638="Yes","Already in Category","Add to Category"))</f>
        <v/>
      </c>
    </row>
    <row r="639">
      <c r="A639" s="10" t="inlineStr">
        <is>
          <t>AMAZON PRIME*R62B79KF4 AMZN.CO.UK/PM</t>
        </is>
      </c>
      <c r="B639" s="10" t="inlineStr">
        <is>
          <t>Book &amp; Kindle</t>
        </is>
      </c>
      <c r="C639" s="10" t="inlineStr">
        <is>
          <t>Family</t>
        </is>
      </c>
      <c r="D639" s="10">
        <f>IF(COUNTIF(Category!$A:$A,E639)&gt;0,"Yes","No")</f>
        <v/>
      </c>
      <c r="E639" s="10">
        <f>LEFT(A639,80)</f>
        <v/>
      </c>
      <c r="F639" s="10">
        <f>IF(OR(B639="Uncategorised",C639="",C639="Review"),"Needs category/owner",IF(D639="Yes","Already in Category","Add to Category"))</f>
        <v/>
      </c>
    </row>
    <row r="640">
      <c r="A640" s="10" t="inlineStr">
        <is>
          <t>AMAZON PRIME*183PB3PK5 AMZN.CO.UK/PM</t>
        </is>
      </c>
      <c r="B640" s="10" t="inlineStr">
        <is>
          <t>Book &amp; Kindle</t>
        </is>
      </c>
      <c r="C640" s="10" t="inlineStr">
        <is>
          <t>Family</t>
        </is>
      </c>
      <c r="D640" s="10">
        <f>IF(COUNTIF(Category!$A:$A,E640)&gt;0,"Yes","No")</f>
        <v/>
      </c>
      <c r="E640" s="10">
        <f>LEFT(A640,80)</f>
        <v/>
      </c>
      <c r="F640" s="10">
        <f>IF(OR(B640="Uncategorised",C640="",C640="Review"),"Needs category/owner",IF(D640="Yes","Already in Category","Add to Category"))</f>
        <v/>
      </c>
    </row>
    <row r="641">
      <c r="A641" s="10" t="inlineStr">
        <is>
          <t>AMAZON PRIME*P82NB6WG5 AMZN.CO.UK/PM</t>
        </is>
      </c>
      <c r="B641" s="10" t="inlineStr">
        <is>
          <t>Book &amp; Kindle</t>
        </is>
      </c>
      <c r="C641" s="10" t="inlineStr">
        <is>
          <t>Family</t>
        </is>
      </c>
      <c r="D641" s="10">
        <f>IF(COUNTIF(Category!$A:$A,E641)&gt;0,"Yes","No")</f>
        <v/>
      </c>
      <c r="E641" s="10">
        <f>LEFT(A641,80)</f>
        <v/>
      </c>
      <c r="F641" s="10">
        <f>IF(OR(B641="Uncategorised",C641="",C641="Review"),"Needs category/owner",IF(D641="Yes","Already in Category","Add to Category"))</f>
        <v/>
      </c>
    </row>
    <row r="642">
      <c r="A642" s="10" t="inlineStr">
        <is>
          <t>OMUSUBI - IFC CENTRAL</t>
        </is>
      </c>
      <c r="B642" s="10" t="inlineStr">
        <is>
          <t>Food</t>
        </is>
      </c>
      <c r="C642" s="10" t="inlineStr">
        <is>
          <t>Family</t>
        </is>
      </c>
      <c r="D642" s="10">
        <f>IF(COUNTIF(Category!$A:$A,E642)&gt;0,"Yes","No")</f>
        <v/>
      </c>
      <c r="E642" s="10">
        <f>LEFT(A642,80)</f>
        <v/>
      </c>
      <c r="F642" s="10">
        <f>IF(OR(B642="Uncategorised",C642="",C642="Review"),"Needs category/owner",IF(D642="Yes","Already in Category","Add to Category"))</f>
        <v/>
      </c>
    </row>
    <row r="643">
      <c r="A643" s="10" t="inlineStr">
        <is>
          <t>AMAZON PRIME*R222J4AJ4 AMZN.CO.UK/PM</t>
        </is>
      </c>
      <c r="B643" s="10" t="inlineStr">
        <is>
          <t>Book &amp; Kindle</t>
        </is>
      </c>
      <c r="C643" s="10" t="inlineStr">
        <is>
          <t>Family</t>
        </is>
      </c>
      <c r="D643" s="10">
        <f>IF(COUNTIF(Category!$A:$A,E643)&gt;0,"Yes","No")</f>
        <v/>
      </c>
      <c r="E643" s="10">
        <f>LEFT(A643,80)</f>
        <v/>
      </c>
      <c r="F643" s="10">
        <f>IF(OR(B643="Uncategorised",C643="",C643="Review"),"Needs category/owner",IF(D643="Yes","Already in Category","Add to Category"))</f>
        <v/>
      </c>
    </row>
    <row r="644">
      <c r="A644" s="10" t="inlineStr">
        <is>
          <t>MANDARIN ORIENTAL-BOOK CENTRAL</t>
        </is>
      </c>
      <c r="B644" s="10" t="inlineStr">
        <is>
          <t>Uncategorised</t>
        </is>
      </c>
      <c r="C644" s="10" t="inlineStr">
        <is>
          <t>Review</t>
        </is>
      </c>
      <c r="D644" s="10">
        <f>IF(COUNTIF(Category!$A:$A,E644)&gt;0,"Yes","No")</f>
        <v/>
      </c>
      <c r="E644" s="10">
        <f>LEFT(A644,80)</f>
        <v/>
      </c>
      <c r="F644" s="10">
        <f>IF(OR(B644="Uncategorised",C644="",C644="Review"),"Needs category/owner",IF(D644="Yes","Already in Category","Add to Category"))</f>
        <v/>
      </c>
    </row>
    <row r="645">
      <c r="A645" s="10" t="inlineStr">
        <is>
          <t>AMAZON PRIME*PC0399TR5 AMZN.CO.UK/PM</t>
        </is>
      </c>
      <c r="B645" s="10" t="inlineStr">
        <is>
          <t>Book &amp; Kindle</t>
        </is>
      </c>
      <c r="C645" s="10" t="inlineStr">
        <is>
          <t>Family</t>
        </is>
      </c>
      <c r="D645" s="10">
        <f>IF(COUNTIF(Category!$A:$A,E645)&gt;0,"Yes","No")</f>
        <v/>
      </c>
      <c r="E645" s="10">
        <f>LEFT(A645,80)</f>
        <v/>
      </c>
      <c r="F645" s="10">
        <f>IF(OR(B645="Uncategorised",C645="",C645="Review"),"Needs category/owner",IF(D645="Yes","Already in Category","Add to Category"))</f>
        <v/>
      </c>
    </row>
    <row r="646">
      <c r="A646" s="10" t="inlineStr">
        <is>
          <t>GAR MIN ( EUROPE ) LI MITED SOUTHA MPTON</t>
        </is>
      </c>
      <c r="B646" s="10" t="inlineStr">
        <is>
          <t>Uncategorised</t>
        </is>
      </c>
      <c r="C646" s="10" t="inlineStr">
        <is>
          <t>Review</t>
        </is>
      </c>
      <c r="D646" s="10">
        <f>IF(COUNTIF(Category!$A:$A,E646)&gt;0,"Yes","No")</f>
        <v/>
      </c>
      <c r="E646" s="10">
        <f>LEFT(A646,80)</f>
        <v/>
      </c>
      <c r="F646" s="10">
        <f>IF(OR(B646="Uncategorised",C646="",C646="Review"),"Needs category/owner",IF(D646="Yes","Already in Category","Add to Category"))</f>
        <v/>
      </c>
    </row>
    <row r="647">
      <c r="A647" s="10" t="inlineStr">
        <is>
          <t>WHOLE FOODS HOUSE WOOLLAHRA</t>
        </is>
      </c>
      <c r="B647" s="10" t="inlineStr">
        <is>
          <t>Uncategorised</t>
        </is>
      </c>
      <c r="C647" s="10" t="inlineStr">
        <is>
          <t>Review</t>
        </is>
      </c>
      <c r="D647" s="10">
        <f>IF(COUNTIF(Category!$A:$A,E647)&gt;0,"Yes","No")</f>
        <v/>
      </c>
      <c r="E647" s="10">
        <f>LEFT(A647,80)</f>
        <v/>
      </c>
      <c r="F647" s="10">
        <f>IF(OR(B647="Uncategorised",C647="",C647="Review"),"Needs category/owner",IF(D647="Yes","Already in Category","Add to Category"))</f>
        <v/>
      </c>
    </row>
    <row r="648">
      <c r="A648" s="10" t="inlineStr">
        <is>
          <t>AMAZON PRIME*SO37B7S55 AMZN.CO.UK/PM</t>
        </is>
      </c>
      <c r="B648" s="10" t="inlineStr">
        <is>
          <t>Book &amp; Kindle</t>
        </is>
      </c>
      <c r="C648" s="10" t="inlineStr">
        <is>
          <t>Family</t>
        </is>
      </c>
      <c r="D648" s="10">
        <f>IF(COUNTIF(Category!$A:$A,E648)&gt;0,"Yes","No")</f>
        <v/>
      </c>
      <c r="E648" s="10">
        <f>LEFT(A648,80)</f>
        <v/>
      </c>
      <c r="F648" s="10">
        <f>IF(OR(B648="Uncategorised",C648="",C648="Review"),"Needs category/owner",IF(D648="Yes","Already in Category","Add to Category"))</f>
        <v/>
      </c>
    </row>
    <row r="649">
      <c r="A649" s="10" t="inlineStr">
        <is>
          <t>SUMUP*10 GREEN STREET BATH</t>
        </is>
      </c>
      <c r="B649" s="10" t="inlineStr">
        <is>
          <t>Pharmacy</t>
        </is>
      </c>
      <c r="C649" s="10" t="inlineStr">
        <is>
          <t>Su</t>
        </is>
      </c>
      <c r="D649" s="10">
        <f>IF(COUNTIF(Category!$A:$A,E649)&gt;0,"Yes","No")</f>
        <v/>
      </c>
      <c r="E649" s="10">
        <f>LEFT(A649,80)</f>
        <v/>
      </c>
      <c r="F649" s="10">
        <f>IF(OR(B649="Uncategorised",C649="",C649="Review"),"Needs category/owner",IF(D649="Yes","Already in Category","Add to Category"))</f>
        <v/>
      </c>
    </row>
    <row r="650">
      <c r="A650" s="10" t="inlineStr">
        <is>
          <t>SHELL SERVICE STATION 1 SAN MATEO</t>
        </is>
      </c>
      <c r="B650" s="10" t="inlineStr">
        <is>
          <t>Uncategorised</t>
        </is>
      </c>
      <c r="C650" s="10" t="inlineStr">
        <is>
          <t>Review</t>
        </is>
      </c>
      <c r="D650" s="10">
        <f>IF(COUNTIF(Category!$A:$A,E650)&gt;0,"Yes","No")</f>
        <v/>
      </c>
      <c r="E650" s="10">
        <f>LEFT(A650,80)</f>
        <v/>
      </c>
      <c r="F650" s="10">
        <f>IF(OR(B650="Uncategorised",C650="",C650="Review"),"Needs category/owner",IF(D650="Yes","Already in Category","Add to Category"))</f>
        <v/>
      </c>
    </row>
    <row r="651">
      <c r="A651" s="10" t="inlineStr">
        <is>
          <t>PARK HYATT Niseko DELI *</t>
        </is>
      </c>
      <c r="B651" s="10" t="inlineStr">
        <is>
          <t>Uncategorised</t>
        </is>
      </c>
      <c r="C651" s="10" t="inlineStr">
        <is>
          <t>Review</t>
        </is>
      </c>
      <c r="D651" s="10">
        <f>IF(COUNTIF(Category!$A:$A,E651)&gt;0,"Yes","No")</f>
        <v/>
      </c>
      <c r="E651" s="10">
        <f>LEFT(A651,80)</f>
        <v/>
      </c>
      <c r="F651" s="10">
        <f>IF(OR(B651="Uncategorised",C651="",C651="Review"),"Needs category/owner",IF(D651="Yes","Already in Category","Add to Category"))</f>
        <v/>
      </c>
    </row>
    <row r="652">
      <c r="A652" s="10" t="inlineStr">
        <is>
          <t>28862 SYDNEY</t>
        </is>
      </c>
      <c r="B652" s="10" t="inlineStr">
        <is>
          <t>Uncategorised</t>
        </is>
      </c>
      <c r="C652" s="10" t="inlineStr">
        <is>
          <t>Review</t>
        </is>
      </c>
      <c r="D652" s="10">
        <f>IF(COUNTIF(Category!$A:$A,E652)&gt;0,"Yes","No")</f>
        <v/>
      </c>
      <c r="E652" s="10">
        <f>LEFT(A652,80)</f>
        <v/>
      </c>
      <c r="F652" s="10">
        <f>IF(OR(B652="Uncategorised",C652="",C652="Review"),"Needs category/owner",IF(D652="Yes","Already in Category","Add to Category"))</f>
        <v/>
      </c>
    </row>
    <row r="653">
      <c r="A653" s="10" t="inlineStr">
        <is>
          <t>BAKER BLEU DOUBLE BAY Double Bay</t>
        </is>
      </c>
      <c r="B653" s="10" t="inlineStr">
        <is>
          <t>Food</t>
        </is>
      </c>
      <c r="C653" s="10" t="inlineStr">
        <is>
          <t>Family</t>
        </is>
      </c>
      <c r="D653" s="10">
        <f>IF(COUNTIF(Category!$A:$A,E653)&gt;0,"Yes","No")</f>
        <v/>
      </c>
      <c r="E653" s="10">
        <f>LEFT(A653,80)</f>
        <v/>
      </c>
      <c r="F653" s="10">
        <f>IF(OR(B653="Uncategorised",C653="",C653="Review"),"Needs category/owner",IF(D653="Yes","Already in Category","Add to Category"))</f>
        <v/>
      </c>
    </row>
    <row r="654">
      <c r="A654" s="10" t="inlineStr">
        <is>
          <t>TOKYO NIHONKOTSU KYOTO KYOTO</t>
        </is>
      </c>
      <c r="B654" s="10" t="inlineStr">
        <is>
          <t>Uncategorised</t>
        </is>
      </c>
      <c r="C654" s="10" t="inlineStr">
        <is>
          <t>Review</t>
        </is>
      </c>
      <c r="D654" s="10">
        <f>IF(COUNTIF(Category!$A:$A,E654)&gt;0,"Yes","No")</f>
        <v/>
      </c>
      <c r="E654" s="10">
        <f>LEFT(A654,80)</f>
        <v/>
      </c>
      <c r="F654" s="10">
        <f>IF(OR(B654="Uncategorised",C654="",C654="Review"),"Needs category/owner",IF(D654="Yes","Already in Category","Add to Category"))</f>
        <v/>
      </c>
    </row>
    <row r="655">
      <c r="A655" s="10" t="inlineStr">
        <is>
          <t>HUM BLE COFFEE&amp; BAKERY 74 SURRY HILLS</t>
        </is>
      </c>
      <c r="B655" s="10" t="inlineStr">
        <is>
          <t>Food</t>
        </is>
      </c>
      <c r="C655" s="10" t="inlineStr">
        <is>
          <t>Family</t>
        </is>
      </c>
      <c r="D655" s="10">
        <f>IF(COUNTIF(Category!$A:$A,E655)&gt;0,"Yes","No")</f>
        <v/>
      </c>
      <c r="E655" s="10">
        <f>LEFT(A655,80)</f>
        <v/>
      </c>
      <c r="F655" s="10">
        <f>IF(OR(B655="Uncategorised",C655="",C655="Review"),"Needs category/owner",IF(D655="Yes","Already in Category","Add to Category"))</f>
        <v/>
      </c>
    </row>
    <row r="656">
      <c r="A656" s="10" t="inlineStr">
        <is>
          <t>LITTLE COVE ESPRESSO 00 HONG KONG</t>
        </is>
      </c>
      <c r="B656" s="10" t="inlineStr">
        <is>
          <t>Uncategorised</t>
        </is>
      </c>
      <c r="C656" s="10" t="inlineStr">
        <is>
          <t>Review</t>
        </is>
      </c>
      <c r="D656" s="10">
        <f>IF(COUNTIF(Category!$A:$A,E656)&gt;0,"Yes","No")</f>
        <v/>
      </c>
      <c r="E656" s="10">
        <f>LEFT(A656,80)</f>
        <v/>
      </c>
      <c r="F656" s="10">
        <f>IF(OR(B656="Uncategorised",C656="",C656="Review"),"Needs category/owner",IF(D656="Yes","Already in Category","Add to Category"))</f>
        <v/>
      </c>
    </row>
    <row r="657">
      <c r="A657" s="10" t="inlineStr">
        <is>
          <t>BB MSL * I sl e t Co ff ee La b HK</t>
        </is>
      </c>
      <c r="B657" s="10" t="inlineStr">
        <is>
          <t>Uncategorised</t>
        </is>
      </c>
      <c r="C657" s="10" t="inlineStr">
        <is>
          <t>Review</t>
        </is>
      </c>
      <c r="D657" s="10">
        <f>IF(COUNTIF(Category!$A:$A,E657)&gt;0,"Yes","No")</f>
        <v/>
      </c>
      <c r="E657" s="10">
        <f>LEFT(A657,80)</f>
        <v/>
      </c>
      <c r="F657" s="10">
        <f>IF(OR(B657="Uncategorised",C657="",C657="Review"),"Needs category/owner",IF(D657="Yes","Already in Category","Add to Category"))</f>
        <v/>
      </c>
    </row>
    <row r="658">
      <c r="A658" s="10" t="inlineStr">
        <is>
          <t>TAX I 1 PTY LTD BOTANY</t>
        </is>
      </c>
      <c r="B658" s="10" t="inlineStr">
        <is>
          <t>Uncategorised</t>
        </is>
      </c>
      <c r="C658" s="10" t="inlineStr">
        <is>
          <t>Review</t>
        </is>
      </c>
      <c r="D658" s="10">
        <f>IF(COUNTIF(Category!$A:$A,E658)&gt;0,"Yes","No")</f>
        <v/>
      </c>
      <c r="E658" s="10">
        <f>LEFT(A658,80)</f>
        <v/>
      </c>
      <c r="F658" s="10">
        <f>IF(OR(B658="Uncategorised",C658="",C658="Review"),"Needs category/owner",IF(D658="Yes","Already in Category","Add to Category"))</f>
        <v/>
      </c>
    </row>
    <row r="659">
      <c r="A659" s="10" t="inlineStr">
        <is>
          <t>COLES SURRY HILLS 7671 REDFERN</t>
        </is>
      </c>
      <c r="B659" s="10" t="inlineStr">
        <is>
          <t>Uncategorised</t>
        </is>
      </c>
      <c r="C659" s="10" t="inlineStr">
        <is>
          <t>Review</t>
        </is>
      </c>
      <c r="D659" s="10">
        <f>IF(COUNTIF(Category!$A:$A,E659)&gt;0,"Yes","No")</f>
        <v/>
      </c>
      <c r="E659" s="10">
        <f>LEFT(A659,80)</f>
        <v/>
      </c>
      <c r="F659" s="10">
        <f>IF(OR(B659="Uncategorised",C659="",C659="Review"),"Needs category/owner",IF(D659="Yes","Already in Category","Add to Category"))</f>
        <v/>
      </c>
    </row>
    <row r="660">
      <c r="A660" s="10" t="inlineStr">
        <is>
          <t>KYOTO FUYA RYU RYOKU AI KYOTO</t>
        </is>
      </c>
      <c r="B660" s="10" t="inlineStr">
        <is>
          <t>Uncategorised</t>
        </is>
      </c>
      <c r="C660" s="10" t="inlineStr">
        <is>
          <t>Review</t>
        </is>
      </c>
      <c r="D660" s="10">
        <f>IF(COUNTIF(Category!$A:$A,E660)&gt;0,"Yes","No")</f>
        <v/>
      </c>
      <c r="E660" s="10">
        <f>LEFT(A660,80)</f>
        <v/>
      </c>
      <c r="F660" s="10">
        <f>IF(OR(B660="Uncategorised",C660="",C660="Review"),"Needs category/owner",IF(D660="Yes","Already in Category","Add to Category"))</f>
        <v/>
      </c>
    </row>
    <row r="661">
      <c r="A661" s="10" t="inlineStr">
        <is>
          <t>RAKUTENPAY NS TAXI KYOTO</t>
        </is>
      </c>
      <c r="B661" s="10" t="inlineStr">
        <is>
          <t>Transport</t>
        </is>
      </c>
      <c r="C661" s="10" t="inlineStr">
        <is>
          <t>Su</t>
        </is>
      </c>
      <c r="D661" s="10">
        <f>IF(COUNTIF(Category!$A:$A,E661)&gt;0,"Yes","No")</f>
        <v/>
      </c>
      <c r="E661" s="10">
        <f>LEFT(A661,80)</f>
        <v/>
      </c>
      <c r="F661" s="10">
        <f>IF(OR(B661="Uncategorised",C661="",C661="Review"),"Needs category/owner",IF(D661="Yes","Already in Category","Add to Category"))</f>
        <v/>
      </c>
    </row>
    <row r="662">
      <c r="A662" s="10" t="inlineStr">
        <is>
          <t>FOURSTONES PARNASMALL SEOUL</t>
        </is>
      </c>
      <c r="B662" s="10" t="inlineStr">
        <is>
          <t>Uncategorised</t>
        </is>
      </c>
      <c r="C662" s="10" t="inlineStr">
        <is>
          <t>Review</t>
        </is>
      </c>
      <c r="D662" s="10">
        <f>IF(COUNTIF(Category!$A:$A,E662)&gt;0,"Yes","No")</f>
        <v/>
      </c>
      <c r="E662" s="10">
        <f>LEFT(A662,80)</f>
        <v/>
      </c>
      <c r="F662" s="10">
        <f>IF(OR(B662="Uncategorised",C662="",C662="Review"),"Needs category/owner",IF(D662="Yes","Already in Category","Add to Category"))</f>
        <v/>
      </c>
    </row>
    <row r="663">
      <c r="A663" s="10" t="inlineStr">
        <is>
          <t>MARKET PLACE - MAY ROAD THE PEAK</t>
        </is>
      </c>
      <c r="B663" s="10" t="inlineStr">
        <is>
          <t>Uncategorised</t>
        </is>
      </c>
      <c r="C663" s="10" t="inlineStr">
        <is>
          <t>Review</t>
        </is>
      </c>
      <c r="D663" s="10">
        <f>IF(COUNTIF(Category!$A:$A,E663)&gt;0,"Yes","No")</f>
        <v/>
      </c>
      <c r="E663" s="10">
        <f>LEFT(A663,80)</f>
        <v/>
      </c>
      <c r="F663" s="10">
        <f>IF(OR(B663="Uncategorised",C663="",C663="Review"),"Needs category/owner",IF(D663="Yes","Already in Category","Add to Category"))</f>
        <v/>
      </c>
    </row>
    <row r="664">
      <c r="A664" s="10" t="inlineStr">
        <is>
          <t>TRANSPORTFORNSWTRAVEL SYDNEY</t>
        </is>
      </c>
      <c r="B664" s="10" t="inlineStr">
        <is>
          <t>Transport</t>
        </is>
      </c>
      <c r="C664" s="10" t="inlineStr">
        <is>
          <t>Family</t>
        </is>
      </c>
      <c r="D664" s="10">
        <f>IF(COUNTIF(Category!$A:$A,E664)&gt;0,"Yes","No")</f>
        <v/>
      </c>
      <c r="E664" s="10">
        <f>LEFT(A664,80)</f>
        <v/>
      </c>
      <c r="F664" s="10">
        <f>IF(OR(B664="Uncategorised",C664="",C664="Review"),"Needs category/owner",IF(D664="Yes","Already in Category","Add to Category"))</f>
        <v/>
      </c>
    </row>
    <row r="665">
      <c r="A665" s="10" t="inlineStr">
        <is>
          <t>LS &amp; PARTNERS @ LA XLLC LOS ANGELES</t>
        </is>
      </c>
      <c r="B665" s="10" t="inlineStr">
        <is>
          <t>Uncategorised</t>
        </is>
      </c>
      <c r="C665" s="10" t="inlineStr">
        <is>
          <t>Review</t>
        </is>
      </c>
      <c r="D665" s="10">
        <f>IF(COUNTIF(Category!$A:$A,E665)&gt;0,"Yes","No")</f>
        <v/>
      </c>
      <c r="E665" s="10">
        <f>LEFT(A665,80)</f>
        <v/>
      </c>
      <c r="F665" s="10">
        <f>IF(OR(B665="Uncategorised",C665="",C665="Review"),"Needs category/owner",IF(D665="Yes","Already in Category","Add to Category"))</f>
        <v/>
      </c>
    </row>
    <row r="666">
      <c r="A666" s="10" t="inlineStr">
        <is>
          <t>SA WAMURAKYUKARUIZ A W ANAGANO</t>
        </is>
      </c>
      <c r="B666" s="10" t="inlineStr">
        <is>
          <t>Food</t>
        </is>
      </c>
      <c r="C666" s="10" t="inlineStr">
        <is>
          <t>Family</t>
        </is>
      </c>
      <c r="D666" s="10">
        <f>IF(COUNTIF(Category!$A:$A,E666)&gt;0,"Yes","No")</f>
        <v/>
      </c>
      <c r="E666" s="10">
        <f>LEFT(A666,80)</f>
        <v/>
      </c>
      <c r="F666" s="10">
        <f>IF(OR(B666="Uncategorised",C666="",C666="Review"),"Needs category/owner",IF(D666="Yes","Already in Category","Add to Category"))</f>
        <v/>
      </c>
    </row>
    <row r="667">
      <c r="A667" s="10" t="inlineStr">
        <is>
          <t>MONOCLE HKGR22 00000000 HONG KONG</t>
        </is>
      </c>
      <c r="B667" s="10" t="inlineStr">
        <is>
          <t>Uncategorised</t>
        </is>
      </c>
      <c r="C667" s="10" t="inlineStr">
        <is>
          <t>Review</t>
        </is>
      </c>
      <c r="D667" s="10">
        <f>IF(COUNTIF(Category!$A:$A,E667)&gt;0,"Yes","No")</f>
        <v/>
      </c>
      <c r="E667" s="10">
        <f>LEFT(A667,80)</f>
        <v/>
      </c>
      <c r="F667" s="10">
        <f>IF(OR(B667="Uncategorised",C667="",C667="Review"),"Needs category/owner",IF(D667="Yes","Already in Category","Add to Category"))</f>
        <v/>
      </c>
    </row>
    <row r="668">
      <c r="A668" s="10" t="inlineStr">
        <is>
          <t>POL BASED HANNAM KEOPISE SEOUL</t>
        </is>
      </c>
      <c r="B668" s="10" t="inlineStr">
        <is>
          <t>Uncategorised</t>
        </is>
      </c>
      <c r="C668" s="10" t="inlineStr">
        <is>
          <t>Review</t>
        </is>
      </c>
      <c r="D668" s="10">
        <f>IF(COUNTIF(Category!$A:$A,E668)&gt;0,"Yes","No")</f>
        <v/>
      </c>
      <c r="E668" s="10">
        <f>LEFT(A668,80)</f>
        <v/>
      </c>
      <c r="F668" s="10">
        <f>IF(OR(B668="Uncategorised",C668="",C668="Review"),"Needs category/owner",IF(D668="Yes","Already in Category","Add to Category"))</f>
        <v/>
      </c>
    </row>
    <row r="669">
      <c r="A669" s="10" t="inlineStr">
        <is>
          <t>Skye Cafe meng t ian j u n</t>
        </is>
      </c>
      <c r="B669" s="10" t="inlineStr">
        <is>
          <t>Dining out</t>
        </is>
      </c>
      <c r="C669" s="10" t="inlineStr">
        <is>
          <t>Family</t>
        </is>
      </c>
      <c r="D669" s="10">
        <f>IF(COUNTIF(Category!$A:$A,E669)&gt;0,"Yes","No")</f>
        <v/>
      </c>
      <c r="E669" s="10">
        <f>LEFT(A669,80)</f>
        <v/>
      </c>
      <c r="F669" s="10">
        <f>IF(OR(B669="Uncategorised",C669="",C669="Review"),"Needs category/owner",IF(D669="Yes","Already in Category","Add to Category"))</f>
        <v/>
      </c>
    </row>
    <row r="670">
      <c r="A670" s="10" t="inlineStr">
        <is>
          <t>MOUNTAIN KIOSK CO FF EE meng t ian j u n</t>
        </is>
      </c>
      <c r="B670" s="10" t="inlineStr">
        <is>
          <t>Food</t>
        </is>
      </c>
      <c r="C670" s="10" t="inlineStr">
        <is>
          <t>Family</t>
        </is>
      </c>
      <c r="D670" s="10">
        <f>IF(COUNTIF(Category!$A:$A,E670)&gt;0,"Yes","No")</f>
        <v/>
      </c>
      <c r="E670" s="10">
        <f>LEFT(A670,80)</f>
        <v/>
      </c>
      <c r="F670" s="10">
        <f>IF(OR(B670="Uncategorised",C670="",C670="Review"),"Needs category/owner",IF(D670="Yes","Already in Category","Add to Category"))</f>
        <v/>
      </c>
    </row>
    <row r="671">
      <c r="A671" s="10" t="inlineStr">
        <is>
          <t>THIS WAY CANTEEN SYDNEY</t>
        </is>
      </c>
      <c r="B671" s="10" t="inlineStr">
        <is>
          <t>Uncategorised</t>
        </is>
      </c>
      <c r="C671" s="10" t="inlineStr">
        <is>
          <t>Review</t>
        </is>
      </c>
      <c r="D671" s="10">
        <f>IF(COUNTIF(Category!$A:$A,E671)&gt;0,"Yes","No")</f>
        <v/>
      </c>
      <c r="E671" s="10">
        <f>LEFT(A671,80)</f>
        <v/>
      </c>
      <c r="F671" s="10">
        <f>IF(OR(B671="Uncategorised",C671="",C671="Review"),"Needs category/owner",IF(D671="Yes","Already in Category","Add to Category"))</f>
        <v/>
      </c>
    </row>
    <row r="672">
      <c r="A672" s="10" t="inlineStr">
        <is>
          <t>UMEZONOSANJOTERAMACHI AKYOTO</t>
        </is>
      </c>
      <c r="B672" s="10" t="inlineStr">
        <is>
          <t>Food</t>
        </is>
      </c>
      <c r="C672" s="10" t="inlineStr">
        <is>
          <t>Family</t>
        </is>
      </c>
      <c r="D672" s="10">
        <f>IF(COUNTIF(Category!$A:$A,E672)&gt;0,"Yes","No")</f>
        <v/>
      </c>
      <c r="E672" s="10">
        <f>LEFT(A672,80)</f>
        <v/>
      </c>
      <c r="F672" s="10">
        <f>IF(OR(B672="Uncategorised",C672="",C672="Review"),"Needs category/owner",IF(D672="Yes","Already in Category","Add to Category"))</f>
        <v/>
      </c>
    </row>
    <row r="673">
      <c r="A673" s="10" t="inlineStr">
        <is>
          <t>He ll o Pharmacy INCHEON</t>
        </is>
      </c>
      <c r="B673" s="10" t="inlineStr">
        <is>
          <t>Uncategorised</t>
        </is>
      </c>
      <c r="C673" s="10" t="inlineStr">
        <is>
          <t>Review</t>
        </is>
      </c>
      <c r="D673" s="10">
        <f>IF(COUNTIF(Category!$A:$A,E673)&gt;0,"Yes","No")</f>
        <v/>
      </c>
      <c r="E673" s="10">
        <f>LEFT(A673,80)</f>
        <v/>
      </c>
      <c r="F673" s="10">
        <f>IF(OR(B673="Uncategorised",C673="",C673="Review"),"Needs category/owner",IF(D673="Yes","Already in Category","Add to Category"))</f>
        <v/>
      </c>
    </row>
    <row r="674">
      <c r="A674" s="10" t="inlineStr">
        <is>
          <t>TUCKERBOX Paddington</t>
        </is>
      </c>
      <c r="B674" s="10" t="inlineStr">
        <is>
          <t>Food</t>
        </is>
      </c>
      <c r="C674" s="10" t="inlineStr">
        <is>
          <t>Family</t>
        </is>
      </c>
      <c r="D674" s="10">
        <f>IF(COUNTIF(Category!$A:$A,E674)&gt;0,"Yes","No")</f>
        <v/>
      </c>
      <c r="E674" s="10">
        <f>LEFT(A674,80)</f>
        <v/>
      </c>
      <c r="F674" s="10">
        <f>IF(OR(B674="Uncategorised",C674="",C674="Review"),"Needs category/owner",IF(D674="Yes","Already in Category","Add to Category"))</f>
        <v/>
      </c>
    </row>
    <row r="675">
      <c r="A675" s="10" t="inlineStr">
        <is>
          <t>( JOO ) OSEOLLOK JEOI JOOJ E J U-DO</t>
        </is>
      </c>
      <c r="B675" s="10" t="inlineStr">
        <is>
          <t>Dining out</t>
        </is>
      </c>
      <c r="C675" s="10" t="inlineStr">
        <is>
          <t>Family</t>
        </is>
      </c>
      <c r="D675" s="10">
        <f>IF(COUNTIF(Category!$A:$A,E675)&gt;0,"Yes","No")</f>
        <v/>
      </c>
      <c r="E675" s="10">
        <f>LEFT(A675,80)</f>
        <v/>
      </c>
      <c r="F675" s="10">
        <f>IF(OR(B675="Uncategorised",C675="",C675="Review"),"Needs category/owner",IF(D675="Yes","Already in Category","Add to Category"))</f>
        <v/>
      </c>
    </row>
    <row r="676">
      <c r="A676" s="10" t="inlineStr">
        <is>
          <t>KPAY * TROIS 000000000000 HONG KONG</t>
        </is>
      </c>
      <c r="B676" s="10" t="inlineStr">
        <is>
          <t>Uncategorised</t>
        </is>
      </c>
      <c r="C676" s="10" t="inlineStr">
        <is>
          <t>Review</t>
        </is>
      </c>
      <c r="D676" s="10">
        <f>IF(COUNTIF(Category!$A:$A,E676)&gt;0,"Yes","No")</f>
        <v/>
      </c>
      <c r="E676" s="10">
        <f>LEFT(A676,80)</f>
        <v/>
      </c>
      <c r="F676" s="10">
        <f>IF(OR(B676="Uncategorised",C676="",C676="Review"),"Needs category/owner",IF(D676="Yes","Already in Category","Add to Category"))</f>
        <v/>
      </c>
    </row>
    <row r="677">
      <c r="A677" s="10" t="inlineStr">
        <is>
          <t>SEICOMART NISEKOHIRAFU HOKKAIDO</t>
        </is>
      </c>
      <c r="B677" s="10" t="inlineStr">
        <is>
          <t>Uncategorised</t>
        </is>
      </c>
      <c r="C677" s="10" t="inlineStr">
        <is>
          <t>Review</t>
        </is>
      </c>
      <c r="D677" s="10">
        <f>IF(COUNTIF(Category!$A:$A,E677)&gt;0,"Yes","No")</f>
        <v/>
      </c>
      <c r="E677" s="10">
        <f>LEFT(A677,80)</f>
        <v/>
      </c>
      <c r="F677" s="10">
        <f>IF(OR(B677="Uncategorised",C677="",C677="Review"),"Needs category/owner",IF(D677="Yes","Already in Category","Add to Category"))</f>
        <v/>
      </c>
    </row>
    <row r="678">
      <c r="A678" s="10" t="inlineStr">
        <is>
          <t>EPHEMERA SEOUL</t>
        </is>
      </c>
      <c r="B678" s="10" t="inlineStr">
        <is>
          <t>Uncategorised</t>
        </is>
      </c>
      <c r="C678" s="10" t="inlineStr">
        <is>
          <t>Review</t>
        </is>
      </c>
      <c r="D678" s="10">
        <f>IF(COUNTIF(Category!$A:$A,E678)&gt;0,"Yes","No")</f>
        <v/>
      </c>
      <c r="E678" s="10">
        <f>LEFT(A678,80)</f>
        <v/>
      </c>
      <c r="F678" s="10">
        <f>IF(OR(B678="Uncategorised",C678="",C678="Review"),"Needs category/owner",IF(D678="Yes","Already in Category","Add to Category"))</f>
        <v/>
      </c>
    </row>
    <row r="679">
      <c r="A679" s="10" t="inlineStr">
        <is>
          <t>WW METRO 1669 CENTRAL SSURRY HILLS</t>
        </is>
      </c>
      <c r="B679" s="10" t="inlineStr">
        <is>
          <t>Uncategorised</t>
        </is>
      </c>
      <c r="C679" s="10" t="inlineStr">
        <is>
          <t>Review</t>
        </is>
      </c>
      <c r="D679" s="10">
        <f>IF(COUNTIF(Category!$A:$A,E679)&gt;0,"Yes","No")</f>
        <v/>
      </c>
      <c r="E679" s="10">
        <f>LEFT(A679,80)</f>
        <v/>
      </c>
      <c r="F679" s="10">
        <f>IF(OR(B679="Uncategorised",C679="",C679="Review"),"Needs category/owner",IF(D679="Yes","Already in Category","Add to Category"))</f>
        <v/>
      </c>
    </row>
    <row r="680">
      <c r="A680" s="10" t="inlineStr">
        <is>
          <t>KPAY*SILK TEA 000000000 HONG KONG</t>
        </is>
      </c>
      <c r="B680" s="10" t="inlineStr">
        <is>
          <t>Uncategorised</t>
        </is>
      </c>
      <c r="C680" s="10" t="inlineStr">
        <is>
          <t>Review</t>
        </is>
      </c>
      <c r="D680" s="10">
        <f>IF(COUNTIF(Category!$A:$A,E680)&gt;0,"Yes","No")</f>
        <v/>
      </c>
      <c r="E680" s="10">
        <f>LEFT(A680,80)</f>
        <v/>
      </c>
      <c r="F680" s="10">
        <f>IF(OR(B680="Uncategorised",C680="",C680="Review"),"Needs category/owner",IF(D680="Yes","Already in Category","Add to Category"))</f>
        <v/>
      </c>
    </row>
    <row r="681">
      <c r="A681" s="10" t="inlineStr">
        <is>
          <t>TFL TRAVEL CHARGE TFL.GOV.UK/CP</t>
        </is>
      </c>
      <c r="B681" s="10" t="inlineStr">
        <is>
          <t>Transport</t>
        </is>
      </c>
      <c r="C681" s="10" t="inlineStr">
        <is>
          <t>Family</t>
        </is>
      </c>
      <c r="D681" s="10">
        <f>IF(COUNTIF(Category!$A:$A,E681)&gt;0,"Yes","No")</f>
        <v/>
      </c>
      <c r="E681" s="10">
        <f>LEFT(A681,80)</f>
        <v/>
      </c>
      <c r="F681" s="10">
        <f>IF(OR(B681="Uncategorised",C681="",C681="Review"),"Needs category/owner",IF(D681="Yes","Already in Category","Add to Category"))</f>
        <v/>
      </c>
    </row>
    <row r="682">
      <c r="A682" s="10" t="inlineStr">
        <is>
          <t>WW METRO 1527 THE KITCH DOUBLE BAY</t>
        </is>
      </c>
      <c r="B682" s="10" t="inlineStr">
        <is>
          <t>Uncategorised</t>
        </is>
      </c>
      <c r="C682" s="10" t="inlineStr">
        <is>
          <t>Review</t>
        </is>
      </c>
      <c r="D682" s="10">
        <f>IF(COUNTIF(Category!$A:$A,E682)&gt;0,"Yes","No")</f>
        <v/>
      </c>
      <c r="E682" s="10">
        <f>LEFT(A682,80)</f>
        <v/>
      </c>
      <c r="F682" s="10">
        <f>IF(OR(B682="Uncategorised",C682="",C682="Review"),"Needs category/owner",IF(D682="Yes","Already in Category","Add to Category"))</f>
        <v/>
      </c>
    </row>
    <row r="683">
      <c r="A683" s="10" t="inlineStr">
        <is>
          <t>CHEVRON 0090206/CHEVRON MILLBRAE</t>
        </is>
      </c>
      <c r="B683" s="10" t="inlineStr">
        <is>
          <t>Uncategorised</t>
        </is>
      </c>
      <c r="C683" s="10" t="inlineStr">
        <is>
          <t>Review</t>
        </is>
      </c>
      <c r="D683" s="10">
        <f>IF(COUNTIF(Category!$A:$A,E683)&gt;0,"Yes","No")</f>
        <v/>
      </c>
      <c r="E683" s="10">
        <f>LEFT(A683,80)</f>
        <v/>
      </c>
      <c r="F683" s="10">
        <f>IF(OR(B683="Uncategorised",C683="",C683="Review"),"Needs category/owner",IF(D683="Yes","Already in Category","Add to Category"))</f>
        <v/>
      </c>
    </row>
    <row r="684">
      <c r="A684" s="10" t="inlineStr">
        <is>
          <t>LA WSON *</t>
        </is>
      </c>
      <c r="B684" s="10" t="inlineStr">
        <is>
          <t>Food</t>
        </is>
      </c>
      <c r="C684" s="10" t="inlineStr">
        <is>
          <t>Family</t>
        </is>
      </c>
      <c r="D684" s="10">
        <f>IF(COUNTIF(Category!$A:$A,E684)&gt;0,"Yes","No")</f>
        <v/>
      </c>
      <c r="E684" s="10">
        <f>LEFT(A684,80)</f>
        <v/>
      </c>
      <c r="F684" s="10">
        <f>IF(OR(B684="Uncategorised",C684="",C684="Review"),"Needs category/owner",IF(D684="Yes","Already in Category","Add to Category"))</f>
        <v/>
      </c>
    </row>
    <row r="685">
      <c r="A685" s="10" t="inlineStr">
        <is>
          <t>JIESEU 25 INCHEONGONGHANG INCHEON</t>
        </is>
      </c>
      <c r="B685" s="10" t="inlineStr">
        <is>
          <t>Uncategorised</t>
        </is>
      </c>
      <c r="C685" s="10" t="inlineStr">
        <is>
          <t>Review</t>
        </is>
      </c>
      <c r="D685" s="10">
        <f>IF(COUNTIF(Category!$A:$A,E685)&gt;0,"Yes","No")</f>
        <v/>
      </c>
      <c r="E685" s="10">
        <f>LEFT(A685,80)</f>
        <v/>
      </c>
      <c r="F685" s="10">
        <f>IF(OR(B685="Uncategorised",C685="",C685="Review"),"Needs category/owner",IF(D685="Yes","Already in Category","Add to Category"))</f>
        <v/>
      </c>
    </row>
    <row r="686">
      <c r="A686" s="10" t="inlineStr">
        <is>
          <t>COLD STORAGE FRESH KIM SINGAPORE</t>
        </is>
      </c>
      <c r="B686" s="10" t="inlineStr">
        <is>
          <t>Groceries</t>
        </is>
      </c>
      <c r="C686" s="10" t="inlineStr">
        <is>
          <t>Family</t>
        </is>
      </c>
      <c r="D686" s="10">
        <f>IF(COUNTIF(Category!$A:$A,E686)&gt;0,"Yes","No")</f>
        <v/>
      </c>
      <c r="E686" s="10">
        <f>LEFT(A686,80)</f>
        <v/>
      </c>
      <c r="F686" s="10">
        <f>IF(OR(B686="Uncategorised",C686="",C686="Review"),"Needs category/owner",IF(D686="Yes","Already in Category","Add to Category"))</f>
        <v/>
      </c>
    </row>
    <row r="687">
      <c r="A687" s="10" t="inlineStr">
        <is>
          <t>AMAZON.CO.UK*UW4HA5C25 353-12477661</t>
        </is>
      </c>
      <c r="B687" s="10" t="inlineStr">
        <is>
          <t>Book &amp; Kindle</t>
        </is>
      </c>
      <c r="C687" s="10" t="inlineStr">
        <is>
          <t>Family</t>
        </is>
      </c>
      <c r="D687" s="10">
        <f>IF(COUNTIF(Category!$A:$A,E687)&gt;0,"Yes","No")</f>
        <v/>
      </c>
      <c r="E687" s="10">
        <f>LEFT(A687,80)</f>
        <v/>
      </c>
      <c r="F687" s="10">
        <f>IF(OR(B687="Uncategorised",C687="",C687="Review"),"Needs category/owner",IF(D687="Yes","Already in Category","Add to Category"))</f>
        <v/>
      </c>
    </row>
    <row r="688">
      <c r="A688" s="10" t="inlineStr">
        <is>
          <t>PAYMENT RECEIVED THROUGH AUTOPAY</t>
        </is>
      </c>
      <c r="B688" s="10" t="inlineStr">
        <is>
          <t>Payment</t>
        </is>
      </c>
      <c r="C688" s="10" t="inlineStr">
        <is>
          <t>Payment</t>
        </is>
      </c>
      <c r="D688" s="10">
        <f>IF(COUNTIF(Category!$A:$A,E688)&gt;0,"Yes","No")</f>
        <v/>
      </c>
      <c r="E688" s="10">
        <f>LEFT(A688,80)</f>
        <v/>
      </c>
      <c r="F688" s="10">
        <f>IF(OR(B688="Uncategorised",C688="",C688="Review"),"Needs category/owner",IF(D688="Yes","Already in Category","Add to Category"))</f>
        <v/>
      </c>
    </row>
    <row r="689">
      <c r="A689" s="10" t="inlineStr">
        <is>
          <t>SP SOLACE LONDON LONDON</t>
        </is>
      </c>
      <c r="B689" s="10" t="inlineStr">
        <is>
          <t>Clothes &amp; Shoes</t>
        </is>
      </c>
      <c r="C689" s="10" t="inlineStr">
        <is>
          <t>Su</t>
        </is>
      </c>
      <c r="D689" s="10">
        <f>IF(COUNTIF(Category!$A:$A,E689)&gt;0,"Yes","No")</f>
        <v/>
      </c>
      <c r="E689" s="10">
        <f>LEFT(A689,80)</f>
        <v/>
      </c>
      <c r="F689" s="10">
        <f>IF(OR(B689="Uncategorised",C689="",C689="Review"),"Needs category/owner",IF(D689="Yes","Already in Category","Add to Category"))</f>
        <v/>
      </c>
    </row>
    <row r="690">
      <c r="A690" s="10" t="inlineStr">
        <is>
          <t>AUSTRALIA CUSTOMS 60800 CANBERRA</t>
        </is>
      </c>
      <c r="B690" s="10" t="inlineStr">
        <is>
          <t>Uncategorised</t>
        </is>
      </c>
      <c r="C690" s="10" t="inlineStr">
        <is>
          <t>Review</t>
        </is>
      </c>
      <c r="D690" s="10">
        <f>IF(COUNTIF(Category!$A:$A,E690)&gt;0,"Yes","No")</f>
        <v/>
      </c>
      <c r="E690" s="10">
        <f>LEFT(A690,80)</f>
        <v/>
      </c>
      <c r="F690" s="10">
        <f>IF(OR(B690="Uncategorised",C690="",C690="Review"),"Needs category/owner",IF(D690="Yes","Already in Category","Add to Category"))</f>
        <v/>
      </c>
    </row>
    <row r="691">
      <c r="A691" s="10" t="inlineStr">
        <is>
          <t>PAY MENT RECEIVED THROUGH AUTOPAY</t>
        </is>
      </c>
      <c r="B691" s="10" t="inlineStr">
        <is>
          <t>Payment</t>
        </is>
      </c>
      <c r="C691" s="10" t="inlineStr">
        <is>
          <t>Payment</t>
        </is>
      </c>
      <c r="D691" s="10">
        <f>IF(COUNTIF(Category!$A:$A,E691)&gt;0,"Yes","No")</f>
        <v/>
      </c>
      <c r="E691" s="10">
        <f>LEFT(A691,80)</f>
        <v/>
      </c>
      <c r="F691" s="10">
        <f>IF(OR(B691="Uncategorised",C691="",C691="Review"),"Needs category/owner",IF(D691="Yes","Already in Category","Add to Category"))</f>
        <v/>
      </c>
    </row>
    <row r="692">
      <c r="A692" s="10" t="inlineStr">
        <is>
          <t>TUMI ASIA LIMITED</t>
        </is>
      </c>
      <c r="B692" s="10" t="inlineStr">
        <is>
          <t>Uncategorised</t>
        </is>
      </c>
      <c r="C692" s="10" t="inlineStr">
        <is>
          <t>Review</t>
        </is>
      </c>
      <c r="D692" s="10">
        <f>IF(COUNTIF(Category!$A:$A,E692)&gt;0,"Yes","No")</f>
        <v/>
      </c>
      <c r="E692" s="10">
        <f>LEFT(A692,80)</f>
        <v/>
      </c>
      <c r="F692" s="10">
        <f>IF(OR(B692="Uncategorised",C692="",C692="Review"),"Needs category/owner",IF(D692="Yes","Already in Category","Add to Category"))</f>
        <v/>
      </c>
    </row>
  </sheetData>
  <autoFilter ref="A4:F692"/>
  <dataValidations count="2">
    <dataValidation sqref="B5:B1192" showDropDown="0" showInputMessage="0" showErrorMessage="0" allowBlank="0" type="list">
      <formula1>=Lists!$A$2:$A$36</formula1>
    </dataValidation>
    <dataValidation sqref="C5:C1192" showDropDown="0" showInputMessage="0" showErrorMessage="0" allowBlank="0" type="list">
      <formula1>=Lists!$B$2:$B$5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7" t="inlineStr">
        <is>
          <t>Categories</t>
        </is>
      </c>
      <c r="B1" s="7" t="inlineStr">
        <is>
          <t>Belongs To</t>
        </is>
      </c>
    </row>
    <row r="2">
      <c r="A2" t="inlineStr">
        <is>
          <t>Airfare</t>
        </is>
      </c>
      <c r="B2" t="inlineStr">
        <is>
          <t>Family</t>
        </is>
      </c>
    </row>
    <row r="3">
      <c r="A3" t="inlineStr">
        <is>
          <t>Art</t>
        </is>
      </c>
      <c r="B3" t="inlineStr">
        <is>
          <t>Payment</t>
        </is>
      </c>
    </row>
    <row r="4">
      <c r="A4" t="inlineStr">
        <is>
          <t>Beauty</t>
        </is>
      </c>
      <c r="B4" t="inlineStr">
        <is>
          <t>Review</t>
        </is>
      </c>
    </row>
    <row r="5">
      <c r="A5" t="inlineStr">
        <is>
          <t>Book &amp; Kindle</t>
        </is>
      </c>
      <c r="B5" t="inlineStr">
        <is>
          <t>Su</t>
        </is>
      </c>
    </row>
    <row r="6">
      <c r="A6" t="inlineStr">
        <is>
          <t>Charity</t>
        </is>
      </c>
    </row>
    <row r="7">
      <c r="A7" t="inlineStr">
        <is>
          <t>Clinic</t>
        </is>
      </c>
    </row>
    <row r="8">
      <c r="A8" t="inlineStr">
        <is>
          <t>Clothes &amp; Shoes</t>
        </is>
      </c>
    </row>
    <row r="9">
      <c r="A9" t="inlineStr">
        <is>
          <t>Dining out</t>
        </is>
      </c>
    </row>
    <row r="10">
      <c r="A10" t="inlineStr">
        <is>
          <t>Electronics</t>
        </is>
      </c>
    </row>
    <row r="11">
      <c r="A11" t="inlineStr">
        <is>
          <t>Entertainment</t>
        </is>
      </c>
    </row>
    <row r="12">
      <c r="A12" t="inlineStr">
        <is>
          <t>Fees</t>
        </is>
      </c>
    </row>
    <row r="13">
      <c r="A13" t="inlineStr">
        <is>
          <t>Fitness Equipment</t>
        </is>
      </c>
    </row>
    <row r="14">
      <c r="A14" t="inlineStr">
        <is>
          <t>Flowers</t>
        </is>
      </c>
    </row>
    <row r="15">
      <c r="A15" t="inlineStr">
        <is>
          <t>Food</t>
        </is>
      </c>
    </row>
    <row r="16">
      <c r="A16" t="inlineStr">
        <is>
          <t>Glasses</t>
        </is>
      </c>
    </row>
    <row r="17">
      <c r="A17" t="inlineStr">
        <is>
          <t>Groceries</t>
        </is>
      </c>
    </row>
    <row r="18">
      <c r="A18" t="inlineStr">
        <is>
          <t>Health</t>
        </is>
      </c>
    </row>
    <row r="19">
      <c r="A19" t="inlineStr">
        <is>
          <t>Hotel</t>
        </is>
      </c>
    </row>
    <row r="20">
      <c r="A20" t="inlineStr">
        <is>
          <t>Housewares</t>
        </is>
      </c>
    </row>
    <row r="21">
      <c r="A21" t="inlineStr">
        <is>
          <t>Jewellery</t>
        </is>
      </c>
    </row>
    <row r="22">
      <c r="A22" t="inlineStr">
        <is>
          <t>Massage</t>
        </is>
      </c>
    </row>
    <row r="23">
      <c r="A23" t="inlineStr">
        <is>
          <t>Membership</t>
        </is>
      </c>
    </row>
    <row r="24">
      <c r="A24" t="inlineStr">
        <is>
          <t>Misc</t>
        </is>
      </c>
    </row>
    <row r="25">
      <c r="A25" t="inlineStr">
        <is>
          <t>Payment</t>
        </is>
      </c>
    </row>
    <row r="26">
      <c r="A26" t="inlineStr">
        <is>
          <t>Pharmacy</t>
        </is>
      </c>
    </row>
    <row r="27">
      <c r="A27" t="inlineStr">
        <is>
          <t>Physiotherapy</t>
        </is>
      </c>
    </row>
    <row r="28">
      <c r="A28" t="inlineStr">
        <is>
          <t>Psychology</t>
        </is>
      </c>
    </row>
    <row r="29">
      <c r="A29" t="inlineStr">
        <is>
          <t>Salon</t>
        </is>
      </c>
    </row>
    <row r="30">
      <c r="A30" t="inlineStr">
        <is>
          <t>Sport</t>
        </is>
      </c>
    </row>
    <row r="31">
      <c r="A31" t="inlineStr">
        <is>
          <t>Subscriptions</t>
        </is>
      </c>
    </row>
    <row r="32">
      <c r="A32" t="inlineStr">
        <is>
          <t>Transport</t>
        </is>
      </c>
    </row>
    <row r="33">
      <c r="A33" t="inlineStr">
        <is>
          <t>Travel</t>
        </is>
      </c>
    </row>
    <row r="34">
      <c r="A34" t="inlineStr">
        <is>
          <t>Uncategorised</t>
        </is>
      </c>
    </row>
    <row r="35">
      <c r="A35" t="inlineStr">
        <is>
          <t>Wine</t>
        </is>
      </c>
    </row>
    <row r="36">
      <c r="A36" t="inlineStr">
        <is>
          <t>beauty</t>
        </is>
      </c>
    </row>
  </sheetData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25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</cols>
  <sheetData>
    <row r="1">
      <c r="A1" s="13" t="inlineStr">
        <is>
          <t>Match Text</t>
        </is>
      </c>
      <c r="B1" s="13" t="inlineStr">
        <is>
          <t>Category</t>
        </is>
      </c>
      <c r="C1" s="13" t="inlineStr">
        <is>
          <t>Belongs To</t>
        </is>
      </c>
    </row>
    <row r="2">
      <c r="A2" t="inlineStr">
        <is>
          <t>10 Green Street</t>
        </is>
      </c>
      <c r="B2" t="inlineStr">
        <is>
          <t>Pharmacy</t>
        </is>
      </c>
      <c r="C2" t="inlineStr">
        <is>
          <t>Su</t>
        </is>
      </c>
    </row>
    <row r="3">
      <c r="A3" t="inlineStr">
        <is>
          <t>45R</t>
        </is>
      </c>
      <c r="B3" t="inlineStr">
        <is>
          <t>Clothes &amp; Shoes</t>
        </is>
      </c>
      <c r="C3" t="inlineStr">
        <is>
          <t>Su</t>
        </is>
      </c>
    </row>
    <row r="4">
      <c r="A4" t="inlineStr">
        <is>
          <t>5 Hertford Street Limited</t>
        </is>
      </c>
      <c r="B4" t="inlineStr">
        <is>
          <t>Dining out</t>
        </is>
      </c>
      <c r="C4" t="inlineStr">
        <is>
          <t>Family</t>
        </is>
      </c>
    </row>
    <row r="5">
      <c r="A5" t="inlineStr">
        <is>
          <t>Agolde</t>
        </is>
      </c>
      <c r="B5" t="inlineStr">
        <is>
          <t>Clothes &amp; Shoes</t>
        </is>
      </c>
      <c r="C5" t="inlineStr">
        <is>
          <t>Su</t>
        </is>
      </c>
    </row>
    <row r="6">
      <c r="A6" t="inlineStr">
        <is>
          <t>Amathus</t>
        </is>
      </c>
      <c r="B6" t="inlineStr">
        <is>
          <t>Dining out</t>
        </is>
      </c>
      <c r="C6" t="inlineStr">
        <is>
          <t>Family</t>
        </is>
      </c>
    </row>
    <row r="7">
      <c r="A7" t="inlineStr">
        <is>
          <t>BA &amp; SH</t>
        </is>
      </c>
      <c r="B7" t="inlineStr">
        <is>
          <t>Clothes &amp; Shoes</t>
        </is>
      </c>
      <c r="C7" t="inlineStr">
        <is>
          <t>Su</t>
        </is>
      </c>
    </row>
    <row r="8">
      <c r="A8" t="inlineStr">
        <is>
          <t>Bloomingdales</t>
        </is>
      </c>
      <c r="B8" t="inlineStr">
        <is>
          <t>Clothes &amp; Shoes</t>
        </is>
      </c>
      <c r="C8" t="inlineStr">
        <is>
          <t>Su</t>
        </is>
      </c>
    </row>
    <row r="9">
      <c r="A9" t="inlineStr">
        <is>
          <t>Blue Ojai</t>
        </is>
      </c>
      <c r="B9" t="inlineStr">
        <is>
          <t>Housewares</t>
        </is>
      </c>
      <c r="C9" t="inlineStr">
        <is>
          <t>Family</t>
        </is>
      </c>
    </row>
    <row r="10">
      <c r="A10" t="inlineStr">
        <is>
          <t>Born in the sun</t>
        </is>
      </c>
      <c r="B10" t="inlineStr">
        <is>
          <t>Clothes &amp; Shoes</t>
        </is>
      </c>
      <c r="C10" t="inlineStr">
        <is>
          <t>Su</t>
        </is>
      </c>
    </row>
    <row r="11">
      <c r="A11" t="inlineStr">
        <is>
          <t>Caddis</t>
        </is>
      </c>
      <c r="B11" t="inlineStr">
        <is>
          <t>Glasses</t>
        </is>
      </c>
      <c r="C11" t="inlineStr">
        <is>
          <t>Su</t>
        </is>
      </c>
    </row>
    <row r="12">
      <c r="A12" t="inlineStr">
        <is>
          <t>Cettire</t>
        </is>
      </c>
      <c r="B12" t="inlineStr">
        <is>
          <t>Clothes &amp; Shoes</t>
        </is>
      </c>
      <c r="C12" t="inlineStr">
        <is>
          <t>Su</t>
        </is>
      </c>
    </row>
    <row r="13">
      <c r="A13" t="inlineStr">
        <is>
          <t>Chalkstream</t>
        </is>
      </c>
      <c r="B13" t="inlineStr">
        <is>
          <t>Food</t>
        </is>
      </c>
      <c r="C13" t="inlineStr">
        <is>
          <t>Family</t>
        </is>
      </c>
    </row>
    <row r="14">
      <c r="A14" t="inlineStr">
        <is>
          <t>Conde Nast</t>
        </is>
      </c>
      <c r="B14" t="inlineStr">
        <is>
          <t>Misc</t>
        </is>
      </c>
      <c r="C14" t="inlineStr">
        <is>
          <t>Family</t>
        </is>
      </c>
    </row>
    <row r="15">
      <c r="A15" t="inlineStr">
        <is>
          <t>Daphnes</t>
        </is>
      </c>
      <c r="B15" t="inlineStr">
        <is>
          <t>Dining out</t>
        </is>
      </c>
      <c r="C15" t="inlineStr">
        <is>
          <t>Family</t>
        </is>
      </c>
    </row>
    <row r="16">
      <c r="A16" t="inlineStr">
        <is>
          <t>DVN</t>
        </is>
      </c>
      <c r="B16" t="inlineStr">
        <is>
          <t>Clothes &amp; Shoes</t>
        </is>
      </c>
      <c r="C16" t="inlineStr">
        <is>
          <t>Su</t>
        </is>
      </c>
    </row>
    <row r="17">
      <c r="A17" t="inlineStr">
        <is>
          <t>Eades of Bath</t>
        </is>
      </c>
      <c r="B17" t="inlineStr">
        <is>
          <t>Groceries</t>
        </is>
      </c>
      <c r="C17" t="inlineStr">
        <is>
          <t>Family</t>
        </is>
      </c>
    </row>
    <row r="18">
      <c r="A18" t="inlineStr">
        <is>
          <t>Eataly</t>
        </is>
      </c>
      <c r="B18" t="inlineStr">
        <is>
          <t>Dining out</t>
        </is>
      </c>
      <c r="C18" t="inlineStr">
        <is>
          <t>Family</t>
        </is>
      </c>
    </row>
    <row r="19">
      <c r="A19" t="inlineStr">
        <is>
          <t>Farfetch</t>
        </is>
      </c>
      <c r="B19" t="inlineStr">
        <is>
          <t>Clothes &amp; Shoes</t>
        </is>
      </c>
      <c r="C19" t="inlineStr">
        <is>
          <t>Su</t>
        </is>
      </c>
    </row>
    <row r="20">
      <c r="A20" t="inlineStr">
        <is>
          <t>Garmin (Europe) Limited</t>
        </is>
      </c>
      <c r="B20" t="inlineStr">
        <is>
          <t>Fitness Equipment</t>
        </is>
      </c>
      <c r="C20" t="inlineStr">
        <is>
          <t>Family</t>
        </is>
      </c>
    </row>
    <row r="21">
      <c r="A21" t="inlineStr">
        <is>
          <t>Gentle People</t>
        </is>
      </c>
      <c r="B21" t="inlineStr">
        <is>
          <t>Clothes &amp; Shoes</t>
        </is>
      </c>
      <c r="C21" t="inlineStr">
        <is>
          <t>Su</t>
        </is>
      </c>
    </row>
    <row r="22">
      <c r="A22" t="inlineStr">
        <is>
          <t>Ippodo</t>
        </is>
      </c>
      <c r="B22" t="inlineStr">
        <is>
          <t>Food</t>
        </is>
      </c>
      <c r="C22" t="inlineStr">
        <is>
          <t>Family</t>
        </is>
      </c>
    </row>
    <row r="23">
      <c r="A23" t="inlineStr">
        <is>
          <t>Izakaya Full Moon</t>
        </is>
      </c>
      <c r="B23" t="inlineStr">
        <is>
          <t>Dining out</t>
        </is>
      </c>
      <c r="C23" t="inlineStr">
        <is>
          <t>Family</t>
        </is>
      </c>
    </row>
    <row r="24">
      <c r="A24" t="inlineStr">
        <is>
          <t>Kyoto Oden Masa</t>
        </is>
      </c>
      <c r="B24" t="inlineStr">
        <is>
          <t>Dining out</t>
        </is>
      </c>
      <c r="C24" t="inlineStr">
        <is>
          <t>Family</t>
        </is>
      </c>
    </row>
    <row r="25">
      <c r="A25" t="inlineStr">
        <is>
          <t>Landrace Bakery</t>
        </is>
      </c>
      <c r="B25" t="inlineStr">
        <is>
          <t>Dining out</t>
        </is>
      </c>
      <c r="C25" t="inlineStr">
        <is>
          <t>Family</t>
        </is>
      </c>
    </row>
    <row r="26">
      <c r="A26" t="inlineStr">
        <is>
          <t>Lanesborough Management Limited</t>
        </is>
      </c>
      <c r="B26" t="inlineStr">
        <is>
          <t>Dining out</t>
        </is>
      </c>
      <c r="C26" t="inlineStr">
        <is>
          <t>Family</t>
        </is>
      </c>
    </row>
    <row r="27">
      <c r="A27" t="inlineStr">
        <is>
          <t>Lark Ellen</t>
        </is>
      </c>
      <c r="B27" t="inlineStr">
        <is>
          <t>Food</t>
        </is>
      </c>
      <c r="C27" t="inlineStr">
        <is>
          <t>Family</t>
        </is>
      </c>
    </row>
    <row r="28">
      <c r="A28" t="inlineStr">
        <is>
          <t>Larq</t>
        </is>
      </c>
      <c r="B28" t="inlineStr">
        <is>
          <t>Misc</t>
        </is>
      </c>
      <c r="C28" t="inlineStr">
        <is>
          <t>Family</t>
        </is>
      </c>
    </row>
    <row r="29">
      <c r="A29" t="inlineStr">
        <is>
          <t>Liberty Retail</t>
        </is>
      </c>
      <c r="B29" t="inlineStr">
        <is>
          <t>Misc</t>
        </is>
      </c>
      <c r="C29" t="inlineStr">
        <is>
          <t>Family</t>
        </is>
      </c>
    </row>
    <row r="30">
      <c r="A30" t="inlineStr">
        <is>
          <t>MindNLife</t>
        </is>
      </c>
      <c r="B30" t="inlineStr">
        <is>
          <t>Psychology</t>
        </is>
      </c>
      <c r="C30" t="inlineStr">
        <is>
          <t>Su</t>
        </is>
      </c>
    </row>
    <row r="31">
      <c r="A31" t="inlineStr">
        <is>
          <t>Model Citizen</t>
        </is>
      </c>
      <c r="B31" t="inlineStr">
        <is>
          <t>Dining out</t>
        </is>
      </c>
      <c r="C31" t="inlineStr">
        <is>
          <t>Family</t>
        </is>
      </c>
    </row>
    <row r="32">
      <c r="A32" t="inlineStr">
        <is>
          <t>Mr B Emporium</t>
        </is>
      </c>
      <c r="B32" t="inlineStr">
        <is>
          <t>Book &amp; Kindle</t>
        </is>
      </c>
      <c r="C32" t="inlineStr">
        <is>
          <t>Family</t>
        </is>
      </c>
    </row>
    <row r="33">
      <c r="A33" t="inlineStr">
        <is>
          <t>Neighborhood</t>
        </is>
      </c>
      <c r="B33" t="inlineStr">
        <is>
          <t>Dining out</t>
        </is>
      </c>
      <c r="C33" t="inlineStr">
        <is>
          <t>Family</t>
        </is>
      </c>
    </row>
    <row r="34">
      <c r="A34" t="inlineStr">
        <is>
          <t>Net A Porter</t>
        </is>
      </c>
      <c r="B34" t="inlineStr">
        <is>
          <t>Clothes &amp; Shoes</t>
        </is>
      </c>
      <c r="C34" t="inlineStr">
        <is>
          <t>Su</t>
        </is>
      </c>
    </row>
    <row r="35">
      <c r="A35" t="inlineStr">
        <is>
          <t>Noted</t>
        </is>
      </c>
      <c r="B35" t="inlineStr">
        <is>
          <t>Misc</t>
        </is>
      </c>
      <c r="C35" t="inlineStr">
        <is>
          <t>Family</t>
        </is>
      </c>
    </row>
    <row r="36">
      <c r="A36" t="inlineStr">
        <is>
          <t>Number Sixteen</t>
        </is>
      </c>
      <c r="B36" t="inlineStr">
        <is>
          <t>Dining out</t>
        </is>
      </c>
      <c r="C36" t="inlineStr">
        <is>
          <t>Family</t>
        </is>
      </c>
    </row>
    <row r="37">
      <c r="A37" t="inlineStr">
        <is>
          <t>Number Three</t>
        </is>
      </c>
      <c r="B37" t="inlineStr">
        <is>
          <t>Salon</t>
        </is>
      </c>
      <c r="C37" t="inlineStr">
        <is>
          <t>Su</t>
        </is>
      </c>
    </row>
    <row r="38">
      <c r="A38" t="inlineStr">
        <is>
          <t>Outdoor Voices</t>
        </is>
      </c>
      <c r="B38" t="inlineStr">
        <is>
          <t>Clothes &amp; Shoes</t>
        </is>
      </c>
      <c r="C38" t="inlineStr">
        <is>
          <t>Su</t>
        </is>
      </c>
    </row>
    <row r="39">
      <c r="A39" t="inlineStr">
        <is>
          <t xml:space="preserve">Pavilion </t>
        </is>
      </c>
      <c r="B39" t="inlineStr">
        <is>
          <t>Dining out</t>
        </is>
      </c>
      <c r="C39" t="inlineStr">
        <is>
          <t>Family</t>
        </is>
      </c>
    </row>
    <row r="40">
      <c r="A40" t="inlineStr">
        <is>
          <t>Paxton &amp; Whitfield</t>
        </is>
      </c>
      <c r="B40" t="inlineStr">
        <is>
          <t>Food</t>
        </is>
      </c>
      <c r="C40" t="inlineStr">
        <is>
          <t>Family</t>
        </is>
      </c>
    </row>
    <row r="41">
      <c r="A41" t="inlineStr">
        <is>
          <t>Pinyon</t>
        </is>
      </c>
      <c r="B41" t="inlineStr">
        <is>
          <t>Dining out</t>
        </is>
      </c>
      <c r="C41" t="inlineStr">
        <is>
          <t>Family</t>
        </is>
      </c>
    </row>
    <row r="42">
      <c r="A42" t="inlineStr">
        <is>
          <t>Provenance Village Butc</t>
        </is>
      </c>
      <c r="B42" t="inlineStr">
        <is>
          <t>Food</t>
        </is>
      </c>
      <c r="C42" t="inlineStr">
        <is>
          <t>Family</t>
        </is>
      </c>
    </row>
    <row r="43">
      <c r="A43" t="inlineStr">
        <is>
          <t>Pure Practice i</t>
        </is>
      </c>
      <c r="B43" t="inlineStr">
        <is>
          <t>Physiotherapy</t>
        </is>
      </c>
      <c r="C43" t="inlineStr">
        <is>
          <t>Su</t>
        </is>
      </c>
    </row>
    <row r="44">
      <c r="A44" t="inlineStr">
        <is>
          <t>Rag &amp; Bone</t>
        </is>
      </c>
      <c r="B44" t="inlineStr">
        <is>
          <t>Clothes &amp; Shoes</t>
        </is>
      </c>
      <c r="C44" t="inlineStr">
        <is>
          <t>Su</t>
        </is>
      </c>
    </row>
    <row r="45">
      <c r="A45" t="inlineStr">
        <is>
          <t>Rainbow Bridge</t>
        </is>
      </c>
      <c r="B45" t="inlineStr">
        <is>
          <t>Food</t>
        </is>
      </c>
      <c r="C45" t="inlineStr">
        <is>
          <t>Family</t>
        </is>
      </c>
    </row>
    <row r="46">
      <c r="A46" t="inlineStr">
        <is>
          <t>Richemont</t>
        </is>
      </c>
      <c r="B46" t="inlineStr">
        <is>
          <t>Clothes &amp; Shoes</t>
        </is>
      </c>
      <c r="C46" t="inlineStr">
        <is>
          <t>Su</t>
        </is>
      </c>
    </row>
    <row r="47">
      <c r="A47" t="inlineStr">
        <is>
          <t>Staliptyltd</t>
        </is>
      </c>
      <c r="B47" t="inlineStr">
        <is>
          <t>Food</t>
        </is>
      </c>
      <c r="C47" t="inlineStr">
        <is>
          <t>Family</t>
        </is>
      </c>
    </row>
    <row r="48">
      <c r="A48" t="inlineStr">
        <is>
          <t>Sunday Designs</t>
        </is>
      </c>
      <c r="B48" t="inlineStr">
        <is>
          <t>Misc</t>
        </is>
      </c>
      <c r="C48" t="inlineStr">
        <is>
          <t>Family</t>
        </is>
      </c>
    </row>
    <row r="49">
      <c r="A49" t="inlineStr">
        <is>
          <t>Susanna Kaufmann</t>
        </is>
      </c>
      <c r="B49" t="inlineStr">
        <is>
          <t>beauty</t>
        </is>
      </c>
      <c r="C49" t="inlineStr">
        <is>
          <t>Family</t>
        </is>
      </c>
    </row>
    <row r="50">
      <c r="A50" t="inlineStr">
        <is>
          <t>Ten Feet Tall</t>
        </is>
      </c>
      <c r="B50" t="inlineStr">
        <is>
          <t>Massage</t>
        </is>
      </c>
      <c r="C50" t="inlineStr">
        <is>
          <t>Su</t>
        </is>
      </c>
    </row>
    <row r="51">
      <c r="A51" t="inlineStr">
        <is>
          <t>The Pure Practice</t>
        </is>
      </c>
      <c r="B51" t="inlineStr">
        <is>
          <t>Physiotherapy</t>
        </is>
      </c>
      <c r="C51" t="inlineStr">
        <is>
          <t>Su</t>
        </is>
      </c>
    </row>
    <row r="52">
      <c r="A52" t="inlineStr">
        <is>
          <t>Toku Unagi &amp; Sushi</t>
        </is>
      </c>
      <c r="B52" t="inlineStr">
        <is>
          <t>Dining out</t>
        </is>
      </c>
      <c r="C52" t="inlineStr">
        <is>
          <t>Family</t>
        </is>
      </c>
    </row>
    <row r="53">
      <c r="A53" t="inlineStr">
        <is>
          <t>Upstairs at Landrace</t>
        </is>
      </c>
      <c r="B53" t="inlineStr">
        <is>
          <t>Dining out</t>
        </is>
      </c>
      <c r="C53" t="inlineStr">
        <is>
          <t>Family</t>
        </is>
      </c>
    </row>
    <row r="54">
      <c r="A54" t="inlineStr">
        <is>
          <t>W H Smith</t>
        </is>
      </c>
      <c r="B54" t="inlineStr">
        <is>
          <t>Book &amp; Kindle</t>
        </is>
      </c>
      <c r="C54" t="inlineStr">
        <is>
          <t>Family</t>
        </is>
      </c>
    </row>
    <row r="55">
      <c r="A55" t="inlineStr">
        <is>
          <t>Waitrose</t>
        </is>
      </c>
      <c r="B55" t="inlineStr">
        <is>
          <t>Groceries</t>
        </is>
      </c>
      <c r="C55" t="inlineStr">
        <is>
          <t>Family</t>
        </is>
      </c>
    </row>
    <row r="56">
      <c r="A56" t="inlineStr">
        <is>
          <t>Wally's Santa Monica</t>
        </is>
      </c>
      <c r="B56" t="inlineStr">
        <is>
          <t>Dining out</t>
        </is>
      </c>
      <c r="C56" t="inlineStr">
        <is>
          <t>Family</t>
        </is>
      </c>
    </row>
    <row r="57">
      <c r="A57" t="inlineStr">
        <is>
          <t>Westridge Midtown Market</t>
        </is>
      </c>
      <c r="B57" t="inlineStr">
        <is>
          <t>Groceries</t>
        </is>
      </c>
      <c r="C57" t="inlineStr">
        <is>
          <t>Family</t>
        </is>
      </c>
    </row>
    <row r="58">
      <c r="A58" t="inlineStr">
        <is>
          <t>With Reach</t>
        </is>
      </c>
      <c r="B58" t="inlineStr">
        <is>
          <t>Misc</t>
        </is>
      </c>
      <c r="C58" t="inlineStr">
        <is>
          <t>Family</t>
        </is>
      </c>
    </row>
    <row r="59">
      <c r="A59" t="inlineStr">
        <is>
          <t xml:space="preserve">Zadig &amp; Voltaire </t>
        </is>
      </c>
      <c r="B59" t="inlineStr">
        <is>
          <t>Clothes &amp; Shoes</t>
        </is>
      </c>
      <c r="C59" t="inlineStr">
        <is>
          <t>Su</t>
        </is>
      </c>
    </row>
    <row r="60">
      <c r="A60" t="inlineStr">
        <is>
          <t>Grab</t>
        </is>
      </c>
      <c r="B60" t="inlineStr">
        <is>
          <t>Food</t>
        </is>
      </c>
      <c r="C60" t="inlineStr">
        <is>
          <t>Family</t>
        </is>
      </c>
    </row>
    <row r="61">
      <c r="A61" t="inlineStr">
        <is>
          <t>UBER</t>
        </is>
      </c>
      <c r="B61" t="inlineStr">
        <is>
          <t>Transport</t>
        </is>
      </c>
      <c r="C61" t="inlineStr">
        <is>
          <t>Su</t>
        </is>
      </c>
    </row>
    <row r="62">
      <c r="A62" t="inlineStr">
        <is>
          <t>U BER</t>
        </is>
      </c>
      <c r="B62" t="inlineStr">
        <is>
          <t>Transport</t>
        </is>
      </c>
      <c r="C62" t="inlineStr">
        <is>
          <t>Su</t>
        </is>
      </c>
    </row>
    <row r="63">
      <c r="A63" t="inlineStr">
        <is>
          <t>AUTOPAY</t>
        </is>
      </c>
      <c r="B63" t="inlineStr">
        <is>
          <t>Payment</t>
        </is>
      </c>
      <c r="C63" t="inlineStr">
        <is>
          <t>Payment</t>
        </is>
      </c>
    </row>
    <row r="64">
      <c r="A64" t="inlineStr">
        <is>
          <t>PAYMENT RECEIVED</t>
        </is>
      </c>
      <c r="B64" t="inlineStr">
        <is>
          <t>Payment</t>
        </is>
      </c>
      <c r="C64" t="inlineStr">
        <is>
          <t>Payment</t>
        </is>
      </c>
    </row>
    <row r="65">
      <c r="A65" t="inlineStr">
        <is>
          <t>TAXI</t>
        </is>
      </c>
      <c r="B65" t="inlineStr">
        <is>
          <t>Transport</t>
        </is>
      </c>
      <c r="C65" t="inlineStr">
        <is>
          <t>Su</t>
        </is>
      </c>
    </row>
    <row r="66">
      <c r="A66" t="inlineStr">
        <is>
          <t>CURB MOBILITY</t>
        </is>
      </c>
      <c r="B66" t="inlineStr">
        <is>
          <t>Transport</t>
        </is>
      </c>
      <c r="C66" t="inlineStr">
        <is>
          <t>Su</t>
        </is>
      </c>
    </row>
    <row r="67">
      <c r="A67" t="inlineStr">
        <is>
          <t>TRAINLINE</t>
        </is>
      </c>
      <c r="B67" t="inlineStr">
        <is>
          <t>Transport</t>
        </is>
      </c>
      <c r="C67" t="inlineStr">
        <is>
          <t>Family</t>
        </is>
      </c>
    </row>
    <row r="68">
      <c r="A68" t="inlineStr">
        <is>
          <t>TFL TRAVEL</t>
        </is>
      </c>
      <c r="B68" t="inlineStr">
        <is>
          <t>Transport</t>
        </is>
      </c>
      <c r="C68" t="inlineStr">
        <is>
          <t>Family</t>
        </is>
      </c>
    </row>
    <row r="69">
      <c r="A69" t="inlineStr">
        <is>
          <t>TRANSPORTFORNSW</t>
        </is>
      </c>
      <c r="B69" t="inlineStr">
        <is>
          <t>Transport</t>
        </is>
      </c>
      <c r="C69" t="inlineStr">
        <is>
          <t>Family</t>
        </is>
      </c>
    </row>
    <row r="70">
      <c r="A70" t="inlineStr">
        <is>
          <t>SERVICE NSW</t>
        </is>
      </c>
      <c r="B70" t="inlineStr">
        <is>
          <t>Transport</t>
        </is>
      </c>
      <c r="C70" t="inlineStr">
        <is>
          <t>Family</t>
        </is>
      </c>
    </row>
    <row r="71">
      <c r="A71" t="inlineStr">
        <is>
          <t>EUROPCAR</t>
        </is>
      </c>
      <c r="B71" t="inlineStr">
        <is>
          <t>Transport</t>
        </is>
      </c>
      <c r="C71" t="inlineStr">
        <is>
          <t>Family</t>
        </is>
      </c>
    </row>
    <row r="72">
      <c r="A72" t="inlineStr">
        <is>
          <t>MTR</t>
        </is>
      </c>
      <c r="B72" t="inlineStr">
        <is>
          <t>Transport</t>
        </is>
      </c>
      <c r="C72" t="inlineStr">
        <is>
          <t>Su</t>
        </is>
      </c>
    </row>
    <row r="73">
      <c r="A73" t="inlineStr">
        <is>
          <t>UNIQLO</t>
        </is>
      </c>
      <c r="B73" t="inlineStr">
        <is>
          <t>Clothes &amp; Shoes</t>
        </is>
      </c>
      <c r="C73" t="inlineStr">
        <is>
          <t>Su</t>
        </is>
      </c>
    </row>
    <row r="74">
      <c r="A74" t="inlineStr">
        <is>
          <t>UNI QLO</t>
        </is>
      </c>
      <c r="B74" t="inlineStr">
        <is>
          <t>Clothes &amp; Shoes</t>
        </is>
      </c>
      <c r="C74" t="inlineStr">
        <is>
          <t>Su</t>
        </is>
      </c>
    </row>
    <row r="75">
      <c r="A75" t="inlineStr">
        <is>
          <t>HARVEY NICHOLS</t>
        </is>
      </c>
      <c r="B75" t="inlineStr">
        <is>
          <t>Clothes &amp; Shoes</t>
        </is>
      </c>
      <c r="C75" t="inlineStr">
        <is>
          <t>Su</t>
        </is>
      </c>
    </row>
    <row r="76">
      <c r="A76" t="inlineStr">
        <is>
          <t>SUIT SUPPLY</t>
        </is>
      </c>
      <c r="B76" t="inlineStr">
        <is>
          <t>Clothes &amp; Shoes</t>
        </is>
      </c>
      <c r="C76" t="inlineStr">
        <is>
          <t>Family</t>
        </is>
      </c>
    </row>
    <row r="77">
      <c r="A77" t="inlineStr">
        <is>
          <t>BASSIKE</t>
        </is>
      </c>
      <c r="B77" t="inlineStr">
        <is>
          <t>Clothes &amp; Shoes</t>
        </is>
      </c>
      <c r="C77" t="inlineStr">
        <is>
          <t>Su</t>
        </is>
      </c>
    </row>
    <row r="78">
      <c r="A78" t="inlineStr">
        <is>
          <t>POEPKE</t>
        </is>
      </c>
      <c r="B78" t="inlineStr">
        <is>
          <t>Clothes &amp; Shoes</t>
        </is>
      </c>
      <c r="C78" t="inlineStr">
        <is>
          <t>Su</t>
        </is>
      </c>
    </row>
    <row r="79">
      <c r="A79" t="inlineStr">
        <is>
          <t>LACOSTE</t>
        </is>
      </c>
      <c r="B79" t="inlineStr">
        <is>
          <t>Clothes &amp; Shoes</t>
        </is>
      </c>
      <c r="C79" t="inlineStr">
        <is>
          <t>Family</t>
        </is>
      </c>
    </row>
    <row r="80">
      <c r="A80" t="inlineStr">
        <is>
          <t>BSIDES JEANS</t>
        </is>
      </c>
      <c r="B80" t="inlineStr">
        <is>
          <t>Clothes &amp; Shoes</t>
        </is>
      </c>
      <c r="C80" t="inlineStr">
        <is>
          <t>Su</t>
        </is>
      </c>
    </row>
    <row r="81">
      <c r="A81" t="inlineStr">
        <is>
          <t>VIOLETGREY</t>
        </is>
      </c>
      <c r="B81" t="inlineStr">
        <is>
          <t>Beauty</t>
        </is>
      </c>
      <c r="C81" t="inlineStr">
        <is>
          <t>Su</t>
        </is>
      </c>
    </row>
    <row r="82">
      <c r="A82" t="inlineStr">
        <is>
          <t>OLIVE YOUNG</t>
        </is>
      </c>
      <c r="B82" t="inlineStr">
        <is>
          <t>Beauty</t>
        </is>
      </c>
      <c r="C82" t="inlineStr">
        <is>
          <t>Su</t>
        </is>
      </c>
    </row>
    <row r="83">
      <c r="A83" t="inlineStr">
        <is>
          <t>O l i v e Yo u ng</t>
        </is>
      </c>
      <c r="B83" t="inlineStr">
        <is>
          <t>Beauty</t>
        </is>
      </c>
      <c r="C83" t="inlineStr">
        <is>
          <t>Su</t>
        </is>
      </c>
    </row>
    <row r="84">
      <c r="A84" t="inlineStr">
        <is>
          <t>NET-A-PORTER</t>
        </is>
      </c>
      <c r="B84" t="inlineStr">
        <is>
          <t>Clothes &amp; Shoes</t>
        </is>
      </c>
      <c r="C84" t="inlineStr">
        <is>
          <t>Su</t>
        </is>
      </c>
    </row>
    <row r="85">
      <c r="A85" t="inlineStr">
        <is>
          <t>MYTHERESA</t>
        </is>
      </c>
      <c r="B85" t="inlineStr">
        <is>
          <t>Clothes &amp; Shoes</t>
        </is>
      </c>
      <c r="C85" t="inlineStr">
        <is>
          <t>Su</t>
        </is>
      </c>
    </row>
    <row r="86">
      <c r="A86" t="inlineStr">
        <is>
          <t>FAR FETCH</t>
        </is>
      </c>
      <c r="B86" t="inlineStr">
        <is>
          <t>Clothes &amp; Shoes</t>
        </is>
      </c>
      <c r="C86" t="inlineStr">
        <is>
          <t>Su</t>
        </is>
      </c>
    </row>
    <row r="87">
      <c r="A87" t="inlineStr">
        <is>
          <t>JEAN MAY</t>
        </is>
      </c>
      <c r="B87" t="inlineStr">
        <is>
          <t>Clothes &amp; Shoes</t>
        </is>
      </c>
      <c r="C87" t="inlineStr">
        <is>
          <t>Su</t>
        </is>
      </c>
    </row>
    <row r="88">
      <c r="A88" t="inlineStr">
        <is>
          <t>LUCYFOLK</t>
        </is>
      </c>
      <c r="B88" t="inlineStr">
        <is>
          <t>Jewellery</t>
        </is>
      </c>
      <c r="C88" t="inlineStr">
        <is>
          <t>Su</t>
        </is>
      </c>
    </row>
    <row r="89">
      <c r="A89" t="inlineStr">
        <is>
          <t>MANNING</t>
        </is>
      </c>
      <c r="B89" t="inlineStr">
        <is>
          <t>Beauty</t>
        </is>
      </c>
      <c r="C89" t="inlineStr">
        <is>
          <t>Su</t>
        </is>
      </c>
    </row>
    <row r="90">
      <c r="A90" t="inlineStr">
        <is>
          <t>ASTA CLINIC</t>
        </is>
      </c>
      <c r="B90" t="inlineStr">
        <is>
          <t>Clinic</t>
        </is>
      </c>
      <c r="C90" t="inlineStr">
        <is>
          <t>Su</t>
        </is>
      </c>
    </row>
    <row r="91">
      <c r="A91" t="inlineStr">
        <is>
          <t>EIGHTH DAY</t>
        </is>
      </c>
      <c r="B91" t="inlineStr">
        <is>
          <t>Beauty</t>
        </is>
      </c>
      <c r="C91" t="inlineStr">
        <is>
          <t>Su</t>
        </is>
      </c>
    </row>
    <row r="92">
      <c r="A92" t="inlineStr">
        <is>
          <t>SKINCA</t>
        </is>
      </c>
      <c r="B92" t="inlineStr">
        <is>
          <t>Beauty</t>
        </is>
      </c>
      <c r="C92" t="inlineStr">
        <is>
          <t>Su</t>
        </is>
      </c>
    </row>
    <row r="93">
      <c r="A93" t="inlineStr">
        <is>
          <t>SEPHORA</t>
        </is>
      </c>
      <c r="B93" t="inlineStr">
        <is>
          <t>Beauty</t>
        </is>
      </c>
      <c r="C93" t="inlineStr">
        <is>
          <t>Su</t>
        </is>
      </c>
    </row>
    <row r="94">
      <c r="A94" t="inlineStr">
        <is>
          <t>IL COLPO</t>
        </is>
      </c>
      <c r="B94" t="inlineStr">
        <is>
          <t>Salon</t>
        </is>
      </c>
      <c r="C94" t="inlineStr">
        <is>
          <t>Su</t>
        </is>
      </c>
    </row>
    <row r="95">
      <c r="A95" t="inlineStr">
        <is>
          <t>MANDARIN SALON</t>
        </is>
      </c>
      <c r="B95" t="inlineStr">
        <is>
          <t>Salon</t>
        </is>
      </c>
      <c r="C95" t="inlineStr">
        <is>
          <t>Su</t>
        </is>
      </c>
    </row>
    <row r="96">
      <c r="A96" t="inlineStr">
        <is>
          <t>G7Q</t>
        </is>
      </c>
      <c r="B96" t="inlineStr">
        <is>
          <t>Salon</t>
        </is>
      </c>
      <c r="C96" t="inlineStr">
        <is>
          <t>Su</t>
        </is>
      </c>
    </row>
    <row r="97">
      <c r="A97" t="inlineStr">
        <is>
          <t>HOUSE OF PHARMACY</t>
        </is>
      </c>
      <c r="B97" t="inlineStr">
        <is>
          <t>Pharmacy</t>
        </is>
      </c>
      <c r="C97" t="inlineStr">
        <is>
          <t>Su</t>
        </is>
      </c>
    </row>
    <row r="98">
      <c r="A98" t="inlineStr">
        <is>
          <t>QUEEN STREET PHARMACY</t>
        </is>
      </c>
      <c r="B98" t="inlineStr">
        <is>
          <t>Pharmacy</t>
        </is>
      </c>
      <c r="C98" t="inlineStr">
        <is>
          <t>Su</t>
        </is>
      </c>
    </row>
    <row r="99">
      <c r="A99" t="inlineStr">
        <is>
          <t>QUAY QUARTER PHARMACY</t>
        </is>
      </c>
      <c r="B99" t="inlineStr">
        <is>
          <t>Pharmacy</t>
        </is>
      </c>
      <c r="C99" t="inlineStr">
        <is>
          <t>Su</t>
        </is>
      </c>
    </row>
    <row r="100">
      <c r="A100" t="inlineStr">
        <is>
          <t>HK SANATORIUM</t>
        </is>
      </c>
      <c r="B100" t="inlineStr">
        <is>
          <t>Clinic</t>
        </is>
      </c>
      <c r="C100" t="inlineStr">
        <is>
          <t>Family</t>
        </is>
      </c>
    </row>
    <row r="101">
      <c r="A101" t="inlineStr">
        <is>
          <t>IM 8 HEALTH</t>
        </is>
      </c>
      <c r="B101" t="inlineStr">
        <is>
          <t>Health</t>
        </is>
      </c>
      <c r="C101" t="inlineStr">
        <is>
          <t>Su</t>
        </is>
      </c>
    </row>
    <row r="102">
      <c r="A102" t="inlineStr">
        <is>
          <t>BIOCOL LABS</t>
        </is>
      </c>
      <c r="B102" t="inlineStr">
        <is>
          <t>Health</t>
        </is>
      </c>
      <c r="C102" t="inlineStr">
        <is>
          <t>Su</t>
        </is>
      </c>
    </row>
    <row r="103">
      <c r="A103" t="inlineStr">
        <is>
          <t>FIVE GUYS</t>
        </is>
      </c>
      <c r="B103" t="inlineStr">
        <is>
          <t>Dining out</t>
        </is>
      </c>
      <c r="C103" t="inlineStr">
        <is>
          <t>Family</t>
        </is>
      </c>
    </row>
    <row r="104">
      <c r="A104" t="inlineStr">
        <is>
          <t>ALPINE CLUB</t>
        </is>
      </c>
      <c r="B104" t="inlineStr">
        <is>
          <t>Dining out</t>
        </is>
      </c>
      <c r="C104" t="inlineStr">
        <is>
          <t>Family</t>
        </is>
      </c>
    </row>
    <row r="105">
      <c r="A105" t="inlineStr">
        <is>
          <t>OMAKASE</t>
        </is>
      </c>
      <c r="B105" t="inlineStr">
        <is>
          <t>Dining out</t>
        </is>
      </c>
      <c r="C105" t="inlineStr">
        <is>
          <t>Family</t>
        </is>
      </c>
    </row>
    <row r="106">
      <c r="A106" t="inlineStr">
        <is>
          <t>WHALE CLUB</t>
        </is>
      </c>
      <c r="B106" t="inlineStr">
        <is>
          <t>Dining out</t>
        </is>
      </c>
      <c r="C106" t="inlineStr">
        <is>
          <t>Family</t>
        </is>
      </c>
    </row>
    <row r="107">
      <c r="A107" t="inlineStr">
        <is>
          <t>WHALE CLU</t>
        </is>
      </c>
      <c r="B107" t="inlineStr">
        <is>
          <t>Dining out</t>
        </is>
      </c>
      <c r="C107" t="inlineStr">
        <is>
          <t>Family</t>
        </is>
      </c>
    </row>
    <row r="108">
      <c r="A108" t="inlineStr">
        <is>
          <t>BAR LEONE</t>
        </is>
      </c>
      <c r="B108" t="inlineStr">
        <is>
          <t>Dining out</t>
        </is>
      </c>
      <c r="C108" t="inlineStr">
        <is>
          <t>Family</t>
        </is>
      </c>
    </row>
    <row r="109">
      <c r="A109" t="inlineStr">
        <is>
          <t>THE DIPLOMAT</t>
        </is>
      </c>
      <c r="B109" t="inlineStr">
        <is>
          <t>Dining out</t>
        </is>
      </c>
      <c r="C109" t="inlineStr">
        <is>
          <t>Family</t>
        </is>
      </c>
    </row>
    <row r="110">
      <c r="A110" t="inlineStr">
        <is>
          <t>PEKING GARDEN</t>
        </is>
      </c>
      <c r="B110" t="inlineStr">
        <is>
          <t>Dining out</t>
        </is>
      </c>
      <c r="C110" t="inlineStr">
        <is>
          <t>Family</t>
        </is>
      </c>
    </row>
    <row r="111">
      <c r="A111" t="inlineStr">
        <is>
          <t>FU RONG</t>
        </is>
      </c>
      <c r="B111" t="inlineStr">
        <is>
          <t>Dining out</t>
        </is>
      </c>
      <c r="C111" t="inlineStr">
        <is>
          <t>Family</t>
        </is>
      </c>
    </row>
    <row r="112">
      <c r="A112" t="inlineStr">
        <is>
          <t>DOJO*WILTONS</t>
        </is>
      </c>
      <c r="B112" t="inlineStr">
        <is>
          <t>Dining out</t>
        </is>
      </c>
      <c r="C112" t="inlineStr">
        <is>
          <t>Family</t>
        </is>
      </c>
    </row>
    <row r="113">
      <c r="A113" t="inlineStr">
        <is>
          <t>RESTAURANTE</t>
        </is>
      </c>
      <c r="B113" t="inlineStr">
        <is>
          <t>Dining out</t>
        </is>
      </c>
      <c r="C113" t="inlineStr">
        <is>
          <t>Family</t>
        </is>
      </c>
    </row>
    <row r="114">
      <c r="A114" t="inlineStr">
        <is>
          <t>TST-KOYA</t>
        </is>
      </c>
      <c r="B114" t="inlineStr">
        <is>
          <t>Dining out</t>
        </is>
      </c>
      <c r="C114" t="inlineStr">
        <is>
          <t>Family</t>
        </is>
      </c>
    </row>
    <row r="115">
      <c r="A115" t="inlineStr">
        <is>
          <t>PINA EATERY</t>
        </is>
      </c>
      <c r="B115" t="inlineStr">
        <is>
          <t>Dining out</t>
        </is>
      </c>
      <c r="C115" t="inlineStr">
        <is>
          <t>Family</t>
        </is>
      </c>
    </row>
    <row r="116">
      <c r="A116" t="inlineStr">
        <is>
          <t>HINCHCLIFF</t>
        </is>
      </c>
      <c r="B116" t="inlineStr">
        <is>
          <t>Dining out</t>
        </is>
      </c>
      <c r="C116" t="inlineStr">
        <is>
          <t>Family</t>
        </is>
      </c>
    </row>
    <row r="117">
      <c r="A117" t="inlineStr">
        <is>
          <t>JOO</t>
        </is>
      </c>
      <c r="B117" t="inlineStr">
        <is>
          <t>Dining out</t>
        </is>
      </c>
      <c r="C117" t="inlineStr">
        <is>
          <t>Family</t>
        </is>
      </c>
    </row>
    <row r="118">
      <c r="A118" t="inlineStr">
        <is>
          <t>SEOUL RECIPE</t>
        </is>
      </c>
      <c r="B118" t="inlineStr">
        <is>
          <t>Dining out</t>
        </is>
      </c>
      <c r="C118" t="inlineStr">
        <is>
          <t>Family</t>
        </is>
      </c>
    </row>
    <row r="119">
      <c r="A119" t="inlineStr">
        <is>
          <t>DESTROYER</t>
        </is>
      </c>
      <c r="B119" t="inlineStr">
        <is>
          <t>Dining out</t>
        </is>
      </c>
      <c r="C119" t="inlineStr">
        <is>
          <t>Family</t>
        </is>
      </c>
    </row>
    <row r="120">
      <c r="A120" t="inlineStr">
        <is>
          <t>BURGUNDY ETC</t>
        </is>
      </c>
      <c r="B120" t="inlineStr">
        <is>
          <t>Wine</t>
        </is>
      </c>
      <c r="C120" t="inlineStr">
        <is>
          <t>Family</t>
        </is>
      </c>
    </row>
    <row r="121">
      <c r="A121" t="inlineStr">
        <is>
          <t>CITY'SUPER</t>
        </is>
      </c>
      <c r="B121" t="inlineStr">
        <is>
          <t>Groceries</t>
        </is>
      </c>
      <c r="C121" t="inlineStr">
        <is>
          <t>Family</t>
        </is>
      </c>
    </row>
    <row r="122">
      <c r="A122" t="inlineStr">
        <is>
          <t>CITY ' SUPER</t>
        </is>
      </c>
      <c r="B122" t="inlineStr">
        <is>
          <t>Groceries</t>
        </is>
      </c>
      <c r="C122" t="inlineStr">
        <is>
          <t>Family</t>
        </is>
      </c>
    </row>
    <row r="123">
      <c r="A123" t="inlineStr">
        <is>
          <t>CITYSUPER</t>
        </is>
      </c>
      <c r="B123" t="inlineStr">
        <is>
          <t>Groceries</t>
        </is>
      </c>
      <c r="C123" t="inlineStr">
        <is>
          <t>Family</t>
        </is>
      </c>
    </row>
    <row r="124">
      <c r="A124" t="inlineStr">
        <is>
          <t>WOOLWORTHS</t>
        </is>
      </c>
      <c r="B124" t="inlineStr">
        <is>
          <t>Groceries</t>
        </is>
      </c>
      <c r="C124" t="inlineStr">
        <is>
          <t>Family</t>
        </is>
      </c>
    </row>
    <row r="125">
      <c r="A125" t="inlineStr">
        <is>
          <t>ALL PURPOSE BAKERY</t>
        </is>
      </c>
      <c r="B125" t="inlineStr">
        <is>
          <t>Food</t>
        </is>
      </c>
      <c r="C125" t="inlineStr">
        <is>
          <t>Family</t>
        </is>
      </c>
    </row>
    <row r="126">
      <c r="A126" t="inlineStr">
        <is>
          <t>FLOUR AND STONE</t>
        </is>
      </c>
      <c r="B126" t="inlineStr">
        <is>
          <t>Food</t>
        </is>
      </c>
      <c r="C126" t="inlineStr">
        <is>
          <t>Family</t>
        </is>
      </c>
    </row>
    <row r="127">
      <c r="A127" t="inlineStr">
        <is>
          <t>SKITTLE LANE</t>
        </is>
      </c>
      <c r="B127" t="inlineStr">
        <is>
          <t>Food</t>
        </is>
      </c>
      <c r="C127" t="inlineStr">
        <is>
          <t>Family</t>
        </is>
      </c>
    </row>
    <row r="128">
      <c r="A128" t="inlineStr">
        <is>
          <t>SWOON GELATO</t>
        </is>
      </c>
      <c r="B128" t="inlineStr">
        <is>
          <t>Food</t>
        </is>
      </c>
      <c r="C128" t="inlineStr">
        <is>
          <t>Family</t>
        </is>
      </c>
    </row>
    <row r="129">
      <c r="A129" t="inlineStr">
        <is>
          <t>HOW MATCHA</t>
        </is>
      </c>
      <c r="B129" t="inlineStr">
        <is>
          <t>Food</t>
        </is>
      </c>
      <c r="C129" t="inlineStr">
        <is>
          <t>Family</t>
        </is>
      </c>
    </row>
    <row r="130">
      <c r="A130" t="inlineStr">
        <is>
          <t>FOOD PANDA</t>
        </is>
      </c>
      <c r="B130" t="inlineStr">
        <is>
          <t>Food</t>
        </is>
      </c>
      <c r="C130" t="inlineStr">
        <is>
          <t>Family</t>
        </is>
      </c>
    </row>
    <row r="131">
      <c r="A131" t="inlineStr">
        <is>
          <t>OMUSUBI</t>
        </is>
      </c>
      <c r="B131" t="inlineStr">
        <is>
          <t>Food</t>
        </is>
      </c>
      <c r="C131" t="inlineStr">
        <is>
          <t>Family</t>
        </is>
      </c>
    </row>
    <row r="132">
      <c r="A132" t="inlineStr">
        <is>
          <t>TUCKERBOX</t>
        </is>
      </c>
      <c r="B132" t="inlineStr">
        <is>
          <t>Food</t>
        </is>
      </c>
      <c r="C132" t="inlineStr">
        <is>
          <t>Family</t>
        </is>
      </c>
    </row>
    <row r="133">
      <c r="A133" t="inlineStr">
        <is>
          <t>IGA QUAY</t>
        </is>
      </c>
      <c r="B133" t="inlineStr">
        <is>
          <t>Groceries</t>
        </is>
      </c>
      <c r="C133" t="inlineStr">
        <is>
          <t>Family</t>
        </is>
      </c>
    </row>
    <row r="134">
      <c r="A134" t="inlineStr">
        <is>
          <t>VICTOR CHURCHILL</t>
        </is>
      </c>
      <c r="B134" t="inlineStr">
        <is>
          <t>Groceries</t>
        </is>
      </c>
      <c r="C134" t="inlineStr">
        <is>
          <t>Family</t>
        </is>
      </c>
    </row>
    <row r="135">
      <c r="A135" t="inlineStr">
        <is>
          <t>SIMON JOHNSON</t>
        </is>
      </c>
      <c r="B135" t="inlineStr">
        <is>
          <t>Groceries</t>
        </is>
      </c>
      <c r="C135" t="inlineStr">
        <is>
          <t>Family</t>
        </is>
      </c>
    </row>
    <row r="136">
      <c r="A136" t="inlineStr">
        <is>
          <t>SI MON JOHNSON</t>
        </is>
      </c>
      <c r="B136" t="inlineStr">
        <is>
          <t>Groceries</t>
        </is>
      </c>
      <c r="C136" t="inlineStr">
        <is>
          <t>Family</t>
        </is>
      </c>
    </row>
    <row r="137">
      <c r="A137" t="inlineStr">
        <is>
          <t>AEON HOKKAIDO</t>
        </is>
      </c>
      <c r="B137" t="inlineStr">
        <is>
          <t>Groceries</t>
        </is>
      </c>
      <c r="C137" t="inlineStr">
        <is>
          <t>Family</t>
        </is>
      </c>
    </row>
    <row r="138">
      <c r="A138" t="inlineStr">
        <is>
          <t>HYUNDAI DEPARTMENT</t>
        </is>
      </c>
      <c r="B138" t="inlineStr">
        <is>
          <t>Groceries</t>
        </is>
      </c>
      <c r="C138" t="inlineStr">
        <is>
          <t>Family</t>
        </is>
      </c>
    </row>
    <row r="139">
      <c r="A139" t="inlineStr">
        <is>
          <t>Hy u ndai Department</t>
        </is>
      </c>
      <c r="B139" t="inlineStr">
        <is>
          <t>Groceries</t>
        </is>
      </c>
      <c r="C139" t="inlineStr">
        <is>
          <t>Family</t>
        </is>
      </c>
    </row>
    <row r="140">
      <c r="A140" t="inlineStr">
        <is>
          <t>DINING</t>
        </is>
      </c>
      <c r="B140" t="inlineStr">
        <is>
          <t>Dining out</t>
        </is>
      </c>
      <c r="C140" t="inlineStr">
        <is>
          <t>Family</t>
        </is>
      </c>
    </row>
    <row r="141">
      <c r="A141" t="inlineStr">
        <is>
          <t>CAFE</t>
        </is>
      </c>
      <c r="B141" t="inlineStr">
        <is>
          <t>Dining out</t>
        </is>
      </c>
      <c r="C141" t="inlineStr">
        <is>
          <t>Family</t>
        </is>
      </c>
    </row>
    <row r="142">
      <c r="A142" t="inlineStr">
        <is>
          <t>COFFEE</t>
        </is>
      </c>
      <c r="B142" t="inlineStr">
        <is>
          <t>Food</t>
        </is>
      </c>
      <c r="C142" t="inlineStr">
        <is>
          <t>Family</t>
        </is>
      </c>
    </row>
    <row r="143">
      <c r="A143" t="inlineStr">
        <is>
          <t>BARIST</t>
        </is>
      </c>
      <c r="B143" t="inlineStr">
        <is>
          <t>Food</t>
        </is>
      </c>
      <c r="C143" t="inlineStr">
        <is>
          <t>Family</t>
        </is>
      </c>
    </row>
    <row r="144">
      <c r="A144" t="inlineStr">
        <is>
          <t>KIOSK</t>
        </is>
      </c>
      <c r="B144" t="inlineStr">
        <is>
          <t>Food</t>
        </is>
      </c>
      <c r="C144" t="inlineStr">
        <is>
          <t>Family</t>
        </is>
      </c>
    </row>
    <row r="145">
      <c r="A145" t="inlineStr">
        <is>
          <t>HARRIS FARM</t>
        </is>
      </c>
      <c r="B145" t="inlineStr">
        <is>
          <t>Food</t>
        </is>
      </c>
      <c r="C145" t="inlineStr">
        <is>
          <t>Family</t>
        </is>
      </c>
    </row>
    <row r="146">
      <c r="A146" t="inlineStr">
        <is>
          <t>DAIRY FARM</t>
        </is>
      </c>
      <c r="B146" t="inlineStr">
        <is>
          <t>Food</t>
        </is>
      </c>
      <c r="C146" t="inlineStr">
        <is>
          <t>Family</t>
        </is>
      </c>
    </row>
    <row r="147">
      <c r="A147" t="inlineStr">
        <is>
          <t>SATSUDORA</t>
        </is>
      </c>
      <c r="B147" t="inlineStr">
        <is>
          <t>Food</t>
        </is>
      </c>
      <c r="C147" t="inlineStr">
        <is>
          <t>Family</t>
        </is>
      </c>
    </row>
    <row r="148">
      <c r="A148" t="inlineStr">
        <is>
          <t>LAWSON</t>
        </is>
      </c>
      <c r="B148" t="inlineStr">
        <is>
          <t>Food</t>
        </is>
      </c>
      <c r="C148" t="inlineStr">
        <is>
          <t>Family</t>
        </is>
      </c>
    </row>
    <row r="149">
      <c r="A149" t="inlineStr">
        <is>
          <t>LA WSON</t>
        </is>
      </c>
      <c r="B149" t="inlineStr">
        <is>
          <t>Food</t>
        </is>
      </c>
      <c r="C149" t="inlineStr">
        <is>
          <t>Family</t>
        </is>
      </c>
    </row>
    <row r="150">
      <c r="A150" t="inlineStr">
        <is>
          <t>AMAZON</t>
        </is>
      </c>
      <c r="B150" t="inlineStr">
        <is>
          <t>Book &amp; Kindle</t>
        </is>
      </c>
      <c r="C150" t="inlineStr">
        <is>
          <t>Family</t>
        </is>
      </c>
    </row>
    <row r="151">
      <c r="A151" t="inlineStr">
        <is>
          <t>AMZN</t>
        </is>
      </c>
      <c r="B151" t="inlineStr">
        <is>
          <t>Book &amp; Kindle</t>
        </is>
      </c>
      <c r="C151" t="inlineStr">
        <is>
          <t>Family</t>
        </is>
      </c>
    </row>
    <row r="152">
      <c r="A152" t="inlineStr">
        <is>
          <t>PRIME</t>
        </is>
      </c>
      <c r="B152" t="inlineStr">
        <is>
          <t>Subscriptions</t>
        </is>
      </c>
      <c r="C152" t="inlineStr">
        <is>
          <t>Family</t>
        </is>
      </c>
    </row>
    <row r="153">
      <c r="A153" t="inlineStr">
        <is>
          <t>ASIA MILES</t>
        </is>
      </c>
      <c r="B153" t="inlineStr">
        <is>
          <t>Airfare</t>
        </is>
      </c>
      <c r="C153" t="inlineStr">
        <is>
          <t>Family</t>
        </is>
      </c>
    </row>
    <row r="154">
      <c r="A154" t="inlineStr">
        <is>
          <t>RIKKA AIR</t>
        </is>
      </c>
      <c r="B154" t="inlineStr">
        <is>
          <t>Airfare</t>
        </is>
      </c>
      <c r="C154" t="inlineStr">
        <is>
          <t>Family</t>
        </is>
      </c>
    </row>
    <row r="155">
      <c r="A155" t="inlineStr">
        <is>
          <t>CATHAY PACIFIC</t>
        </is>
      </c>
      <c r="B155" t="inlineStr">
        <is>
          <t>Airfare</t>
        </is>
      </c>
      <c r="C155" t="inlineStr">
        <is>
          <t>Family</t>
        </is>
      </c>
    </row>
    <row r="156">
      <c r="A156" t="inlineStr">
        <is>
          <t>SYDNEY INTERNATIONAL</t>
        </is>
      </c>
      <c r="B156" t="inlineStr">
        <is>
          <t>Airfare</t>
        </is>
      </c>
      <c r="C156" t="inlineStr">
        <is>
          <t>Family</t>
        </is>
      </c>
    </row>
    <row r="157">
      <c r="A157" t="inlineStr">
        <is>
          <t>BOARDING GATE</t>
        </is>
      </c>
      <c r="B157" t="inlineStr">
        <is>
          <t>Airfare</t>
        </is>
      </c>
      <c r="C157" t="inlineStr">
        <is>
          <t>Family</t>
        </is>
      </c>
    </row>
    <row r="158">
      <c r="A158" t="inlineStr">
        <is>
          <t>NISEKOVILLA</t>
        </is>
      </c>
      <c r="B158" t="inlineStr">
        <is>
          <t>Travel</t>
        </is>
      </c>
      <c r="C158" t="inlineStr">
        <is>
          <t>Family</t>
        </is>
      </c>
    </row>
    <row r="159">
      <c r="A159" t="inlineStr">
        <is>
          <t>SIX SENSES</t>
        </is>
      </c>
      <c r="B159" t="inlineStr">
        <is>
          <t>Hotel</t>
        </is>
      </c>
      <c r="C159" t="inlineStr">
        <is>
          <t>Family</t>
        </is>
      </c>
    </row>
    <row r="160">
      <c r="A160" t="inlineStr">
        <is>
          <t>SHISHIIWA</t>
        </is>
      </c>
      <c r="B160" t="inlineStr">
        <is>
          <t>Hotel</t>
        </is>
      </c>
      <c r="C160" t="inlineStr">
        <is>
          <t>Family</t>
        </is>
      </c>
    </row>
    <row r="161">
      <c r="A161" t="inlineStr">
        <is>
          <t>AGORA IBIZA</t>
        </is>
      </c>
      <c r="B161" t="inlineStr">
        <is>
          <t>Hotel</t>
        </is>
      </c>
      <c r="C161" t="inlineStr">
        <is>
          <t>Family</t>
        </is>
      </c>
    </row>
    <row r="162">
      <c r="A162" t="inlineStr">
        <is>
          <t>THE PENINSULA</t>
        </is>
      </c>
      <c r="B162" t="inlineStr">
        <is>
          <t>Hotel</t>
        </is>
      </c>
      <c r="C162" t="inlineStr">
        <is>
          <t>Family</t>
        </is>
      </c>
    </row>
    <row r="163">
      <c r="A163" t="inlineStr">
        <is>
          <t>COMO METROPOLITAN</t>
        </is>
      </c>
      <c r="B163" t="inlineStr">
        <is>
          <t>Hotel</t>
        </is>
      </c>
      <c r="C163" t="inlineStr">
        <is>
          <t>Family</t>
        </is>
      </c>
    </row>
    <row r="164">
      <c r="A164" t="inlineStr">
        <is>
          <t>SATOYAMA</t>
        </is>
      </c>
      <c r="B164" t="inlineStr">
        <is>
          <t>Hotel</t>
        </is>
      </c>
      <c r="C164" t="inlineStr">
        <is>
          <t>Family</t>
        </is>
      </c>
    </row>
    <row r="165">
      <c r="A165" t="inlineStr">
        <is>
          <t>ANDA ZSEOUL</t>
        </is>
      </c>
      <c r="B165" t="inlineStr">
        <is>
          <t>Hotel</t>
        </is>
      </c>
      <c r="C165" t="inlineStr">
        <is>
          <t>Family</t>
        </is>
      </c>
    </row>
    <row r="166">
      <c r="A166" t="inlineStr">
        <is>
          <t>ANDAZ</t>
        </is>
      </c>
      <c r="B166" t="inlineStr">
        <is>
          <t>Hotel</t>
        </is>
      </c>
      <c r="C166" t="inlineStr">
        <is>
          <t>Family</t>
        </is>
      </c>
    </row>
    <row r="167">
      <c r="A167" t="inlineStr">
        <is>
          <t>OLD PARSONAGE</t>
        </is>
      </c>
      <c r="B167" t="inlineStr">
        <is>
          <t>Hotel</t>
        </is>
      </c>
      <c r="C167" t="inlineStr">
        <is>
          <t>Family</t>
        </is>
      </c>
    </row>
    <row r="168">
      <c r="A168" t="inlineStr">
        <is>
          <t>OYADO TAMAK</t>
        </is>
      </c>
      <c r="B168" t="inlineStr">
        <is>
          <t>Hotel</t>
        </is>
      </c>
      <c r="C168" t="inlineStr">
        <is>
          <t>Family</t>
        </is>
      </c>
    </row>
    <row r="169">
      <c r="A169" t="inlineStr">
        <is>
          <t>GRAND INTERCONTINENTA</t>
        </is>
      </c>
      <c r="B169" t="inlineStr">
        <is>
          <t>Hotel</t>
        </is>
      </c>
      <c r="C169" t="inlineStr">
        <is>
          <t>Family</t>
        </is>
      </c>
    </row>
    <row r="170">
      <c r="A170" t="inlineStr">
        <is>
          <t>ISLAND SHANGRI LA</t>
        </is>
      </c>
      <c r="B170" t="inlineStr">
        <is>
          <t>Hotel</t>
        </is>
      </c>
      <c r="C170" t="inlineStr">
        <is>
          <t>Family</t>
        </is>
      </c>
    </row>
    <row r="171">
      <c r="A171" t="inlineStr">
        <is>
          <t>SETSU NISEKO</t>
        </is>
      </c>
      <c r="B171" t="inlineStr">
        <is>
          <t>Hotel</t>
        </is>
      </c>
      <c r="C171" t="inlineStr">
        <is>
          <t>Family</t>
        </is>
      </c>
    </row>
    <row r="172">
      <c r="A172" t="inlineStr">
        <is>
          <t>RESERVEPS</t>
        </is>
      </c>
      <c r="B172" t="inlineStr">
        <is>
          <t>Hotel</t>
        </is>
      </c>
      <c r="C172" t="inlineStr">
        <is>
          <t>Family</t>
        </is>
      </c>
    </row>
    <row r="173">
      <c r="A173" t="inlineStr">
        <is>
          <t>NOVOTEL</t>
        </is>
      </c>
      <c r="B173" t="inlineStr">
        <is>
          <t>Hotel</t>
        </is>
      </c>
      <c r="C173" t="inlineStr">
        <is>
          <t>Family</t>
        </is>
      </c>
    </row>
    <row r="174">
      <c r="A174" t="inlineStr">
        <is>
          <t>GARMIN</t>
        </is>
      </c>
      <c r="B174" t="inlineStr">
        <is>
          <t>Fitness Equipment</t>
        </is>
      </c>
      <c r="C174" t="inlineStr">
        <is>
          <t>Family</t>
        </is>
      </c>
    </row>
    <row r="175">
      <c r="A175" t="inlineStr">
        <is>
          <t>IHERB</t>
        </is>
      </c>
      <c r="B175" t="inlineStr">
        <is>
          <t>Health</t>
        </is>
      </c>
      <c r="C175" t="inlineStr">
        <is>
          <t>Family</t>
        </is>
      </c>
    </row>
    <row r="176">
      <c r="A176" t="inlineStr">
        <is>
          <t>PONTI WINE</t>
        </is>
      </c>
      <c r="B176" t="inlineStr">
        <is>
          <t>Wine</t>
        </is>
      </c>
      <c r="C176" t="inlineStr">
        <is>
          <t>Family</t>
        </is>
      </c>
    </row>
    <row r="177">
      <c r="A177" t="inlineStr">
        <is>
          <t>WATERSTONES</t>
        </is>
      </c>
      <c r="B177" t="inlineStr">
        <is>
          <t>Book &amp; Kindle</t>
        </is>
      </c>
      <c r="C177" t="inlineStr">
        <is>
          <t>Family</t>
        </is>
      </c>
    </row>
    <row r="178">
      <c r="A178" t="inlineStr">
        <is>
          <t>DYMOCKS</t>
        </is>
      </c>
      <c r="B178" t="inlineStr">
        <is>
          <t>Book &amp; Kindle</t>
        </is>
      </c>
      <c r="C178" t="inlineStr">
        <is>
          <t>Family</t>
        </is>
      </c>
    </row>
    <row r="179">
      <c r="A179" t="inlineStr">
        <is>
          <t>APPLE.COM</t>
        </is>
      </c>
      <c r="B179" t="inlineStr">
        <is>
          <t>Electronics</t>
        </is>
      </c>
      <c r="C179" t="inlineStr">
        <is>
          <t>Family</t>
        </is>
      </c>
    </row>
    <row r="180">
      <c r="A180" t="inlineStr">
        <is>
          <t>APPLE STORE</t>
        </is>
      </c>
      <c r="B180" t="inlineStr">
        <is>
          <t>Electronics</t>
        </is>
      </c>
      <c r="C180" t="inlineStr">
        <is>
          <t>Family</t>
        </is>
      </c>
    </row>
    <row r="181">
      <c r="A181" t="inlineStr">
        <is>
          <t>APPLE STORER</t>
        </is>
      </c>
      <c r="B181" t="inlineStr">
        <is>
          <t>Electronics</t>
        </is>
      </c>
      <c r="C181" t="inlineStr">
        <is>
          <t>Family</t>
        </is>
      </c>
    </row>
    <row r="182">
      <c r="A182" t="inlineStr">
        <is>
          <t>LANE CRAWFORD</t>
        </is>
      </c>
      <c r="B182" t="inlineStr">
        <is>
          <t>Housewares</t>
        </is>
      </c>
      <c r="C182" t="inlineStr">
        <is>
          <t>Family</t>
        </is>
      </c>
    </row>
    <row r="183">
      <c r="A183" t="inlineStr">
        <is>
          <t>LANE CRA WFORD</t>
        </is>
      </c>
      <c r="B183" t="inlineStr">
        <is>
          <t>Housewares</t>
        </is>
      </c>
      <c r="C183" t="inlineStr">
        <is>
          <t>Family</t>
        </is>
      </c>
    </row>
    <row r="184">
      <c r="A184" t="inlineStr">
        <is>
          <t>FLOWER</t>
        </is>
      </c>
      <c r="B184" t="inlineStr">
        <is>
          <t>Flowers</t>
        </is>
      </c>
      <c r="C184" t="inlineStr">
        <is>
          <t>Family</t>
        </is>
      </c>
    </row>
    <row r="185">
      <c r="A185" t="inlineStr">
        <is>
          <t>GALLERY TETE</t>
        </is>
      </c>
      <c r="B185" t="inlineStr">
        <is>
          <t>Art</t>
        </is>
      </c>
      <c r="C185" t="inlineStr">
        <is>
          <t>Family</t>
        </is>
      </c>
    </row>
    <row r="186">
      <c r="A186" t="inlineStr">
        <is>
          <t>CINEMA.COM.HK</t>
        </is>
      </c>
      <c r="B186" t="inlineStr">
        <is>
          <t>Entertainment</t>
        </is>
      </c>
      <c r="C186" t="inlineStr">
        <is>
          <t>Family</t>
        </is>
      </c>
    </row>
    <row r="187">
      <c r="A187" t="inlineStr">
        <is>
          <t>WAI KEE JEWELLERS</t>
        </is>
      </c>
      <c r="B187" t="inlineStr">
        <is>
          <t>Jewellery</t>
        </is>
      </c>
      <c r="C187" t="inlineStr">
        <is>
          <t>Su</t>
        </is>
      </c>
    </row>
    <row r="188">
      <c r="A188" t="inlineStr">
        <is>
          <t>YUKIMURO</t>
        </is>
      </c>
      <c r="B188" t="inlineStr">
        <is>
          <t>Food</t>
        </is>
      </c>
      <c r="C188" t="inlineStr">
        <is>
          <t>Family</t>
        </is>
      </c>
    </row>
    <row r="189">
      <c r="A189" t="inlineStr">
        <is>
          <t>KARUIZ</t>
        </is>
      </c>
      <c r="B189" t="inlineStr">
        <is>
          <t>Food</t>
        </is>
      </c>
      <c r="C189" t="inlineStr">
        <is>
          <t>Family</t>
        </is>
      </c>
    </row>
    <row r="190">
      <c r="A190" t="inlineStr">
        <is>
          <t>BLUE BOTTLE</t>
        </is>
      </c>
      <c r="B190" t="inlineStr">
        <is>
          <t>Food</t>
        </is>
      </c>
      <c r="C190" t="inlineStr">
        <is>
          <t>Family</t>
        </is>
      </c>
    </row>
    <row r="191">
      <c r="A191" t="inlineStr">
        <is>
          <t>Bl u e B o ttl e</t>
        </is>
      </c>
      <c r="B191" t="inlineStr">
        <is>
          <t>Food</t>
        </is>
      </c>
      <c r="C191" t="inlineStr">
        <is>
          <t>Family</t>
        </is>
      </c>
    </row>
    <row r="192">
      <c r="A192" t="inlineStr">
        <is>
          <t>SEUTAENDADEU</t>
        </is>
      </c>
      <c r="B192" t="inlineStr">
        <is>
          <t>Food</t>
        </is>
      </c>
      <c r="C192" t="inlineStr">
        <is>
          <t>Family</t>
        </is>
      </c>
    </row>
    <row r="193">
      <c r="A193" t="inlineStr">
        <is>
          <t>PSTNISEKO</t>
        </is>
      </c>
      <c r="B193" t="inlineStr">
        <is>
          <t>Travel</t>
        </is>
      </c>
      <c r="C193" t="inlineStr">
        <is>
          <t>Family</t>
        </is>
      </c>
    </row>
    <row r="194">
      <c r="A194" t="inlineStr">
        <is>
          <t>RHYTHM</t>
        </is>
      </c>
      <c r="B194" t="inlineStr">
        <is>
          <t>Travel</t>
        </is>
      </c>
      <c r="C194" t="inlineStr">
        <is>
          <t>Family</t>
        </is>
      </c>
    </row>
    <row r="195">
      <c r="A195" t="inlineStr">
        <is>
          <t>Rh yt hm</t>
        </is>
      </c>
      <c r="B195" t="inlineStr">
        <is>
          <t>Travel</t>
        </is>
      </c>
      <c r="C195" t="inlineStr">
        <is>
          <t>Family</t>
        </is>
      </c>
    </row>
    <row r="196">
      <c r="A196" t="inlineStr">
        <is>
          <t>KAMORI WEB TICKET</t>
        </is>
      </c>
      <c r="B196" t="inlineStr">
        <is>
          <t>Travel</t>
        </is>
      </c>
      <c r="C196" t="inlineStr">
        <is>
          <t>Family</t>
        </is>
      </c>
    </row>
    <row r="197">
      <c r="A197" t="inlineStr">
        <is>
          <t>SKPINX</t>
        </is>
      </c>
      <c r="B197" t="inlineStr">
        <is>
          <t>Sport</t>
        </is>
      </c>
      <c r="C197" t="inlineStr">
        <is>
          <t>Family</t>
        </is>
      </c>
    </row>
    <row r="198">
      <c r="A198" t="inlineStr">
        <is>
          <t>YPO INTL</t>
        </is>
      </c>
      <c r="B198" t="inlineStr">
        <is>
          <t>Membership</t>
        </is>
      </c>
      <c r="C198" t="inlineStr">
        <is>
          <t>Family</t>
        </is>
      </c>
    </row>
    <row r="199">
      <c r="A199" t="inlineStr">
        <is>
          <t>AMV RETAIL</t>
        </is>
      </c>
      <c r="B199" t="inlineStr">
        <is>
          <t>Clothes &amp; Shoes</t>
        </is>
      </c>
      <c r="C199" t="inlineStr">
        <is>
          <t>Su</t>
        </is>
      </c>
    </row>
    <row r="200">
      <c r="A200" t="inlineStr">
        <is>
          <t>AMERICAN VINTAGE</t>
        </is>
      </c>
      <c r="B200" t="inlineStr">
        <is>
          <t>Clothes &amp; Shoes</t>
        </is>
      </c>
      <c r="C200" t="inlineStr">
        <is>
          <t>Su</t>
        </is>
      </c>
    </row>
    <row r="201">
      <c r="A201" t="inlineStr">
        <is>
          <t>SUITSUPPLY</t>
        </is>
      </c>
      <c r="B201" t="inlineStr">
        <is>
          <t>Clothes &amp; Shoes</t>
        </is>
      </c>
      <c r="C201" t="inlineStr">
        <is>
          <t>Family</t>
        </is>
      </c>
    </row>
    <row r="202">
      <c r="A202" t="inlineStr">
        <is>
          <t>ZADIG</t>
        </is>
      </c>
      <c r="B202" t="inlineStr">
        <is>
          <t>Clothes &amp; Shoes</t>
        </is>
      </c>
      <c r="C202" t="inlineStr">
        <is>
          <t>Su</t>
        </is>
      </c>
    </row>
    <row r="203">
      <c r="A203" t="inlineStr">
        <is>
          <t>TOAST UK</t>
        </is>
      </c>
      <c r="B203" t="inlineStr">
        <is>
          <t>Clothes &amp; Shoes</t>
        </is>
      </c>
      <c r="C203" t="inlineStr">
        <is>
          <t>Su</t>
        </is>
      </c>
    </row>
    <row r="204">
      <c r="A204" t="inlineStr">
        <is>
          <t>LOUISE JACKSON</t>
        </is>
      </c>
      <c r="B204" t="inlineStr">
        <is>
          <t>Clothes &amp; Shoes</t>
        </is>
      </c>
      <c r="C204" t="inlineStr">
        <is>
          <t>Su</t>
        </is>
      </c>
    </row>
    <row r="205">
      <c r="A205" t="inlineStr">
        <is>
          <t>FARM RIO</t>
        </is>
      </c>
      <c r="B205" t="inlineStr">
        <is>
          <t>Clothes &amp; Shoes</t>
        </is>
      </c>
      <c r="C205" t="inlineStr">
        <is>
          <t>Su</t>
        </is>
      </c>
    </row>
    <row r="206">
      <c r="A206" t="inlineStr">
        <is>
          <t>PETIT BATEAU</t>
        </is>
      </c>
      <c r="B206" t="inlineStr">
        <is>
          <t>Clothes &amp; Shoes</t>
        </is>
      </c>
      <c r="C206" t="inlineStr">
        <is>
          <t>Family</t>
        </is>
      </c>
    </row>
    <row r="207">
      <c r="A207" t="inlineStr">
        <is>
          <t>SOLACE LONDON</t>
        </is>
      </c>
      <c r="B207" t="inlineStr">
        <is>
          <t>Clothes &amp; Shoes</t>
        </is>
      </c>
      <c r="C207" t="inlineStr">
        <is>
          <t>Su</t>
        </is>
      </c>
    </row>
    <row r="208">
      <c r="A208" t="inlineStr">
        <is>
          <t>BIRKENSTOCK</t>
        </is>
      </c>
      <c r="B208" t="inlineStr">
        <is>
          <t>Clothes &amp; Shoes</t>
        </is>
      </c>
      <c r="C208" t="inlineStr">
        <is>
          <t>Family</t>
        </is>
      </c>
    </row>
    <row r="209">
      <c r="A209" t="inlineStr">
        <is>
          <t>SHANGHAI TANG</t>
        </is>
      </c>
      <c r="B209" t="inlineStr">
        <is>
          <t>Clothes &amp; Shoes</t>
        </is>
      </c>
      <c r="C209" t="inlineStr">
        <is>
          <t>Su</t>
        </is>
      </c>
    </row>
    <row r="210">
      <c r="A210" t="inlineStr">
        <is>
          <t>CLARINS</t>
        </is>
      </c>
      <c r="B210" t="inlineStr">
        <is>
          <t>Beauty</t>
        </is>
      </c>
      <c r="C210" t="inlineStr">
        <is>
          <t>Su</t>
        </is>
      </c>
    </row>
    <row r="211">
      <c r="A211" t="inlineStr">
        <is>
          <t>KARPATI SKIN</t>
        </is>
      </c>
      <c r="B211" t="inlineStr">
        <is>
          <t>Beauty</t>
        </is>
      </c>
      <c r="C211" t="inlineStr">
        <is>
          <t>Su</t>
        </is>
      </c>
    </row>
    <row r="212">
      <c r="A212" t="inlineStr">
        <is>
          <t>SA SA</t>
        </is>
      </c>
      <c r="B212" t="inlineStr">
        <is>
          <t>Beauty</t>
        </is>
      </c>
      <c r="C212" t="inlineStr">
        <is>
          <t>Su</t>
        </is>
      </c>
    </row>
    <row r="213">
      <c r="A213" t="inlineStr">
        <is>
          <t>AESOP</t>
        </is>
      </c>
      <c r="B213" t="inlineStr">
        <is>
          <t>Beauty</t>
        </is>
      </c>
      <c r="C213" t="inlineStr">
        <is>
          <t>Su</t>
        </is>
      </c>
    </row>
    <row r="214">
      <c r="A214" t="inlineStr">
        <is>
          <t>BOBBI BROWN</t>
        </is>
      </c>
      <c r="B214" t="inlineStr">
        <is>
          <t>Beauty</t>
        </is>
      </c>
      <c r="C214" t="inlineStr">
        <is>
          <t>Su</t>
        </is>
      </c>
    </row>
    <row r="215">
      <c r="A215" t="inlineStr">
        <is>
          <t>5 HERTFORD</t>
        </is>
      </c>
      <c r="B215" t="inlineStr">
        <is>
          <t>Dining out</t>
        </is>
      </c>
      <c r="C215" t="inlineStr">
        <is>
          <t>Family</t>
        </is>
      </c>
    </row>
    <row r="216">
      <c r="A216" t="inlineStr">
        <is>
          <t>LANDRACE</t>
        </is>
      </c>
      <c r="B216" t="inlineStr">
        <is>
          <t>Dining out</t>
        </is>
      </c>
      <c r="C216" t="inlineStr">
        <is>
          <t>Family</t>
        </is>
      </c>
    </row>
    <row r="217">
      <c r="A217" t="inlineStr">
        <is>
          <t>BASEHALL</t>
        </is>
      </c>
      <c r="B217" t="inlineStr">
        <is>
          <t>Dining out</t>
        </is>
      </c>
      <c r="C217" t="inlineStr">
        <is>
          <t>Family</t>
        </is>
      </c>
    </row>
    <row r="218">
      <c r="A218" t="inlineStr">
        <is>
          <t>COCONUT CLUB</t>
        </is>
      </c>
      <c r="B218" t="inlineStr">
        <is>
          <t>Dining out</t>
        </is>
      </c>
      <c r="C218" t="inlineStr">
        <is>
          <t>Family</t>
        </is>
      </c>
    </row>
    <row r="219">
      <c r="A219" t="inlineStr">
        <is>
          <t>SHIMBASHI</t>
        </is>
      </c>
      <c r="B219" t="inlineStr">
        <is>
          <t>Dining out</t>
        </is>
      </c>
      <c r="C219" t="inlineStr">
        <is>
          <t>Family</t>
        </is>
      </c>
    </row>
    <row r="220">
      <c r="A220" t="inlineStr">
        <is>
          <t>SEROJA</t>
        </is>
      </c>
      <c r="B220" t="inlineStr">
        <is>
          <t>Dining out</t>
        </is>
      </c>
      <c r="C220" t="inlineStr">
        <is>
          <t>Family</t>
        </is>
      </c>
    </row>
    <row r="221">
      <c r="A221" t="inlineStr">
        <is>
          <t>LUCALE</t>
        </is>
      </c>
      <c r="B221" t="inlineStr">
        <is>
          <t>Dining out</t>
        </is>
      </c>
      <c r="C221" t="inlineStr">
        <is>
          <t>Family</t>
        </is>
      </c>
    </row>
    <row r="222">
      <c r="A222" t="inlineStr">
        <is>
          <t>CHINNERY</t>
        </is>
      </c>
      <c r="B222" t="inlineStr">
        <is>
          <t>Dining out</t>
        </is>
      </c>
      <c r="C222" t="inlineStr">
        <is>
          <t>Family</t>
        </is>
      </c>
    </row>
    <row r="223">
      <c r="A223" t="inlineStr">
        <is>
          <t>CARBONE</t>
        </is>
      </c>
      <c r="B223" t="inlineStr">
        <is>
          <t>Dining out</t>
        </is>
      </c>
      <c r="C223" t="inlineStr">
        <is>
          <t>Family</t>
        </is>
      </c>
    </row>
    <row r="224">
      <c r="A224" t="inlineStr">
        <is>
          <t>RACINES</t>
        </is>
      </c>
      <c r="B224" t="inlineStr">
        <is>
          <t>Dining out</t>
        </is>
      </c>
      <c r="C224" t="inlineStr">
        <is>
          <t>Family</t>
        </is>
      </c>
    </row>
    <row r="225">
      <c r="A225" t="inlineStr">
        <is>
          <t>NIKUSENKA</t>
        </is>
      </c>
      <c r="B225" t="inlineStr">
        <is>
          <t>Dining out</t>
        </is>
      </c>
      <c r="C225" t="inlineStr">
        <is>
          <t>Family</t>
        </is>
      </c>
    </row>
    <row r="226">
      <c r="A226" t="inlineStr">
        <is>
          <t>HIDDEN STAND</t>
        </is>
      </c>
      <c r="B226" t="inlineStr">
        <is>
          <t>Food</t>
        </is>
      </c>
      <c r="C226" t="inlineStr">
        <is>
          <t>Family</t>
        </is>
      </c>
    </row>
    <row r="227">
      <c r="A227" t="inlineStr">
        <is>
          <t>KATES BREAD</t>
        </is>
      </c>
      <c r="B227" t="inlineStr">
        <is>
          <t>Food</t>
        </is>
      </c>
      <c r="C227" t="inlineStr">
        <is>
          <t>Family</t>
        </is>
      </c>
    </row>
    <row r="228">
      <c r="A228" t="inlineStr">
        <is>
          <t>BAKER BLEU</t>
        </is>
      </c>
      <c r="B228" t="inlineStr">
        <is>
          <t>Food</t>
        </is>
      </c>
      <c r="C228" t="inlineStr">
        <is>
          <t>Family</t>
        </is>
      </c>
    </row>
    <row r="229">
      <c r="A229" t="inlineStr">
        <is>
          <t>FINE CHEESE</t>
        </is>
      </c>
      <c r="B229" t="inlineStr">
        <is>
          <t>Food</t>
        </is>
      </c>
      <c r="C229" t="inlineStr">
        <is>
          <t>Family</t>
        </is>
      </c>
    </row>
    <row r="230">
      <c r="A230" t="inlineStr">
        <is>
          <t>PIERRE HERME</t>
        </is>
      </c>
      <c r="B230" t="inlineStr">
        <is>
          <t>Food</t>
        </is>
      </c>
      <c r="C230" t="inlineStr">
        <is>
          <t>Family</t>
        </is>
      </c>
    </row>
    <row r="231">
      <c r="A231" t="inlineStr">
        <is>
          <t>GOKAN</t>
        </is>
      </c>
      <c r="B231" t="inlineStr">
        <is>
          <t>Food</t>
        </is>
      </c>
      <c r="C231" t="inlineStr">
        <is>
          <t>Family</t>
        </is>
      </c>
    </row>
    <row r="232">
      <c r="A232" t="inlineStr">
        <is>
          <t>UMEZONO</t>
        </is>
      </c>
      <c r="B232" t="inlineStr">
        <is>
          <t>Food</t>
        </is>
      </c>
      <c r="C232" t="inlineStr">
        <is>
          <t>Family</t>
        </is>
      </c>
    </row>
    <row r="233">
      <c r="A233" t="inlineStr">
        <is>
          <t>COLD STORAGE</t>
        </is>
      </c>
      <c r="B233" t="inlineStr">
        <is>
          <t>Groceries</t>
        </is>
      </c>
      <c r="C233" t="inlineStr">
        <is>
          <t>Family</t>
        </is>
      </c>
    </row>
    <row r="234">
      <c r="A234" t="inlineStr">
        <is>
          <t>SOGO HK LTD - SUPERMARK</t>
        </is>
      </c>
      <c r="B234" t="inlineStr">
        <is>
          <t>Groceries</t>
        </is>
      </c>
      <c r="C234" t="inlineStr">
        <is>
          <t>Family</t>
        </is>
      </c>
    </row>
    <row r="235">
      <c r="A235" t="inlineStr">
        <is>
          <t>APITA</t>
        </is>
      </c>
      <c r="B235" t="inlineStr">
        <is>
          <t>Groceries</t>
        </is>
      </c>
      <c r="C235" t="inlineStr">
        <is>
          <t>Family</t>
        </is>
      </c>
    </row>
    <row r="236">
      <c r="A236" t="inlineStr">
        <is>
          <t>BRITISH AIRWAYS</t>
        </is>
      </c>
      <c r="B236" t="inlineStr">
        <is>
          <t>Airfare</t>
        </is>
      </c>
      <c r="C236" t="inlineStr">
        <is>
          <t>Family</t>
        </is>
      </c>
    </row>
    <row r="237">
      <c r="A237" t="inlineStr">
        <is>
          <t>SILVERSEA</t>
        </is>
      </c>
      <c r="B237" t="inlineStr">
        <is>
          <t>Travel</t>
        </is>
      </c>
      <c r="C237" t="inlineStr">
        <is>
          <t>Family</t>
        </is>
      </c>
    </row>
    <row r="238">
      <c r="A238" t="inlineStr">
        <is>
          <t>PENINSULA HK</t>
        </is>
      </c>
      <c r="B238" t="inlineStr">
        <is>
          <t>Hotel</t>
        </is>
      </c>
      <c r="C238" t="inlineStr">
        <is>
          <t>Family</t>
        </is>
      </c>
    </row>
    <row r="239">
      <c r="A239" t="inlineStr">
        <is>
          <t>ASCOTTORCHARDS</t>
        </is>
      </c>
      <c r="B239" t="inlineStr">
        <is>
          <t>Hotel</t>
        </is>
      </c>
      <c r="C239" t="inlineStr">
        <is>
          <t>Family</t>
        </is>
      </c>
    </row>
    <row r="240">
      <c r="A240" t="inlineStr">
        <is>
          <t>ORIENTAL Club</t>
        </is>
      </c>
      <c r="B240" t="inlineStr">
        <is>
          <t>Hotel</t>
        </is>
      </c>
      <c r="C240" t="inlineStr">
        <is>
          <t>Family</t>
        </is>
      </c>
    </row>
    <row r="241">
      <c r="A241" t="inlineStr">
        <is>
          <t>TOPPING &amp; COMPANY</t>
        </is>
      </c>
      <c r="B241" t="inlineStr">
        <is>
          <t>Book &amp; Kindle</t>
        </is>
      </c>
      <c r="C241" t="inlineStr">
        <is>
          <t>Family</t>
        </is>
      </c>
    </row>
    <row r="242">
      <c r="A242" t="inlineStr">
        <is>
          <t>Mr B</t>
        </is>
      </c>
      <c r="B242" t="inlineStr">
        <is>
          <t>Book &amp; Kindle</t>
        </is>
      </c>
      <c r="C242" t="inlineStr">
        <is>
          <t>Family</t>
        </is>
      </c>
    </row>
    <row r="243">
      <c r="A243" t="inlineStr">
        <is>
          <t>KELLY &amp; WALSH</t>
        </is>
      </c>
      <c r="B243" t="inlineStr">
        <is>
          <t>Book &amp; Kindle</t>
        </is>
      </c>
      <c r="C243" t="inlineStr">
        <is>
          <t>Family</t>
        </is>
      </c>
    </row>
    <row r="244">
      <c r="A244" t="inlineStr">
        <is>
          <t>WH SMITH</t>
        </is>
      </c>
      <c r="B244" t="inlineStr">
        <is>
          <t>Book &amp; Kindle</t>
        </is>
      </c>
      <c r="C244" t="inlineStr">
        <is>
          <t>Family</t>
        </is>
      </c>
    </row>
    <row r="245">
      <c r="A245" t="inlineStr">
        <is>
          <t>IKEA</t>
        </is>
      </c>
      <c r="B245" t="inlineStr">
        <is>
          <t>Housewares</t>
        </is>
      </c>
      <c r="C245" t="inlineStr">
        <is>
          <t>Family</t>
        </is>
      </c>
    </row>
    <row r="246">
      <c r="A246" t="inlineStr">
        <is>
          <t>MUJI</t>
        </is>
      </c>
      <c r="B246" t="inlineStr">
        <is>
          <t>Housewares</t>
        </is>
      </c>
      <c r="C246" t="inlineStr">
        <is>
          <t>Family</t>
        </is>
      </c>
    </row>
    <row r="247">
      <c r="A247" t="inlineStr">
        <is>
          <t>HOMELESS.HK</t>
        </is>
      </c>
      <c r="B247" t="inlineStr">
        <is>
          <t>Housewares</t>
        </is>
      </c>
      <c r="C247" t="inlineStr">
        <is>
          <t>Family</t>
        </is>
      </c>
    </row>
    <row r="248">
      <c r="A248" t="inlineStr">
        <is>
          <t>HOMELOFT</t>
        </is>
      </c>
      <c r="B248" t="inlineStr">
        <is>
          <t>Housewares</t>
        </is>
      </c>
      <c r="C248" t="inlineStr">
        <is>
          <t>Family</t>
        </is>
      </c>
    </row>
    <row r="249">
      <c r="A249" t="inlineStr">
        <is>
          <t>WING ON DEPARTMENT</t>
        </is>
      </c>
      <c r="B249" t="inlineStr">
        <is>
          <t>Housewares</t>
        </is>
      </c>
      <c r="C249" t="inlineStr">
        <is>
          <t>Family</t>
        </is>
      </c>
    </row>
    <row r="250">
      <c r="A250" t="inlineStr">
        <is>
          <t>NISHIGISHI FURNITURE</t>
        </is>
      </c>
      <c r="B250" t="inlineStr">
        <is>
          <t>Housewares</t>
        </is>
      </c>
      <c r="C250" t="inlineStr">
        <is>
          <t>Family</t>
        </is>
      </c>
    </row>
    <row r="251">
      <c r="A251" t="inlineStr">
        <is>
          <t>CITYLINE</t>
        </is>
      </c>
      <c r="B251" t="inlineStr">
        <is>
          <t>Entertainment</t>
        </is>
      </c>
      <c r="C251" t="inlineStr">
        <is>
          <t>Family</t>
        </is>
      </c>
    </row>
    <row r="252">
      <c r="A252" t="inlineStr">
        <is>
          <t>GEORG JENSEN</t>
        </is>
      </c>
      <c r="B252" t="inlineStr">
        <is>
          <t>Jewellery</t>
        </is>
      </c>
      <c r="C252" t="inlineStr">
        <is>
          <t>Su</t>
        </is>
      </c>
    </row>
    <row r="253">
      <c r="A253" t="inlineStr">
        <is>
          <t>ANNUAL FEE</t>
        </is>
      </c>
      <c r="B253" t="inlineStr">
        <is>
          <t>Fees</t>
        </is>
      </c>
      <c r="C253" t="inlineStr">
        <is>
          <t>Family</t>
        </is>
      </c>
    </row>
    <row r="254">
      <c r="A254" t="inlineStr">
        <is>
          <t>SPLASH FOUNDATION</t>
        </is>
      </c>
      <c r="B254" t="inlineStr">
        <is>
          <t>Charity</t>
        </is>
      </c>
      <c r="C254" t="inlineStr">
        <is>
          <t>Family</t>
        </is>
      </c>
    </row>
    <row r="255">
      <c r="A255" t="inlineStr">
        <is>
          <t>MOVEMENT MENTORSHIP</t>
        </is>
      </c>
      <c r="B255" t="inlineStr">
        <is>
          <t>Fitness Equipment</t>
        </is>
      </c>
      <c r="C255" t="inlineStr">
        <is>
          <t>Su</t>
        </is>
      </c>
    </row>
    <row r="256">
      <c r="A256" t="inlineStr">
        <is>
          <t>SIXT</t>
        </is>
      </c>
      <c r="B256" t="inlineStr">
        <is>
          <t>Transport</t>
        </is>
      </c>
      <c r="C256" t="inlineStr">
        <is>
          <t>Family</t>
        </is>
      </c>
    </row>
    <row r="257">
      <c r="A257" t="inlineStr">
        <is>
          <t>MOBILE NEWT</t>
        </is>
      </c>
      <c r="B257" t="inlineStr">
        <is>
          <t>Transport</t>
        </is>
      </c>
      <c r="C257" t="inlineStr">
        <is>
          <t>Family</t>
        </is>
      </c>
    </row>
    <row r="258">
      <c r="A258" t="inlineStr">
        <is>
          <t>NEW CHITOSE</t>
        </is>
      </c>
      <c r="B258" t="inlineStr">
        <is>
          <t>Travel</t>
        </is>
      </c>
      <c r="C258" t="inlineStr">
        <is>
          <t>Family</t>
        </is>
      </c>
    </row>
  </sheetData>
  <autoFilter ref="A1:C258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2026-04-28T08:50:37Z</dcterms:created>
  <dcterms:modified xsi:type="dcterms:W3CDTF">2026-04-28T08:50:48Z</dcterms:modified>
</cp:coreProperties>
</file>