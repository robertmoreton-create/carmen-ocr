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name="26" sheetId="1" state="visible" r:id="rId1"/>
    <sheet name="25" sheetId="2" state="visible" r:id="rId2"/>
    <sheet name="24" sheetId="3" state="visible" r:id="rId3"/>
    <sheet name="23" sheetId="4" state="visible" r:id="rId4"/>
    <sheet name="22" sheetId="5" state="visible" r:id="rId5"/>
    <sheet name="21" sheetId="6" state="visible" r:id="rId6"/>
    <sheet name="20" sheetId="7" state="visible" r:id="rId7"/>
    <sheet name="OCR Import" sheetId="8" state="visible" r:id="rId8"/>
    <sheet name="Apr-2026" sheetId="9" state="visible" r:id="rId9"/>
    <sheet name="OCR Review" sheetId="10" state="visible" r:id="rId10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  <numFmt numFmtId="169" formatCode="_(* #,##0.00_);_(* (#,##0.00);_(* &quot;-&quot;??_);_(@_)"/>
  </numFmts>
  <fonts count="19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  <font>
      <name val="Times New Roman"/>
      <b val="1"/>
      <sz val="12"/>
    </font>
    <font>
      <name val="Times New Roman"/>
      <b val="1"/>
      <sz val="10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</borders>
  <cellStyleXfs count="3">
    <xf numFmtId="0" fontId="5" fillId="0" borderId="0"/>
    <xf numFmtId="43" fontId="5" fillId="0" borderId="0"/>
    <xf numFmtId="9" fontId="5" fillId="0" borderId="0"/>
  </cellStyleXfs>
  <cellXfs count="116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7" fillId="0" borderId="0" applyAlignment="1" pivotButton="0" quotePrefix="0" xfId="0">
      <alignment horizontal="left"/>
    </xf>
    <xf numFmtId="164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69" fontId="16" fillId="6" borderId="0" applyAlignment="1" pivotButton="0" quotePrefix="0" xfId="1">
      <alignment horizontal="center"/>
    </xf>
    <xf numFmtId="169" fontId="16" fillId="0" borderId="0" applyAlignment="1" pivotButton="0" quotePrefix="0" xfId="1">
      <alignment horizontal="center"/>
    </xf>
    <xf numFmtId="169" fontId="18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169" fontId="16" fillId="0" borderId="0" applyAlignment="1" pivotButton="0" quotePrefix="0" xfId="0">
      <alignment horizontal="center"/>
    </xf>
    <xf numFmtId="169" fontId="16" fillId="0" borderId="4" applyAlignment="1" pivotButton="0" quotePrefix="0" xfId="0">
      <alignment horizontal="center"/>
    </xf>
    <xf numFmtId="169" fontId="16" fillId="0" borderId="4" applyAlignment="1" pivotButton="0" quotePrefix="0" xfId="1">
      <alignment horizontal="center"/>
    </xf>
    <xf numFmtId="169" fontId="16" fillId="6" borderId="0" applyAlignment="1" pivotButton="0" quotePrefix="0" xfId="1">
      <alignment horizontal="center"/>
    </xf>
    <xf numFmtId="169" fontId="16" fillId="0" borderId="0" applyAlignment="1" pivotButton="0" quotePrefix="0" xfId="1">
      <alignment horizontal="center"/>
    </xf>
    <xf numFmtId="169" fontId="18" fillId="0" borderId="0" applyAlignment="1" pivotButton="0" quotePrefix="0" xfId="1">
      <alignment horizontal="center"/>
    </xf>
    <xf numFmtId="169" fontId="16" fillId="0" borderId="0" applyAlignment="1" pivotButton="0" quotePrefix="0" xfId="0">
      <alignment horizontal="center"/>
    </xf>
    <xf numFmtId="169" fontId="16" fillId="0" borderId="4" applyAlignment="1" pivotButton="0" quotePrefix="0" xfId="0">
      <alignment horizontal="center"/>
    </xf>
    <xf numFmtId="169" fontId="16" fillId="0" borderId="4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43" fontId="16" fillId="0" borderId="0" applyAlignment="1" pivotButton="0" quotePrefix="0" xfId="1">
      <alignment horizontal="center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10.5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  <col width="13" customWidth="1" min="11" max="11"/>
  </cols>
  <sheetData>
    <row r="1" ht="15.75" customHeight="1">
      <c r="A1" s="95" t="inlineStr">
        <is>
          <t xml:space="preserve">HSBC - Lee Su Hwei #175-244250-833 </t>
        </is>
      </c>
      <c r="B1" s="96" t="n"/>
      <c r="C1" s="97" t="n"/>
      <c r="D1" s="98" t="n"/>
      <c r="E1" s="106">
        <f>E46</f>
        <v/>
      </c>
      <c r="F1" s="106">
        <f>F46</f>
        <v/>
      </c>
      <c r="G1" s="106">
        <f>G46</f>
        <v/>
      </c>
      <c r="H1" s="106">
        <f>H46</f>
        <v/>
      </c>
      <c r="I1" s="106">
        <f>I46</f>
        <v/>
      </c>
      <c r="J1" s="97" t="n"/>
      <c r="K1" s="97" t="n"/>
    </row>
    <row r="2" ht="15.75" customHeight="1">
      <c r="A2" s="96" t="n"/>
      <c r="B2" s="96" t="n"/>
      <c r="C2" s="97" t="n"/>
      <c r="D2" s="98" t="n"/>
      <c r="E2" s="107" t="n"/>
      <c r="F2" s="107" t="n"/>
      <c r="G2" s="107" t="n"/>
      <c r="H2" s="107" t="n"/>
      <c r="I2" s="107" t="inlineStr">
        <is>
          <t>HSBC One A/C</t>
        </is>
      </c>
      <c r="J2" s="97" t="n"/>
      <c r="K2" s="97" t="n"/>
    </row>
    <row r="3">
      <c r="A3" s="96" t="n"/>
      <c r="B3" s="96" t="n"/>
      <c r="C3" s="97" t="n"/>
      <c r="D3" s="98" t="n"/>
      <c r="E3" s="107" t="n"/>
      <c r="F3" s="107" t="n"/>
      <c r="G3" s="107" t="n"/>
      <c r="H3" s="107" t="n"/>
      <c r="I3" s="107" t="inlineStr">
        <is>
          <t>#175-244250-833</t>
        </is>
      </c>
      <c r="J3" s="97" t="n"/>
      <c r="K3" s="97" t="n"/>
    </row>
    <row r="4" ht="15" customFormat="1" customHeight="1" s="7">
      <c r="A4" s="96" t="inlineStr">
        <is>
          <t>T-Date</t>
        </is>
      </c>
      <c r="B4" s="96" t="inlineStr">
        <is>
          <t>V-Date</t>
        </is>
      </c>
      <c r="C4" s="98" t="inlineStr">
        <is>
          <t>Description</t>
        </is>
      </c>
      <c r="D4" s="98" t="inlineStr">
        <is>
          <t>CQ#</t>
        </is>
      </c>
      <c r="E4" s="108" t="inlineStr">
        <is>
          <t>CNY</t>
        </is>
      </c>
      <c r="F4" s="108" t="inlineStr">
        <is>
          <t>GBP</t>
        </is>
      </c>
      <c r="G4" s="108" t="inlineStr">
        <is>
          <t>JPY S/A</t>
        </is>
      </c>
      <c r="H4" s="108" t="inlineStr">
        <is>
          <t>HKD S/A</t>
        </is>
      </c>
      <c r="I4" s="108" t="inlineStr">
        <is>
          <t>USD S/A</t>
        </is>
      </c>
      <c r="J4" s="97" t="n"/>
      <c r="K4" s="97" t="n"/>
    </row>
    <row r="5" customFormat="1" s="13">
      <c r="A5" s="96" t="n"/>
      <c r="B5" s="102" t="n">
        <v>45948</v>
      </c>
      <c r="C5" s="97" t="inlineStr">
        <is>
          <t>Balance B/F</t>
        </is>
      </c>
      <c r="D5" s="98" t="n"/>
      <c r="E5" s="107" t="n">
        <v>2000.32</v>
      </c>
      <c r="F5" s="107" t="n">
        <v>3.03</v>
      </c>
      <c r="G5" s="107" t="n">
        <v>1477</v>
      </c>
      <c r="H5" s="107" t="n">
        <v>109908.98</v>
      </c>
      <c r="I5" s="107" t="n">
        <v>3.65</v>
      </c>
      <c r="J5" s="97" t="n"/>
      <c r="K5" s="97" t="n"/>
    </row>
    <row r="6" customFormat="1" s="78">
      <c r="A6" s="96" t="n"/>
      <c r="B6" s="96" t="n">
        <v>45954</v>
      </c>
      <c r="C6" s="97" t="inlineStr">
        <is>
          <t>cash rebate - 0.5%</t>
        </is>
      </c>
      <c r="D6" s="98" t="n"/>
      <c r="E6" s="109" t="n"/>
      <c r="F6" s="109" t="n"/>
      <c r="G6" s="109" t="n"/>
      <c r="H6" s="107" t="n">
        <v>0.08</v>
      </c>
      <c r="I6" s="109" t="n"/>
      <c r="J6" s="97" t="n"/>
      <c r="K6" s="97" t="n"/>
    </row>
    <row r="7" customFormat="1" s="78">
      <c r="A7" s="96" t="n"/>
      <c r="B7" s="96" t="n">
        <v>45954</v>
      </c>
      <c r="C7" s="97" t="inlineStr">
        <is>
          <t>cash rebate - 0.5%</t>
        </is>
      </c>
      <c r="D7" s="98" t="n"/>
      <c r="E7" s="109" t="n"/>
      <c r="F7" s="109" t="n"/>
      <c r="G7" s="109" t="n"/>
      <c r="H7" s="107" t="n">
        <v>0.71</v>
      </c>
      <c r="I7" s="109" t="n"/>
      <c r="J7" s="97" t="n"/>
      <c r="K7" s="97" t="n"/>
    </row>
    <row r="8" customFormat="1" s="78">
      <c r="A8" s="96" t="n"/>
      <c r="B8" s="96" t="n">
        <v>45954</v>
      </c>
      <c r="C8" s="97" t="inlineStr">
        <is>
          <t>POS MDC - EFTPAY*ABERDEEN BOAT ft aa)</t>
        </is>
      </c>
      <c r="D8" s="98" t="n"/>
      <c r="E8" s="109" t="n"/>
      <c r="F8" s="109" t="n"/>
      <c r="G8" s="109" t="n"/>
      <c r="H8" s="107" t="n">
        <v>-16</v>
      </c>
      <c r="I8" s="109" t="n"/>
      <c r="J8" s="97" t="n"/>
      <c r="K8" s="97" t="n"/>
    </row>
    <row r="9" customFormat="1" s="78">
      <c r="A9" s="96" t="n"/>
      <c r="B9" s="96" t="n">
        <v>45954</v>
      </c>
      <c r="C9" s="97" t="inlineStr">
        <is>
          <t>POS MDC - EFTPAY*ABERDEEN BOAT PRT</t>
        </is>
      </c>
      <c r="D9" s="98" t="n"/>
      <c r="E9" s="109" t="n"/>
      <c r="F9" s="109" t="n"/>
      <c r="G9" s="109" t="n"/>
      <c r="H9" s="107" t="n">
        <v>-142</v>
      </c>
      <c r="I9" s="109" t="n"/>
      <c r="J9" s="97" t="n"/>
      <c r="K9" s="97" t="n"/>
    </row>
    <row r="10" customFormat="1" s="78">
      <c r="A10" s="96" t="n"/>
      <c r="B10" s="96" t="n">
        <v>45954</v>
      </c>
      <c r="C10" s="97" t="inlineStr">
        <is>
          <t>cash rebate - 0.5%</t>
        </is>
      </c>
      <c r="D10" s="98" t="n"/>
      <c r="E10" s="109" t="n"/>
      <c r="F10" s="109" t="n"/>
      <c r="G10" s="109" t="n"/>
      <c r="H10" s="107" t="n">
        <v>0.68</v>
      </c>
      <c r="I10" s="109" t="n"/>
      <c r="J10" s="97" t="n"/>
      <c r="K10" s="97" t="n"/>
    </row>
    <row r="11" customFormat="1" s="78">
      <c r="A11" s="96" t="n"/>
      <c r="B11" s="96" t="n">
        <v>45954</v>
      </c>
      <c r="C11" s="97" t="inlineStr">
        <is>
          <t>POS MDC - EFTPAY*ABERDEEN BOAT SURRCH</t>
        </is>
      </c>
      <c r="D11" s="98" t="n"/>
      <c r="E11" s="109" t="n"/>
      <c r="F11" s="109" t="n"/>
      <c r="G11" s="109" t="n"/>
      <c r="H11" s="107" t="n">
        <v>-136</v>
      </c>
      <c r="I11" s="109" t="n"/>
      <c r="J11" s="97" t="n"/>
      <c r="K11" s="97" t="n"/>
    </row>
    <row r="12" customFormat="1" s="78">
      <c r="A12" s="96" t="n"/>
      <c r="B12" s="96" t="n">
        <v>45952</v>
      </c>
      <c r="C12" s="97" t="inlineStr">
        <is>
          <t>cash rebate - 0.5%</t>
        </is>
      </c>
      <c r="D12" s="98" t="n"/>
      <c r="E12" s="109" t="n"/>
      <c r="F12" s="109" t="n"/>
      <c r="G12" s="109" t="n"/>
      <c r="H12" s="107" t="n">
        <v>5.3</v>
      </c>
      <c r="I12" s="109" t="n"/>
      <c r="J12" s="97" t="n"/>
      <c r="K12" s="97" t="n"/>
    </row>
    <row r="13" customFormat="1" s="78">
      <c r="A13" s="96" t="n"/>
      <c r="B13" s="96" t="n">
        <v>45952</v>
      </c>
      <c r="C13" s="97" t="inlineStr">
        <is>
          <t>MDC S - COLLEGEBOARD’S USD _7.79792RT SR</t>
        </is>
      </c>
      <c r="D13" s="98" t="n"/>
      <c r="E13" s="109" t="n"/>
      <c r="F13" s="109" t="n"/>
      <c r="G13" s="109" t="n"/>
      <c r="H13" s="107" t="n">
        <v>-1052.72</v>
      </c>
      <c r="I13" s="109" t="n"/>
      <c r="J13" s="97" t="n"/>
      <c r="K13" s="97" t="n"/>
    </row>
    <row r="14" customFormat="1" s="78">
      <c r="A14" s="96" t="n"/>
      <c r="B14" s="96" t="n">
        <v>45953</v>
      </c>
      <c r="C14" s="97" t="inlineStr">
        <is>
          <t>cash rebate - 0.5%</t>
        </is>
      </c>
      <c r="D14" s="98" t="n"/>
      <c r="E14" s="109" t="n"/>
      <c r="F14" s="109" t="n"/>
      <c r="G14" s="109" t="n"/>
      <c r="H14" s="107" t="n">
        <v>1.01</v>
      </c>
      <c r="I14" s="109" t="n"/>
      <c r="J14" s="97" t="n"/>
      <c r="K14" s="97" t="n"/>
    </row>
    <row r="15" customFormat="1" s="78">
      <c r="A15" s="96" t="n"/>
      <c r="B15" s="96" t="n">
        <v>45953</v>
      </c>
      <c r="C15" s="97" t="inlineStr">
        <is>
          <t>cash rebate - 0.5%</t>
        </is>
      </c>
      <c r="D15" s="98" t="n"/>
      <c r="E15" s="109" t="n"/>
      <c r="F15" s="109" t="n"/>
      <c r="G15" s="109" t="n"/>
      <c r="H15" s="107" t="n">
        <v>1.56</v>
      </c>
      <c r="I15" s="109" t="n"/>
      <c r="J15" s="97" t="n"/>
      <c r="K15" s="97" t="n"/>
    </row>
    <row r="16" customFormat="1" s="78">
      <c r="A16" s="96" t="n"/>
      <c r="B16" s="96" t="n">
        <v>45953</v>
      </c>
      <c r="C16" s="97" t="inlineStr">
        <is>
          <t xml:space="preserve">POS MDC - Uber </t>
        </is>
      </c>
      <c r="D16" s="98" t="n"/>
      <c r="E16" s="109" t="n"/>
      <c r="F16" s="109" t="n"/>
      <c r="G16" s="109" t="n"/>
      <c r="H16" s="107" t="n">
        <v>-310.27</v>
      </c>
      <c r="I16" s="109" t="n"/>
      <c r="J16" s="97" t="n"/>
      <c r="K16" s="97" t="n"/>
    </row>
    <row r="17" customFormat="1" s="78">
      <c r="A17" s="96" t="n"/>
      <c r="B17" s="96" t="n">
        <v>45954</v>
      </c>
      <c r="C17" s="97" t="inlineStr">
        <is>
          <t>cash rebate - 0.5%</t>
        </is>
      </c>
      <c r="D17" s="98" t="n"/>
      <c r="E17" s="109" t="n"/>
      <c r="F17" s="109" t="n"/>
      <c r="G17" s="109" t="n"/>
      <c r="H17" s="107" t="n">
        <v>0.86</v>
      </c>
      <c r="I17" s="109" t="n"/>
      <c r="J17" s="97" t="n"/>
      <c r="K17" s="97" t="n"/>
    </row>
    <row r="18" customFormat="1" s="78">
      <c r="A18" s="96" t="n"/>
      <c r="B18" s="96" t="n">
        <v>45954</v>
      </c>
      <c r="C18" s="97" t="inlineStr">
        <is>
          <t>MDC S - GELSON'S MARKE USD —_7.79795RT ROTH</t>
        </is>
      </c>
      <c r="D18" s="98" t="n"/>
      <c r="E18" s="109" t="n"/>
      <c r="F18" s="109" t="n"/>
      <c r="G18" s="109" t="n"/>
      <c r="H18" s="107" t="n">
        <v>-175.61</v>
      </c>
      <c r="I18" s="109" t="n"/>
      <c r="J18" s="97" t="n"/>
      <c r="K18" s="97" t="n"/>
    </row>
    <row r="19" customFormat="1" s="78">
      <c r="A19" s="96" t="n"/>
      <c r="B19" s="96" t="n">
        <v>45955</v>
      </c>
      <c r="C19" s="97" t="inlineStr">
        <is>
          <t>cash rebate - 0.5%</t>
        </is>
      </c>
      <c r="D19" s="98" t="n"/>
      <c r="E19" s="109" t="n"/>
      <c r="F19" s="109" t="n"/>
      <c r="G19" s="109" t="n"/>
      <c r="H19" s="107" t="n">
        <v>2.42</v>
      </c>
      <c r="I19" s="109" t="n"/>
      <c r="J19" s="97" t="n"/>
      <c r="K19" s="97" t="n"/>
    </row>
    <row r="20" customFormat="1" s="78">
      <c r="A20" s="96" t="n"/>
      <c r="B20" s="96" t="n">
        <v>45955</v>
      </c>
      <c r="C20" s="97" t="inlineStr">
        <is>
          <t xml:space="preserve">POS MDC - Uber </t>
        </is>
      </c>
      <c r="D20" s="98" t="n"/>
      <c r="E20" s="109" t="n"/>
      <c r="F20" s="109" t="n"/>
      <c r="G20" s="109" t="n"/>
      <c r="H20" s="107" t="n">
        <v>-491.3</v>
      </c>
      <c r="I20" s="109" t="n"/>
      <c r="J20" s="97" t="n"/>
      <c r="K20" s="97" t="n"/>
    </row>
    <row r="21" customFormat="1" s="78">
      <c r="A21" s="96" t="n"/>
      <c r="B21" s="96" t="n">
        <v>45957</v>
      </c>
      <c r="C21" s="97" t="inlineStr">
        <is>
          <t>cash rebate - 0.5%</t>
        </is>
      </c>
      <c r="D21" s="98" t="n"/>
      <c r="E21" s="109" t="n"/>
      <c r="F21" s="109" t="n"/>
      <c r="G21" s="109" t="n"/>
      <c r="H21" s="107" t="n">
        <v>1.25</v>
      </c>
      <c r="I21" s="109" t="n"/>
      <c r="J21" s="97" t="n"/>
      <c r="K21" s="97" t="n"/>
    </row>
    <row r="22" customFormat="1" s="78">
      <c r="A22" s="96" t="n"/>
      <c r="B22" s="96" t="n">
        <v>45957</v>
      </c>
      <c r="C22" s="97" t="inlineStr">
        <is>
          <t xml:space="preserve">POS MDC - Uber </t>
        </is>
      </c>
      <c r="D22" s="98" t="n"/>
      <c r="E22" s="109" t="n"/>
      <c r="F22" s="109" t="n"/>
      <c r="G22" s="109" t="n"/>
      <c r="H22" s="107" t="n">
        <v>-253.58</v>
      </c>
      <c r="I22" s="109" t="n"/>
      <c r="J22" s="97" t="n"/>
      <c r="K22" s="97" t="n"/>
    </row>
    <row r="23" customFormat="1" s="78">
      <c r="A23" s="96" t="n"/>
      <c r="B23" s="96" t="n">
        <v>45958</v>
      </c>
      <c r="C23" s="97" t="inlineStr">
        <is>
          <t>credit interest</t>
        </is>
      </c>
      <c r="D23" s="98" t="n"/>
      <c r="E23" s="109" t="n"/>
      <c r="F23" s="109" t="n"/>
      <c r="G23" s="109" t="n"/>
      <c r="H23" s="107" t="n">
        <v>12</v>
      </c>
      <c r="I23" s="109" t="n"/>
      <c r="J23" s="97" t="n"/>
      <c r="K23" s="97" t="n"/>
    </row>
    <row r="24" customFormat="1" s="78">
      <c r="A24" s="96" t="n"/>
      <c r="B24" s="96" t="n">
        <v>45961</v>
      </c>
      <c r="C24" s="97" t="inlineStr">
        <is>
          <t>To PayMe</t>
        </is>
      </c>
      <c r="D24" s="98" t="n"/>
      <c r="E24" s="109" t="n"/>
      <c r="F24" s="109" t="n"/>
      <c r="G24" s="109" t="n"/>
      <c r="H24" s="107" t="n">
        <v>-2800</v>
      </c>
      <c r="I24" s="109" t="n"/>
      <c r="J24" s="97" t="n"/>
      <c r="K24" s="97" t="n"/>
    </row>
    <row r="25" customFormat="1" s="78">
      <c r="A25" s="96" t="n"/>
      <c r="B25" s="96" t="n">
        <v>45961</v>
      </c>
      <c r="C25" s="97" t="inlineStr">
        <is>
          <t>To PayMe</t>
        </is>
      </c>
      <c r="D25" s="98" t="n"/>
      <c r="E25" s="109" t="n"/>
      <c r="F25" s="109" t="n"/>
      <c r="G25" s="109" t="n"/>
      <c r="H25" s="107" t="n">
        <v>-2000</v>
      </c>
      <c r="I25" s="109" t="n"/>
      <c r="J25" s="97" t="n"/>
      <c r="K25" s="97" t="n"/>
    </row>
    <row r="26" customFormat="1" s="78">
      <c r="A26" s="96" t="n"/>
      <c r="B26" s="96" t="n">
        <v>45961</v>
      </c>
      <c r="C26" s="97" t="inlineStr">
        <is>
          <t>To PayMe</t>
        </is>
      </c>
      <c r="D26" s="98" t="n"/>
      <c r="E26" s="109" t="n"/>
      <c r="F26" s="109" t="n"/>
      <c r="G26" s="109" t="n"/>
      <c r="H26" s="107" t="n">
        <v>-1600</v>
      </c>
      <c r="I26" s="109" t="n"/>
      <c r="J26" s="97" t="n"/>
      <c r="K26" s="97" t="n"/>
    </row>
    <row r="27" customFormat="1" s="78">
      <c r="A27" s="96" t="n"/>
      <c r="B27" s="96" t="n">
        <v>45961</v>
      </c>
      <c r="C27" s="97" t="inlineStr">
        <is>
          <t>To PayMe</t>
        </is>
      </c>
      <c r="D27" s="98" t="n"/>
      <c r="E27" s="109" t="n"/>
      <c r="F27" s="109" t="n"/>
      <c r="G27" s="109" t="n"/>
      <c r="H27" s="107" t="n">
        <v>-2000</v>
      </c>
      <c r="I27" s="109" t="n"/>
      <c r="J27" s="97" t="n"/>
      <c r="K27" s="97" t="n"/>
    </row>
    <row r="28" customFormat="1" s="78">
      <c r="A28" s="96" t="n"/>
      <c r="B28" s="96" t="n">
        <v>45964</v>
      </c>
      <c r="C28" s="97" t="inlineStr">
        <is>
          <t>cash rebate - 0.5%</t>
        </is>
      </c>
      <c r="D28" s="98" t="n"/>
      <c r="E28" s="109" t="n"/>
      <c r="F28" s="109" t="n"/>
      <c r="G28" s="109" t="n"/>
      <c r="H28" s="107" t="n">
        <v>1.36</v>
      </c>
      <c r="I28" s="109" t="n"/>
      <c r="J28" s="97" t="n"/>
      <c r="K28" s="97" t="n"/>
    </row>
    <row r="29" customFormat="1" s="78">
      <c r="A29" s="96" t="n"/>
      <c r="B29" s="96" t="n">
        <v>45963</v>
      </c>
      <c r="C29" s="97" t="inlineStr">
        <is>
          <t>POS MDC - ILCOLPO Sate]</t>
        </is>
      </c>
      <c r="D29" s="98" t="n"/>
      <c r="E29" s="109" t="n"/>
      <c r="F29" s="109" t="n"/>
      <c r="G29" s="109" t="n"/>
      <c r="H29" s="107" t="n">
        <v>-271</v>
      </c>
      <c r="I29" s="109" t="n"/>
      <c r="J29" s="97" t="n"/>
      <c r="K29" s="97" t="n"/>
    </row>
    <row r="30">
      <c r="A30" s="96" t="n"/>
      <c r="B30" s="96" t="n">
        <v>45968</v>
      </c>
      <c r="C30" s="97" t="inlineStr">
        <is>
          <t>cash rebate - 0.5%</t>
        </is>
      </c>
      <c r="D30" s="98" t="n"/>
      <c r="E30" s="109" t="n"/>
      <c r="F30" s="109" t="n"/>
      <c r="G30" s="109" t="n"/>
      <c r="H30" s="107" t="n">
        <v>0.6</v>
      </c>
      <c r="I30" s="109" t="n"/>
      <c r="J30" s="97" t="n"/>
      <c r="K30" s="97" t="n"/>
    </row>
    <row r="31">
      <c r="A31" s="96" t="n"/>
      <c r="B31" s="96" t="n">
        <v>45968</v>
      </c>
      <c r="C31" s="97" t="inlineStr">
        <is>
          <t xml:space="preserve">POS MDC - Fortress Travel </t>
        </is>
      </c>
      <c r="D31" s="98" t="n"/>
      <c r="E31" s="109" t="n"/>
      <c r="F31" s="109" t="n"/>
      <c r="G31" s="109" t="n"/>
      <c r="H31" s="107" t="n">
        <v>-120</v>
      </c>
      <c r="I31" s="109" t="n"/>
      <c r="J31" s="97" t="n"/>
      <c r="K31" s="97" t="n"/>
    </row>
    <row r="32">
      <c r="A32" s="96" t="n"/>
      <c r="B32" s="96" t="n">
        <v>45969</v>
      </c>
      <c r="C32" s="97" t="inlineStr">
        <is>
          <t>cash rebate - 0.5%</t>
        </is>
      </c>
      <c r="D32" s="98" t="n"/>
      <c r="E32" s="109" t="n"/>
      <c r="F32" s="109" t="n"/>
      <c r="G32" s="109" t="n"/>
      <c r="H32" s="107" t="n">
        <v>1.48</v>
      </c>
      <c r="I32" s="109" t="n"/>
      <c r="J32" s="97" t="n"/>
      <c r="K32" s="97" t="n"/>
    </row>
    <row r="33">
      <c r="A33" s="96" t="n"/>
      <c r="B33" s="96" t="n">
        <v>45969</v>
      </c>
      <c r="C33" s="97" t="inlineStr">
        <is>
          <t>POS MDC - EFTPAY“FIVE GUYS SRS</t>
        </is>
      </c>
      <c r="D33" s="98" t="n"/>
      <c r="E33" s="109" t="n"/>
      <c r="F33" s="109" t="n"/>
      <c r="G33" s="109" t="n"/>
      <c r="H33" s="107" t="n">
        <v>-295</v>
      </c>
      <c r="I33" s="109" t="n"/>
      <c r="J33" s="97" t="n"/>
      <c r="K33" s="97" t="n"/>
    </row>
    <row r="34">
      <c r="A34" s="96" t="n"/>
      <c r="B34" s="96" t="n">
        <v>45971</v>
      </c>
      <c r="C34" s="97" t="inlineStr">
        <is>
          <t>cash rebate - 0.5%</t>
        </is>
      </c>
      <c r="D34" s="98" t="n"/>
      <c r="E34" s="109" t="n"/>
      <c r="F34" s="109" t="n"/>
      <c r="G34" s="109" t="n"/>
      <c r="H34" s="107" t="n">
        <v>0.25</v>
      </c>
      <c r="I34" s="109" t="n"/>
      <c r="J34" s="97" t="n"/>
      <c r="K34" s="97" t="n"/>
    </row>
    <row r="35">
      <c r="A35" s="96" t="n"/>
      <c r="B35" s="96" t="n">
        <v>45970</v>
      </c>
      <c r="C35" s="97" t="inlineStr">
        <is>
          <t xml:space="preserve">POS MDC - Fortress Travel </t>
        </is>
      </c>
      <c r="D35" s="98" t="n"/>
      <c r="E35" s="109" t="n"/>
      <c r="F35" s="109" t="n"/>
      <c r="G35" s="109" t="n"/>
      <c r="H35" s="107" t="n">
        <v>-50</v>
      </c>
      <c r="I35" s="109" t="n"/>
      <c r="J35" s="97" t="n"/>
      <c r="K35" s="97" t="n"/>
    </row>
    <row r="36">
      <c r="A36" s="96" t="n"/>
      <c r="B36" s="96" t="n">
        <v>45971</v>
      </c>
      <c r="C36" s="97" t="inlineStr">
        <is>
          <t>cash rebate - 0.5%</t>
        </is>
      </c>
      <c r="D36" s="98" t="n"/>
      <c r="E36" s="109" t="n"/>
      <c r="F36" s="109" t="n"/>
      <c r="G36" s="109" t="n"/>
      <c r="H36" s="107" t="n">
        <v>1.75</v>
      </c>
      <c r="I36" s="109" t="n"/>
      <c r="J36" s="97" t="n"/>
      <c r="K36" s="97" t="n"/>
    </row>
    <row r="37">
      <c r="A37" s="96" t="n"/>
      <c r="B37" s="96" t="n">
        <v>45971</v>
      </c>
      <c r="C37" s="97" t="inlineStr">
        <is>
          <t xml:space="preserve">POS MDC - Uber </t>
        </is>
      </c>
      <c r="D37" s="98" t="n"/>
      <c r="E37" s="109" t="n"/>
      <c r="F37" s="109" t="n"/>
      <c r="G37" s="109" t="n"/>
      <c r="H37" s="107" t="n">
        <v>-350.62</v>
      </c>
      <c r="I37" s="109" t="n"/>
      <c r="J37" s="97" t="n"/>
      <c r="K37" s="97" t="n"/>
    </row>
    <row r="38">
      <c r="A38" s="96" t="n"/>
      <c r="B38" s="96" t="n">
        <v>45974</v>
      </c>
      <c r="C38" s="97" t="inlineStr">
        <is>
          <t>cash rebate - 0.5%</t>
        </is>
      </c>
      <c r="D38" s="98" t="n"/>
      <c r="E38" s="109" t="n"/>
      <c r="F38" s="109" t="n"/>
      <c r="G38" s="109" t="n"/>
      <c r="H38" s="107" t="n">
        <v>0.19</v>
      </c>
      <c r="I38" s="109" t="n"/>
      <c r="J38" s="97" t="n"/>
      <c r="K38" s="97" t="n"/>
    </row>
    <row r="39">
      <c r="A39" s="96" t="n"/>
      <c r="B39" s="96" t="n">
        <v>45974</v>
      </c>
      <c r="C39" s="97" t="inlineStr">
        <is>
          <t xml:space="preserve">POS MDC - Fortress Travel </t>
        </is>
      </c>
      <c r="D39" s="98" t="n"/>
      <c r="E39" s="109" t="n"/>
      <c r="F39" s="109" t="n"/>
      <c r="G39" s="109" t="n"/>
      <c r="H39" s="107" t="n">
        <v>-38</v>
      </c>
      <c r="I39" s="109" t="n"/>
      <c r="J39" s="97" t="n"/>
      <c r="K39" s="97" t="n"/>
    </row>
    <row r="40">
      <c r="A40" s="96" t="n"/>
      <c r="B40" s="96" t="n">
        <v>45974</v>
      </c>
      <c r="C40" s="97" t="inlineStr">
        <is>
          <t>cash rebate - 0.5%</t>
        </is>
      </c>
      <c r="D40" s="98" t="n"/>
      <c r="E40" s="109" t="n"/>
      <c r="F40" s="109" t="n"/>
      <c r="G40" s="109" t="n"/>
      <c r="H40" s="107" t="n">
        <v>6.18</v>
      </c>
      <c r="I40" s="109" t="n"/>
      <c r="J40" s="97" t="n"/>
      <c r="K40" s="97" t="n"/>
    </row>
    <row r="41">
      <c r="A41" s="96" t="n"/>
      <c r="B41" s="96" t="n">
        <v>45974</v>
      </c>
      <c r="C41" s="97" t="inlineStr">
        <is>
          <t>POS MDC - SUMAC FR</t>
        </is>
      </c>
      <c r="D41" s="98" t="n"/>
      <c r="E41" s="109" t="n"/>
      <c r="F41" s="109" t="n"/>
      <c r="G41" s="109" t="n"/>
      <c r="H41" s="107" t="n">
        <v>-1236</v>
      </c>
      <c r="I41" s="109" t="n"/>
      <c r="J41" s="97" t="n"/>
      <c r="K41" s="97" t="n"/>
    </row>
    <row r="42">
      <c r="A42" s="96" t="n"/>
      <c r="B42" s="96" t="n">
        <v>45975</v>
      </c>
      <c r="C42" s="97" t="inlineStr">
        <is>
          <t>cash rebate - 0.5%</t>
        </is>
      </c>
      <c r="D42" s="98" t="n"/>
      <c r="E42" s="109" t="n"/>
      <c r="F42" s="109" t="n"/>
      <c r="G42" s="109" t="n"/>
      <c r="H42" s="107" t="n">
        <v>0.47</v>
      </c>
      <c r="I42" s="109" t="n"/>
      <c r="J42" s="97" t="n"/>
      <c r="K42" s="97" t="n"/>
    </row>
    <row r="43">
      <c r="A43" s="96" t="n"/>
      <c r="B43" s="96" t="n">
        <v>45975</v>
      </c>
      <c r="C43" s="97" t="inlineStr">
        <is>
          <t xml:space="preserve">POS MDC - Uber </t>
        </is>
      </c>
      <c r="D43" s="98" t="n"/>
      <c r="E43" s="109" t="n"/>
      <c r="F43" s="109" t="n"/>
      <c r="G43" s="109" t="n"/>
      <c r="H43" s="107" t="n">
        <v>-93.62</v>
      </c>
      <c r="I43" s="109" t="n"/>
      <c r="J43" s="97" t="n"/>
      <c r="K43" s="97" t="n"/>
    </row>
    <row r="44">
      <c r="A44" s="96" t="n"/>
      <c r="B44" s="96" t="n">
        <v>45979</v>
      </c>
      <c r="C44" s="97" t="inlineStr">
        <is>
          <t>To PayMe</t>
        </is>
      </c>
      <c r="D44" s="98" t="n"/>
      <c r="E44" s="109" t="n"/>
      <c r="F44" s="109" t="n"/>
      <c r="G44" s="109" t="n"/>
      <c r="H44" s="107" t="n">
        <v>-5435</v>
      </c>
      <c r="I44" s="109" t="n"/>
      <c r="J44" s="97" t="n"/>
      <c r="K44" s="97" t="n"/>
    </row>
    <row r="45">
      <c r="A45" s="96" t="n"/>
      <c r="B45" s="96" t="n">
        <v>45979</v>
      </c>
      <c r="C45" s="97" t="inlineStr">
        <is>
          <t>To PayMe</t>
        </is>
      </c>
      <c r="D45" s="98" t="n"/>
      <c r="E45" s="109" t="n"/>
      <c r="F45" s="109" t="n"/>
      <c r="G45" s="109" t="n"/>
      <c r="H45" s="107" t="n">
        <v>-2000</v>
      </c>
      <c r="I45" s="109" t="n"/>
      <c r="J45" s="97" t="n"/>
      <c r="K45" s="97" t="n"/>
    </row>
    <row r="46">
      <c r="A46" s="96" t="n"/>
      <c r="B46" s="96" t="n"/>
      <c r="C46" s="97" t="n"/>
      <c r="D46" s="98" t="n"/>
      <c r="E46" s="110">
        <f>SUM(E6:E45)</f>
        <v/>
      </c>
      <c r="F46" s="110">
        <f>SUM(F6:F45)</f>
        <v/>
      </c>
      <c r="G46" s="110">
        <f>SUM(G6:G45)</f>
        <v/>
      </c>
      <c r="H46" s="111">
        <f>SUM(H6:H45)</f>
        <v/>
      </c>
      <c r="I46" s="110">
        <f>SUM(I6:I45)</f>
        <v/>
      </c>
      <c r="J46" s="97" t="n"/>
      <c r="K46" s="97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 t="n"/>
    </row>
    <row r="81">
      <c r="B81" s="80" t="n"/>
      <c r="C81" s="2" t="n"/>
      <c r="H81" s="56" t="n"/>
    </row>
    <row r="82">
      <c r="C82" s="2" t="n"/>
      <c r="H82" s="56" t="n"/>
      <c r="J82" s="2" t="n"/>
    </row>
    <row r="83">
      <c r="B83" s="80" t="n"/>
      <c r="C83" s="2" t="n"/>
      <c r="H83" s="56" t="n"/>
    </row>
    <row r="84">
      <c r="C84" s="2" t="n"/>
      <c r="H84" s="56" t="n"/>
      <c r="J84" s="2" t="n"/>
    </row>
    <row r="85">
      <c r="B85" s="80" t="n"/>
      <c r="C85" s="2" t="n"/>
      <c r="H85" s="56" t="n"/>
    </row>
    <row r="86">
      <c r="C86" s="2" t="n"/>
      <c r="H86" s="56" t="n"/>
      <c r="J86" s="2" t="n"/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112" t="inlineStr">
        <is>
          <t xml:space="preserve">HSBC - Lee Su Hwei #175-244250-833 </t>
        </is>
      </c>
      <c r="B1" s="82" t="n"/>
      <c r="C1" s="3" t="n"/>
      <c r="D1" s="4" t="n"/>
      <c r="E1" s="113">
        <f>E96</f>
        <v/>
      </c>
      <c r="F1" s="113">
        <f>F96</f>
        <v/>
      </c>
      <c r="G1" s="113">
        <f>G96</f>
        <v/>
      </c>
      <c r="H1" s="113">
        <f>H96</f>
        <v/>
      </c>
      <c r="I1" s="113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114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114" t="inlineStr">
        <is>
          <t>#175-244250-832</t>
        </is>
      </c>
    </row>
    <row r="4" ht="15" customFormat="1" customHeight="1" s="7">
      <c r="A4" s="96" t="inlineStr">
        <is>
          <t>T-Date</t>
        </is>
      </c>
      <c r="B4" s="96" t="inlineStr">
        <is>
          <t>V-Date</t>
        </is>
      </c>
      <c r="C4" s="98" t="inlineStr">
        <is>
          <t>Description</t>
        </is>
      </c>
      <c r="D4" s="98" t="inlineStr">
        <is>
          <t>CQ#</t>
        </is>
      </c>
      <c r="E4" s="115" t="inlineStr">
        <is>
          <t>CNY</t>
        </is>
      </c>
      <c r="F4" s="115" t="inlineStr">
        <is>
          <t>GBP</t>
        </is>
      </c>
      <c r="G4" s="115" t="inlineStr">
        <is>
          <t>JPY S/A</t>
        </is>
      </c>
      <c r="H4" s="115" t="inlineStr">
        <is>
          <t>HKD S/A</t>
        </is>
      </c>
      <c r="I4" s="115" t="inlineStr">
        <is>
          <t>USD S/A</t>
        </is>
      </c>
    </row>
    <row r="5" customFormat="1" s="13">
      <c r="A5" s="96" t="n"/>
      <c r="B5" s="102" t="n"/>
      <c r="C5" s="97" t="inlineStr">
        <is>
          <t>Balance B/F</t>
        </is>
      </c>
      <c r="D5" s="98" t="n"/>
      <c r="E5" s="115" t="n"/>
      <c r="F5" s="115" t="n"/>
      <c r="G5" s="115" t="n"/>
      <c r="H5" s="115" t="n"/>
      <c r="I5" s="115" t="n"/>
    </row>
    <row r="6" customFormat="1" s="78">
      <c r="A6" s="80" t="n"/>
      <c r="B6" s="80" t="n"/>
      <c r="C6" s="2" t="n"/>
      <c r="D6" s="1" t="n"/>
      <c r="H6" s="56" t="n"/>
      <c r="J6" s="2" t="n"/>
      <c r="K6" s="2" t="n"/>
    </row>
    <row r="7" customFormat="1" s="78">
      <c r="A7" s="80" t="n"/>
      <c r="B7" s="80" t="n"/>
      <c r="C7" s="2" t="n"/>
      <c r="D7" s="1" t="n"/>
      <c r="H7" s="56" t="n"/>
      <c r="J7" s="2" t="n"/>
      <c r="K7" s="2" t="n"/>
    </row>
    <row r="8" customFormat="1" s="78">
      <c r="A8" s="80" t="n"/>
      <c r="B8" s="80" t="n"/>
      <c r="C8" s="2" t="n"/>
      <c r="D8" s="1" t="n"/>
      <c r="H8" s="56" t="n"/>
      <c r="J8" s="2" t="n"/>
      <c r="K8" s="2" t="n"/>
    </row>
    <row r="9" customFormat="1" s="78">
      <c r="A9" s="80" t="n"/>
      <c r="B9" s="80" t="n"/>
      <c r="C9" s="2" t="n"/>
      <c r="D9" s="1" t="n"/>
      <c r="H9" s="56" t="n"/>
      <c r="J9" s="2" t="n"/>
      <c r="K9" s="2" t="n"/>
    </row>
    <row r="10" customFormat="1" s="78">
      <c r="A10" s="80" t="n"/>
      <c r="B10" s="80" t="n"/>
      <c r="C10" s="2" t="n"/>
      <c r="D10" s="1" t="n"/>
      <c r="H10" s="56" t="n"/>
      <c r="J10" s="2" t="n"/>
      <c r="K10" s="2" t="n"/>
    </row>
    <row r="11" customFormat="1" s="78">
      <c r="A11" s="80" t="n"/>
      <c r="B11" s="80" t="n"/>
      <c r="C11" s="2" t="n"/>
      <c r="D11" s="1" t="n"/>
      <c r="H11" s="56" t="n"/>
      <c r="J11" s="2" t="n"/>
      <c r="K11" s="2" t="n"/>
    </row>
    <row r="12" customFormat="1" s="78">
      <c r="A12" s="80" t="n"/>
      <c r="B12" s="80" t="n"/>
      <c r="C12" s="2" t="n"/>
      <c r="D12" s="1" t="n"/>
      <c r="H12" s="56" t="n"/>
      <c r="J12" s="2" t="n"/>
      <c r="K12" s="2" t="n"/>
    </row>
    <row r="13" customFormat="1" s="78">
      <c r="A13" s="80" t="n"/>
      <c r="B13" s="80" t="n"/>
      <c r="C13" s="2" t="n"/>
      <c r="D13" s="1" t="n"/>
      <c r="H13" s="56" t="n"/>
      <c r="J13" s="2" t="n"/>
      <c r="K13" s="2" t="n"/>
    </row>
    <row r="14" customFormat="1" s="78">
      <c r="A14" s="80" t="n"/>
      <c r="B14" s="80" t="n"/>
      <c r="C14" s="2" t="n"/>
      <c r="D14" s="1" t="n"/>
      <c r="H14" s="56" t="n"/>
      <c r="J14" s="2" t="n"/>
      <c r="K14" s="2" t="n"/>
    </row>
    <row r="15" customFormat="1" s="78">
      <c r="A15" s="80" t="n"/>
      <c r="B15" s="80" t="n"/>
      <c r="C15" s="2" t="n"/>
      <c r="D15" s="1" t="n"/>
      <c r="H15" s="56" t="n"/>
      <c r="J15" s="2" t="n"/>
      <c r="K15" s="2" t="n"/>
    </row>
    <row r="16" customFormat="1" s="78">
      <c r="A16" s="80" t="n"/>
      <c r="B16" s="80" t="n"/>
      <c r="C16" s="2" t="n"/>
      <c r="D16" s="1" t="n"/>
      <c r="H16" s="56" t="n"/>
      <c r="J16" s="2" t="n"/>
      <c r="K16" s="2" t="n"/>
    </row>
    <row r="17" customFormat="1" s="78">
      <c r="A17" s="80" t="n"/>
      <c r="B17" s="80" t="n"/>
      <c r="C17" s="2" t="n"/>
      <c r="D17" s="1" t="n"/>
      <c r="H17" s="56" t="n"/>
      <c r="J17" s="2" t="n"/>
      <c r="K17" s="2" t="n"/>
    </row>
    <row r="18" customFormat="1" s="78">
      <c r="A18" s="80" t="n"/>
      <c r="B18" s="80" t="n"/>
      <c r="C18" s="2" t="n"/>
      <c r="D18" s="1" t="n"/>
      <c r="H18" s="56" t="n"/>
      <c r="J18" s="2" t="n"/>
      <c r="K18" s="2" t="n"/>
    </row>
    <row r="19" customFormat="1" s="78">
      <c r="A19" s="80" t="n"/>
      <c r="B19" s="80" t="n"/>
      <c r="C19" s="2" t="n"/>
      <c r="D19" s="1" t="n"/>
      <c r="H19" s="56" t="n"/>
      <c r="J19" s="2" t="n"/>
      <c r="K19" s="2" t="n"/>
    </row>
    <row r="20" customFormat="1" s="78">
      <c r="A20" s="80" t="n"/>
      <c r="B20" s="80" t="n"/>
      <c r="C20" s="2" t="n"/>
      <c r="D20" s="1" t="n"/>
      <c r="H20" s="56" t="n"/>
      <c r="J20" s="2" t="n"/>
      <c r="K20" s="2" t="n"/>
    </row>
    <row r="21" customFormat="1" s="78">
      <c r="A21" s="80" t="n"/>
      <c r="B21" s="80" t="n"/>
      <c r="C21" s="2" t="n"/>
      <c r="D21" s="1" t="n"/>
      <c r="H21" s="56" t="n"/>
      <c r="J21" s="2" t="n"/>
      <c r="K21" s="2" t="n"/>
    </row>
    <row r="22" customFormat="1" s="78">
      <c r="A22" s="80" t="n"/>
      <c r="B22" s="80" t="n"/>
      <c r="C22" s="2" t="n"/>
      <c r="D22" s="1" t="n"/>
      <c r="H22" s="56" t="n"/>
      <c r="J22" s="2" t="n"/>
      <c r="K22" s="2" t="n"/>
    </row>
    <row r="23" customFormat="1" s="78">
      <c r="A23" s="80" t="n"/>
      <c r="B23" s="80" t="n"/>
      <c r="C23" s="2" t="n"/>
      <c r="D23" s="1" t="n"/>
      <c r="H23" s="56" t="n"/>
      <c r="J23" s="2" t="n"/>
      <c r="K23" s="2" t="n"/>
    </row>
    <row r="24" customFormat="1" s="78">
      <c r="A24" s="80" t="n"/>
      <c r="B24" s="80" t="n"/>
      <c r="C24" s="2" t="n"/>
      <c r="D24" s="1" t="n"/>
      <c r="H24" s="56" t="n"/>
      <c r="J24" s="2" t="n"/>
      <c r="K24" s="2" t="n"/>
    </row>
    <row r="25" customFormat="1" s="78">
      <c r="A25" s="80" t="n"/>
      <c r="B25" s="80" t="n"/>
      <c r="C25" s="2" t="n"/>
      <c r="D25" s="1" t="n"/>
      <c r="H25" s="56" t="n"/>
      <c r="J25" s="2" t="n"/>
      <c r="K25" s="2" t="n"/>
    </row>
    <row r="26" customFormat="1" s="78">
      <c r="A26" s="80" t="n"/>
      <c r="B26" s="80" t="n"/>
      <c r="C26" s="2" t="n"/>
      <c r="D26" s="1" t="n"/>
      <c r="H26" s="56" t="n"/>
      <c r="J26" s="2" t="n"/>
      <c r="K26" s="2" t="n"/>
    </row>
    <row r="27" customFormat="1" s="78">
      <c r="A27" s="80" t="n"/>
      <c r="B27" s="80" t="n"/>
      <c r="C27" s="2" t="n"/>
      <c r="D27" s="1" t="n"/>
      <c r="H27" s="56" t="n"/>
      <c r="J27" s="2" t="n"/>
      <c r="K27" s="2" t="n"/>
    </row>
    <row r="28" customFormat="1" s="78">
      <c r="A28" s="80" t="n"/>
      <c r="B28" s="80" t="n"/>
      <c r="C28" s="2" t="n"/>
      <c r="D28" s="1" t="n"/>
      <c r="H28" s="56" t="n"/>
      <c r="J28" s="2" t="n"/>
      <c r="K28" s="2" t="n"/>
    </row>
    <row r="29" customFormat="1" s="78">
      <c r="A29" s="80" t="n"/>
      <c r="B29" s="80" t="n"/>
      <c r="C29" s="2" t="n"/>
      <c r="D29" s="1" t="n"/>
      <c r="H29" s="56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50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section</t>
        </is>
      </c>
      <c r="B1" t="inlineStr">
        <is>
          <t>page</t>
        </is>
      </c>
      <c r="C1" t="inlineStr">
        <is>
          <t>y</t>
        </is>
      </c>
      <c r="D1" t="inlineStr">
        <is>
          <t>date_col</t>
        </is>
      </c>
      <c r="E1" t="inlineStr">
        <is>
          <t>detail_col</t>
        </is>
      </c>
      <c r="F1" t="inlineStr">
        <is>
          <t>deposit_col</t>
        </is>
      </c>
      <c r="G1" t="inlineStr">
        <is>
          <t>withdrawal_col</t>
        </is>
      </c>
      <c r="H1" t="inlineStr">
        <is>
          <t>balance_col</t>
        </is>
      </c>
    </row>
    <row r="3">
      <c r="A3" t="inlineStr">
        <is>
          <t>section</t>
        </is>
      </c>
      <c r="B3" t="inlineStr">
        <is>
          <t>date</t>
        </is>
      </c>
      <c r="C3" t="inlineStr">
        <is>
          <t>currency</t>
        </is>
      </c>
      <c r="D3" t="inlineStr">
        <is>
          <t>amount</t>
        </is>
      </c>
      <c r="E3" t="inlineStr">
        <is>
          <t>description</t>
        </is>
      </c>
      <c r="F3" t="inlineStr">
        <is>
          <t>source_page</t>
        </is>
      </c>
      <c r="G3" t="inlineStr">
        <is>
          <t>source_y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</dc:creator>
  <dcterms:created xsi:type="dcterms:W3CDTF">2011-01-03T08:52:14Z</dcterms:created>
  <dcterms:modified xsi:type="dcterms:W3CDTF">2026-04-24T14:45:03Z</dcterms:modified>
  <cp:lastModifiedBy>Carmen Wong</cp:lastModifiedBy>
  <cp:lastPrinted>2025-06-13T02:39:27Z</cp:lastPrinted>
</cp:coreProperties>
</file>