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GenOps\Family Misc\"/>
    </mc:Choice>
  </mc:AlternateContent>
  <xr:revisionPtr revIDLastSave="0" documentId="13_ncr:1_{CFADFA72-79C6-40A8-97C2-DD218600F85D}" xr6:coauthVersionLast="47" xr6:coauthVersionMax="47" xr10:uidLastSave="{00000000-0000-0000-0000-000000000000}"/>
  <bookViews>
    <workbookView xWindow="-120" yWindow="-120" windowWidth="29040" windowHeight="15720" tabRatio="421" xr2:uid="{00000000-000D-0000-FFFF-FFFF00000000}"/>
  </bookViews>
  <sheets>
    <sheet name="26" sheetId="17" r:id="rId1"/>
    <sheet name="25" sheetId="16" r:id="rId2"/>
    <sheet name="24" sheetId="14" r:id="rId3"/>
    <sheet name="23" sheetId="15" r:id="rId4"/>
    <sheet name="22" sheetId="13" r:id="rId5"/>
    <sheet name="21" sheetId="12" r:id="rId6"/>
    <sheet name="20" sheetId="11" r:id="rId7"/>
  </sheets>
  <definedNames>
    <definedName name="_xlnm.Print_Area" localSheetId="6">'20'!$A$1:$D$3</definedName>
    <definedName name="_xlnm.Print_Area" localSheetId="5">'21'!$A$1:$D$4</definedName>
    <definedName name="_xlnm.Print_Area" localSheetId="4">'22'!$A$1:$D$4</definedName>
    <definedName name="_xlnm.Print_Area" localSheetId="3">'23'!$A$1:$D$4</definedName>
    <definedName name="_xlnm.Print_Area" localSheetId="2">'24'!$A$1:$D$4</definedName>
    <definedName name="_xlnm.Print_Area" localSheetId="1">'25'!$A$1:$D$4</definedName>
    <definedName name="_xlnm.Print_Area" localSheetId="0">'26'!$A$1:$D$4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6" i="17" l="1"/>
  <c r="J84" i="17"/>
  <c r="J82" i="17"/>
  <c r="J80" i="17"/>
  <c r="M68" i="14"/>
  <c r="M72" i="14"/>
  <c r="M69" i="14"/>
  <c r="L73" i="14"/>
  <c r="L72" i="14"/>
  <c r="L71" i="14"/>
  <c r="L70" i="14"/>
  <c r="L69" i="14"/>
  <c r="L68" i="14"/>
  <c r="K71" i="14"/>
  <c r="K70" i="14"/>
  <c r="K69" i="14"/>
  <c r="K68" i="14"/>
  <c r="L65" i="14"/>
  <c r="L64" i="14"/>
  <c r="L63" i="14"/>
  <c r="K63" i="14"/>
  <c r="H160" i="16" l="1"/>
  <c r="H143" i="16"/>
  <c r="H141" i="16"/>
  <c r="H138" i="16"/>
  <c r="H136" i="16"/>
  <c r="H134" i="16"/>
  <c r="H132" i="16"/>
  <c r="H124" i="16"/>
  <c r="H122" i="16"/>
  <c r="H120" i="16"/>
  <c r="H118" i="16"/>
  <c r="H112" i="16"/>
  <c r="H110" i="16"/>
  <c r="H115" i="16"/>
  <c r="H96" i="16"/>
  <c r="H94" i="16"/>
  <c r="H88" i="16"/>
  <c r="H89" i="16" s="1"/>
  <c r="H93" i="16"/>
  <c r="H91" i="16"/>
  <c r="H85" i="16"/>
  <c r="H57" i="16"/>
  <c r="H55" i="16"/>
  <c r="H45" i="16"/>
  <c r="H51" i="16"/>
  <c r="H43" i="16"/>
  <c r="H41" i="16"/>
  <c r="H36" i="16"/>
  <c r="H37" i="16" s="1"/>
  <c r="H29" i="16"/>
  <c r="H24" i="16"/>
  <c r="H25" i="16" s="1"/>
  <c r="H16" i="16"/>
  <c r="H17" i="16" s="1"/>
  <c r="H14" i="16"/>
  <c r="H15" i="16" s="1"/>
  <c r="H12" i="16"/>
  <c r="H13" i="16" s="1"/>
  <c r="H10" i="16"/>
  <c r="H11" i="16" s="1"/>
  <c r="H8" i="16"/>
  <c r="H9" i="16" s="1"/>
  <c r="H6" i="16"/>
  <c r="H7" i="16" s="1"/>
  <c r="H126" i="14"/>
  <c r="H124" i="14"/>
  <c r="H125" i="14"/>
  <c r="H123" i="14"/>
  <c r="H120" i="14"/>
  <c r="A119" i="14"/>
  <c r="H75" i="14"/>
  <c r="F35" i="16"/>
  <c r="F53" i="16" s="1"/>
  <c r="F117" i="16" s="1"/>
  <c r="F155" i="16" s="1"/>
  <c r="H70" i="15"/>
  <c r="H68" i="15"/>
  <c r="S58" i="15"/>
  <c r="S57" i="15"/>
  <c r="S56" i="15"/>
  <c r="S55" i="15"/>
  <c r="S54" i="15"/>
  <c r="S41" i="15"/>
  <c r="S40" i="15"/>
  <c r="S39" i="15"/>
  <c r="S38" i="15"/>
  <c r="S37" i="15"/>
  <c r="S36" i="15"/>
  <c r="S35" i="15"/>
  <c r="S34" i="15"/>
  <c r="P17" i="15"/>
  <c r="P27" i="15" s="1"/>
  <c r="S18" i="15"/>
  <c r="F196" i="16" l="1"/>
  <c r="P26" i="15"/>
  <c r="P29" i="15"/>
  <c r="P28" i="15"/>
  <c r="G84" i="14"/>
  <c r="F212" i="16" l="1"/>
  <c r="S19" i="15"/>
  <c r="S20" i="15" s="1"/>
  <c r="B84" i="14"/>
  <c r="G82" i="14"/>
  <c r="B81" i="14"/>
  <c r="B92" i="14"/>
  <c r="B90" i="14"/>
  <c r="B88" i="14"/>
  <c r="B76" i="14"/>
  <c r="H76" i="14"/>
  <c r="H72" i="14"/>
  <c r="H68" i="14"/>
  <c r="H69" i="14" s="1"/>
  <c r="H70" i="14"/>
  <c r="H71" i="14" s="1"/>
  <c r="H66" i="14"/>
  <c r="H67" i="14" s="1"/>
  <c r="B71" i="14"/>
  <c r="B69" i="14"/>
  <c r="B67" i="14"/>
  <c r="H64" i="14"/>
  <c r="H65" i="14" s="1"/>
  <c r="H62" i="14"/>
  <c r="H63" i="14" s="1"/>
  <c r="B65" i="14"/>
  <c r="B63" i="14"/>
  <c r="B59" i="14"/>
  <c r="H60" i="14"/>
  <c r="B52" i="14"/>
  <c r="B50" i="14"/>
  <c r="H40" i="14"/>
  <c r="H41" i="14" s="1"/>
  <c r="B41" i="14"/>
  <c r="H36" i="14"/>
  <c r="H37" i="14" s="1"/>
  <c r="B37" i="14"/>
  <c r="B35" i="14"/>
  <c r="H35" i="14"/>
  <c r="B19" i="14"/>
  <c r="B21" i="14"/>
  <c r="B23" i="14"/>
  <c r="F237" i="16" l="1"/>
  <c r="H22" i="14"/>
  <c r="H23" i="14" s="1"/>
  <c r="H21" i="14"/>
  <c r="H19" i="14"/>
  <c r="H15" i="14"/>
  <c r="B15" i="14"/>
  <c r="H11" i="14"/>
  <c r="B11" i="14"/>
  <c r="H8" i="14"/>
  <c r="H9" i="14" s="1"/>
  <c r="B9" i="14"/>
  <c r="B7" i="14"/>
  <c r="H6" i="14"/>
  <c r="H7" i="14" s="1"/>
  <c r="F5" i="14"/>
  <c r="F29" i="14" s="1"/>
  <c r="F39" i="14" s="1"/>
  <c r="F45" i="14" s="1"/>
  <c r="F61" i="14" s="1"/>
  <c r="G5" i="14"/>
  <c r="G29" i="14" s="1"/>
  <c r="G39" i="14" s="1"/>
  <c r="G45" i="14" s="1"/>
  <c r="G61" i="14" s="1"/>
  <c r="G86" i="14" s="1"/>
  <c r="G98" i="14" s="1"/>
  <c r="E5" i="14"/>
  <c r="E29" i="14" s="1"/>
  <c r="E39" i="14" s="1"/>
  <c r="E45" i="14" s="1"/>
  <c r="E61" i="14" s="1"/>
  <c r="E86" i="14" s="1"/>
  <c r="F293" i="16" l="1"/>
  <c r="F345" i="16" s="1"/>
  <c r="F387" i="16" s="1"/>
  <c r="G114" i="14"/>
  <c r="E98" i="14"/>
  <c r="E114" i="14" s="1"/>
  <c r="F86" i="14"/>
  <c r="F98" i="14" s="1"/>
  <c r="F114" i="14" s="1"/>
  <c r="F413" i="16" l="1"/>
  <c r="F444" i="16" s="1"/>
  <c r="F5" i="17" s="1"/>
  <c r="F58" i="17" s="1"/>
  <c r="F96" i="17" s="1"/>
  <c r="F122" i="14"/>
  <c r="F132" i="14" s="1"/>
  <c r="E122" i="14"/>
  <c r="E132" i="14" s="1"/>
  <c r="I5" i="16" s="1"/>
  <c r="I35" i="16" s="1"/>
  <c r="I53" i="16" s="1"/>
  <c r="I117" i="16" s="1"/>
  <c r="I155" i="16" s="1"/>
  <c r="I196" i="16" s="1"/>
  <c r="G122" i="14"/>
  <c r="G132" i="14" s="1"/>
  <c r="G5" i="16" s="1"/>
  <c r="G35" i="16" s="1"/>
  <c r="G53" i="16" s="1"/>
  <c r="F1" i="17" l="1"/>
  <c r="I212" i="16"/>
  <c r="E5" i="16"/>
  <c r="E35" i="16" s="1"/>
  <c r="E53" i="16" s="1"/>
  <c r="E117" i="16" s="1"/>
  <c r="E155" i="16" s="1"/>
  <c r="E196" i="16" s="1"/>
  <c r="G117" i="16"/>
  <c r="G155" i="16" s="1"/>
  <c r="G196" i="16" s="1"/>
  <c r="G1" i="14"/>
  <c r="E1" i="14"/>
  <c r="F1" i="14"/>
  <c r="B88" i="15"/>
  <c r="D78" i="15"/>
  <c r="F75" i="15"/>
  <c r="F85" i="15" s="1"/>
  <c r="F90" i="15" s="1"/>
  <c r="F1" i="15" s="1"/>
  <c r="F71" i="15"/>
  <c r="L69" i="15"/>
  <c r="H65" i="15"/>
  <c r="H63" i="15"/>
  <c r="H61" i="15"/>
  <c r="H59" i="15"/>
  <c r="H57" i="15"/>
  <c r="B57" i="15"/>
  <c r="B58" i="15" s="1"/>
  <c r="B59" i="15" s="1"/>
  <c r="B60" i="15" s="1"/>
  <c r="B61" i="15" s="1"/>
  <c r="B62" i="15" s="1"/>
  <c r="B63" i="15" s="1"/>
  <c r="B64" i="15" s="1"/>
  <c r="B65" i="15" s="1"/>
  <c r="H55" i="15"/>
  <c r="B55" i="15"/>
  <c r="H51" i="15"/>
  <c r="B51" i="15"/>
  <c r="H49" i="15"/>
  <c r="B49" i="15"/>
  <c r="H47" i="15"/>
  <c r="B47" i="15"/>
  <c r="H45" i="15"/>
  <c r="B45" i="15"/>
  <c r="H43" i="15"/>
  <c r="B43" i="15"/>
  <c r="H41" i="15"/>
  <c r="B41" i="15"/>
  <c r="H39" i="15"/>
  <c r="B39" i="15"/>
  <c r="H37" i="15"/>
  <c r="B37" i="15"/>
  <c r="H35" i="15"/>
  <c r="B35" i="15"/>
  <c r="G33" i="15"/>
  <c r="P33" i="15" s="1"/>
  <c r="H31" i="15"/>
  <c r="B31" i="15"/>
  <c r="G29" i="15"/>
  <c r="B29" i="15"/>
  <c r="G27" i="15"/>
  <c r="B27" i="15"/>
  <c r="H25" i="15"/>
  <c r="B25" i="15"/>
  <c r="H23" i="15"/>
  <c r="H21" i="15"/>
  <c r="H19" i="15"/>
  <c r="B18" i="15"/>
  <c r="B21" i="15" s="1"/>
  <c r="B20" i="15" s="1"/>
  <c r="B22" i="15" s="1"/>
  <c r="B23" i="15" s="1"/>
  <c r="H5" i="15"/>
  <c r="H7" i="15" s="1"/>
  <c r="E5" i="15"/>
  <c r="E7" i="15" s="1"/>
  <c r="I237" i="16" l="1"/>
  <c r="E212" i="16"/>
  <c r="E237" i="16" s="1"/>
  <c r="E293" i="16" s="1"/>
  <c r="E345" i="16" s="1"/>
  <c r="E387" i="16" s="1"/>
  <c r="G212" i="16"/>
  <c r="G237" i="16" s="1"/>
  <c r="G293" i="16" s="1"/>
  <c r="G345" i="16" s="1"/>
  <c r="G387" i="16" s="1"/>
  <c r="N7" i="15"/>
  <c r="E9" i="15"/>
  <c r="L7" i="15"/>
  <c r="H9" i="15"/>
  <c r="G53" i="15"/>
  <c r="G413" i="16" l="1"/>
  <c r="G444" i="16" s="1"/>
  <c r="G5" i="17" s="1"/>
  <c r="G58" i="17" s="1"/>
  <c r="G96" i="17" s="1"/>
  <c r="E413" i="16"/>
  <c r="E444" i="16" s="1"/>
  <c r="E5" i="17" s="1"/>
  <c r="E58" i="17" s="1"/>
  <c r="E96" i="17" s="1"/>
  <c r="I293" i="16"/>
  <c r="I345" i="16" s="1"/>
  <c r="I387" i="16" s="1"/>
  <c r="G67" i="15"/>
  <c r="P53" i="15"/>
  <c r="H12" i="15"/>
  <c r="L9" i="15"/>
  <c r="E12" i="15"/>
  <c r="N9" i="15"/>
  <c r="F37" i="13"/>
  <c r="E37" i="13"/>
  <c r="K37" i="13" s="1"/>
  <c r="E25" i="13"/>
  <c r="E27" i="13" s="1"/>
  <c r="E29" i="13" s="1"/>
  <c r="E1" i="17" l="1"/>
  <c r="G1" i="17"/>
  <c r="I413" i="16"/>
  <c r="I444" i="16" s="1"/>
  <c r="I5" i="17" s="1"/>
  <c r="I58" i="17" s="1"/>
  <c r="I96" i="17" s="1"/>
  <c r="N12" i="15"/>
  <c r="E14" i="15"/>
  <c r="L12" i="15"/>
  <c r="H14" i="15"/>
  <c r="G69" i="15"/>
  <c r="P67" i="15"/>
  <c r="I37" i="13"/>
  <c r="E31" i="13"/>
  <c r="F15" i="13"/>
  <c r="I1" i="17" l="1"/>
  <c r="G71" i="15"/>
  <c r="G75" i="15" s="1"/>
  <c r="P69" i="15"/>
  <c r="E16" i="15"/>
  <c r="N14" i="15"/>
  <c r="H16" i="15"/>
  <c r="L14" i="15"/>
  <c r="K31" i="13"/>
  <c r="E35" i="13"/>
  <c r="F10" i="13"/>
  <c r="L16" i="15" l="1"/>
  <c r="H33" i="15"/>
  <c r="N16" i="15"/>
  <c r="E33" i="15"/>
  <c r="P75" i="15"/>
  <c r="G85" i="15"/>
  <c r="K35" i="13"/>
  <c r="F8" i="13"/>
  <c r="P85" i="15" l="1"/>
  <c r="G90" i="15"/>
  <c r="N33" i="15"/>
  <c r="E53" i="15"/>
  <c r="H53" i="15"/>
  <c r="L33" i="15"/>
  <c r="F6" i="13"/>
  <c r="L53" i="15" l="1"/>
  <c r="H67" i="15"/>
  <c r="E67" i="15"/>
  <c r="N53" i="15"/>
  <c r="P90" i="15"/>
  <c r="G1" i="15"/>
  <c r="B37" i="12"/>
  <c r="E69" i="15" l="1"/>
  <c r="N67" i="15"/>
  <c r="L67" i="15"/>
  <c r="H75" i="15"/>
  <c r="E6" i="11"/>
  <c r="E12" i="11" s="1"/>
  <c r="E24" i="11" s="1"/>
  <c r="E5" i="12" s="1"/>
  <c r="E16" i="12" s="1"/>
  <c r="E27" i="12" s="1"/>
  <c r="E35" i="12" s="1"/>
  <c r="L75" i="15" l="1"/>
  <c r="H85" i="15"/>
  <c r="E71" i="15"/>
  <c r="E75" i="15" s="1"/>
  <c r="N69" i="15"/>
  <c r="E39" i="12"/>
  <c r="H35" i="12"/>
  <c r="N75" i="15" l="1"/>
  <c r="E85" i="15"/>
  <c r="H90" i="15"/>
  <c r="H5" i="14" s="1"/>
  <c r="H29" i="14" s="1"/>
  <c r="H39" i="14" s="1"/>
  <c r="H45" i="14" s="1"/>
  <c r="H61" i="14" s="1"/>
  <c r="H86" i="14" s="1"/>
  <c r="H98" i="14" s="1"/>
  <c r="H114" i="14" s="1"/>
  <c r="H122" i="14" s="1"/>
  <c r="H132" i="14" s="1"/>
  <c r="H5" i="16" s="1"/>
  <c r="H35" i="16" s="1"/>
  <c r="H53" i="16" s="1"/>
  <c r="H117" i="16" s="1"/>
  <c r="E41" i="12"/>
  <c r="H39" i="12"/>
  <c r="H155" i="16" l="1"/>
  <c r="H196" i="16" s="1"/>
  <c r="H1" i="15"/>
  <c r="N85" i="15"/>
  <c r="R85" i="15" s="1"/>
  <c r="Q85" i="15" s="1"/>
  <c r="E90" i="15"/>
  <c r="E43" i="12"/>
  <c r="H41" i="12"/>
  <c r="H212" i="16" l="1"/>
  <c r="H237" i="16" s="1"/>
  <c r="H293" i="16" s="1"/>
  <c r="H345" i="16" s="1"/>
  <c r="H387" i="16" s="1"/>
  <c r="H413" i="16" s="1"/>
  <c r="H444" i="16" s="1"/>
  <c r="H5" i="17" s="1"/>
  <c r="H58" i="17" s="1"/>
  <c r="H96" i="17" s="1"/>
  <c r="H1" i="14"/>
  <c r="N90" i="15"/>
  <c r="E1" i="15"/>
  <c r="L90" i="15"/>
  <c r="H43" i="12"/>
  <c r="E45" i="12"/>
  <c r="H1" i="17" l="1"/>
  <c r="E47" i="12"/>
  <c r="H45" i="12"/>
  <c r="H47" i="12" l="1"/>
  <c r="E49" i="12"/>
  <c r="E51" i="12" s="1"/>
  <c r="E53" i="12" s="1"/>
  <c r="E55" i="12" s="1"/>
  <c r="F5" i="13" s="1"/>
  <c r="F7" i="13" s="1"/>
  <c r="I7" i="13" l="1"/>
  <c r="F9" i="13"/>
  <c r="F11" i="13" l="1"/>
  <c r="I9" i="13"/>
  <c r="F13" i="13" l="1"/>
  <c r="I11" i="13"/>
  <c r="F16" i="13" l="1"/>
  <c r="I13" i="13"/>
  <c r="F18" i="13" l="1"/>
  <c r="I16" i="13"/>
  <c r="F20" i="13" l="1"/>
  <c r="I18" i="13"/>
  <c r="I20" i="13" l="1"/>
  <c r="F25" i="13"/>
  <c r="F27" i="13" l="1"/>
  <c r="I27" i="13" s="1"/>
  <c r="I25" i="13"/>
  <c r="F29" i="13"/>
  <c r="I29" i="13" l="1"/>
  <c r="F31" i="13"/>
  <c r="I31" i="13" l="1"/>
  <c r="F35" i="13"/>
  <c r="I35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Phoebe</author>
  </authors>
  <commentList>
    <comment ref="J69" authorId="0" shapeId="0" xr:uid="{30CAFE26-15E7-4755-B065-70BC518E3417}">
      <text>
        <r>
          <rPr>
            <sz val="9"/>
            <color indexed="81"/>
            <rFont val="Tahoma"/>
            <family val="2"/>
          </rPr>
          <t>per #888 statement
9/30/23 #833 NAV = $351,726.68
USD/HKD 7.8286, JPY/HKD 0.05265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<sst xmlns="http://schemas.openxmlformats.org/spreadsheetml/2006/main" count="883" uniqueCount="260">
  <si>
    <t>T-Date</t>
  </si>
  <si>
    <t>V-Date</t>
  </si>
  <si>
    <t>Description</t>
  </si>
  <si>
    <t>HKD S/A</t>
  </si>
  <si>
    <t>Balance b/f</t>
  </si>
  <si>
    <t>CQ#</t>
  </si>
  <si>
    <t>interest</t>
  </si>
  <si>
    <t>#175-244250-833</t>
  </si>
  <si>
    <t>initial deposit for #833 account opening</t>
  </si>
  <si>
    <t>HSBC One A/C</t>
  </si>
  <si>
    <t>To Payme</t>
  </si>
  <si>
    <t xml:space="preserve">HSBC - Lee Su Hwei #175-244250-833 </t>
  </si>
  <si>
    <t>credit interest</t>
  </si>
  <si>
    <t>To PayMe</t>
  </si>
  <si>
    <t>#175-244250-832</t>
  </si>
  <si>
    <t>USD S/A</t>
  </si>
  <si>
    <t xml:space="preserve">Deposit </t>
  </si>
  <si>
    <t>MDC S SQ*The Thacher School</t>
  </si>
  <si>
    <t>HKD/USD</t>
  </si>
  <si>
    <t>paper statement annual fee</t>
  </si>
  <si>
    <t>TR from #888</t>
  </si>
  <si>
    <t>FX JPY</t>
  </si>
  <si>
    <t>JPY S/A</t>
  </si>
  <si>
    <t>cash rebate - 0.4%</t>
  </si>
  <si>
    <t>POS MDC - Fortress Travel</t>
  </si>
  <si>
    <t>POS MDC -  Fortress Travel</t>
  </si>
  <si>
    <t>POS MDC -  Uniqlo</t>
  </si>
  <si>
    <t>POS MDC -  Mannings</t>
  </si>
  <si>
    <t>POS MDC -  CD warehouse</t>
  </si>
  <si>
    <t>JPY/HKD</t>
  </si>
  <si>
    <t>Foreign Exchange</t>
  </si>
  <si>
    <t>CNY</t>
  </si>
  <si>
    <t>unknown transactions because missing statements 9/20/23 - 9/30/23</t>
  </si>
  <si>
    <t>unknown transactions because missing statements 10/1/23 - 10/18/23</t>
  </si>
  <si>
    <t>opening balance per bank statement dated 11/18/23</t>
  </si>
  <si>
    <t>CNY/HKD</t>
  </si>
  <si>
    <t>MDC S TFL Travel - GBP2.7 @9.97777</t>
  </si>
  <si>
    <t>MDC S TFL Travel - GBP2.8 @10.0428</t>
  </si>
  <si>
    <t>Fortress Travel</t>
  </si>
  <si>
    <t>cash rebate - 0.5%</t>
  </si>
  <si>
    <t xml:space="preserve">POS MDC - The HK Ophtalmic </t>
  </si>
  <si>
    <t>POS MDC - Shake Shack</t>
  </si>
  <si>
    <t>POS MDC - Geforce Now  TWD299 @0.2519</t>
  </si>
  <si>
    <t>POS MDC - Geforce Now  TWD299 @0.24946</t>
  </si>
  <si>
    <t>POS MDC - Metro  AUD5.99 @5.13689</t>
  </si>
  <si>
    <t>POS MDC - Penny S  AUD29.95 @5.13722</t>
  </si>
  <si>
    <t>POS MDC - Sephora  AUD130 @5.13707</t>
  </si>
  <si>
    <t>POS MDC - S July AUD590 @5.17549</t>
  </si>
  <si>
    <t>POS MDC - Sydney Aquariu AUD0.75 @5.17333</t>
  </si>
  <si>
    <t>POS MDC - TransportForns  AUD4.48 @5.19419</t>
  </si>
  <si>
    <t>MDC S SQ*UNI COFFEE ROAS</t>
  </si>
  <si>
    <t>MDC S HOKKAIDOSOUPCURRYS</t>
  </si>
  <si>
    <t>Fortress - misc</t>
  </si>
  <si>
    <t>Fuel Espresso Landma - dining</t>
  </si>
  <si>
    <t>Casetagram Ltd - misc</t>
  </si>
  <si>
    <t>MDC S Haneda Airport Ter - misc</t>
  </si>
  <si>
    <t>POS MDC - Fortress Travel - misc</t>
  </si>
  <si>
    <t>Dining</t>
  </si>
  <si>
    <t>Misc.</t>
  </si>
  <si>
    <t>POS MDC -  Fortress Travel - misc</t>
  </si>
  <si>
    <t>POS MDC -  Hayashi   (TWD560) - dining</t>
  </si>
  <si>
    <t>POS MDC -  S Shin Kong Mits (TWD3486) - food</t>
  </si>
  <si>
    <t>POS MDC -  S Shin Kong Mits (TWD185) - food</t>
  </si>
  <si>
    <t>Food</t>
  </si>
  <si>
    <t>Show</t>
  </si>
  <si>
    <t>Groceries</t>
  </si>
  <si>
    <t>Clothes</t>
  </si>
  <si>
    <t>POS MDC -  UNI-LAB LTD - medical</t>
  </si>
  <si>
    <t>POS MDC -  Broadway IFC - Kiosk - misc</t>
  </si>
  <si>
    <t>POS MDC -  Palace IFC - Kiosk - misc</t>
  </si>
  <si>
    <t>POS MDC -  Fuel Espresso ICC - dining</t>
  </si>
  <si>
    <t>POS MDC -  Shake Shack - dining</t>
  </si>
  <si>
    <t>POS MDC -  Falcone - dining</t>
  </si>
  <si>
    <t>medical</t>
  </si>
  <si>
    <t>misc</t>
  </si>
  <si>
    <t>MDC S Huevosw New Bah SGD53.96 @ 5.81393</t>
  </si>
  <si>
    <t>MDC S Bus MRT SGD1.79 @ 5.86592</t>
  </si>
  <si>
    <t>MDC S Bus MRT SGD2.78 @ 5.84892</t>
  </si>
  <si>
    <t>POS MDC - TransportForns AUD2.24 @5.08928</t>
  </si>
  <si>
    <t>Ichiran HK Ltd</t>
  </si>
  <si>
    <t>EFTPAY Five Guys</t>
  </si>
  <si>
    <t>game</t>
  </si>
  <si>
    <t>MDC S - GWR Catering (GBP2 @9.975)</t>
  </si>
  <si>
    <t>MDC S - TFL Travel (GBP5.8 @9.98103)</t>
  </si>
  <si>
    <t>MDC S - LAX AIRP Coffee Be</t>
  </si>
  <si>
    <t>MDC S - Starbucks TBIT LAX</t>
  </si>
  <si>
    <t>MDC S - ME Group Inter</t>
  </si>
  <si>
    <t>MDC S - SP Loop Earplu (GBP49.93 @10.1788)</t>
  </si>
  <si>
    <t>MDC S - Deliveroo (GBP60.78 @10.1299)</t>
  </si>
  <si>
    <t>MDC S - GWR LON PADO T (GBP43.8 @9.97214)</t>
  </si>
  <si>
    <t>POS MDC - Suit Supply</t>
  </si>
  <si>
    <t>POS MDC - Skiin</t>
  </si>
  <si>
    <t>POS MDC - Wai Kee Jewellers LT</t>
  </si>
  <si>
    <t>MDC S - Rusutsurizotohoter</t>
  </si>
  <si>
    <t>MDC S - JD Sports Fash AUD90 @4.87511</t>
  </si>
  <si>
    <t>MDC S - LS Lune Croiss AUD28.64 @4.87534</t>
  </si>
  <si>
    <t>MDC S - Zeus Rosebery AUD13.64 @4.8497</t>
  </si>
  <si>
    <t>MDC S - Gelato Messinar AUD9.03@4.85492</t>
  </si>
  <si>
    <t>MDC S - Soilboy PTE LT SGD69 @5.79797</t>
  </si>
  <si>
    <t>MDC S - Afurisetsuniseko</t>
  </si>
  <si>
    <t>MDC S - Nookannupuri Hokka</t>
  </si>
  <si>
    <t>MDC S - Coca-Cola vending</t>
  </si>
  <si>
    <t>MDC S - Nisekoannupurikoku</t>
  </si>
  <si>
    <t>MDC S - Lawson</t>
  </si>
  <si>
    <t>MDC S - Niseko Cacao Crown</t>
  </si>
  <si>
    <t>MDC S - SQ Niseko 2</t>
  </si>
  <si>
    <t>MDC S - Kiroro Resort</t>
  </si>
  <si>
    <t>MDC S - Run Official S (JPY1,986 @0.05232)</t>
  </si>
  <si>
    <t>MDC S - Chitose Airport (JPY5,280 @0.05225)</t>
  </si>
  <si>
    <t>MDC S - Chitose Airport (JPY6,270 @0.05223)</t>
  </si>
  <si>
    <t>MDC S - Run Official S</t>
  </si>
  <si>
    <t>MDC - TransportForns AUD3.2 @4.84062</t>
  </si>
  <si>
    <t xml:space="preserve">POS MDC - Fortress Travel </t>
  </si>
  <si>
    <t>MDC S - We Know Group (GBP25 @10.1188)</t>
  </si>
  <si>
    <t>MDC S - GWR LON PADO T (GBP43.8 @10.149)</t>
  </si>
  <si>
    <t>MDC - TransportForns AUD4.48 @4.85267</t>
  </si>
  <si>
    <t>POS MDC - Uniqlo</t>
  </si>
  <si>
    <t>MDC S - HM Passport Of (GBP235 @10.4771)</t>
  </si>
  <si>
    <t>MDC S - Waitrose 193 (GBP6.85 @10.3751)</t>
  </si>
  <si>
    <t>MDC S - Zettle Goods (GBP6 @10.3683)</t>
  </si>
  <si>
    <t>MDC S - Waitrose 193 (GBP15.35 @10.4416)</t>
  </si>
  <si>
    <t>MDC S - Trainline (EUR45.25 @10.4879)</t>
  </si>
  <si>
    <t>MDC S - Trainline (EUR35.02 @8.85179)</t>
  </si>
  <si>
    <t>MDC S - Airport Taxi (CHF11.2 @9.43571)</t>
  </si>
  <si>
    <t>MDC S - TFL Travel (GBP13.9 @10.364)</t>
  </si>
  <si>
    <t>POS MDC - Circledna</t>
  </si>
  <si>
    <t>POS MDC - Fortress 2030</t>
  </si>
  <si>
    <t>POS MDC - ON Sportswear</t>
  </si>
  <si>
    <t>POS MDC - Fuel Espresso Landmark</t>
  </si>
  <si>
    <t xml:space="preserve">MDC S - Trainline </t>
  </si>
  <si>
    <t>GBP</t>
  </si>
  <si>
    <t>Transferred from HSBC Premier Elite Account 044-113660-888</t>
  </si>
  <si>
    <t xml:space="preserve">MDC S - TFL Travel </t>
  </si>
  <si>
    <t>cash rebate - 0.35%</t>
  </si>
  <si>
    <t>cash rebate - 0.55%</t>
  </si>
  <si>
    <t>cash rebate - 0.49%</t>
  </si>
  <si>
    <t>cash rebate - 0.65%</t>
  </si>
  <si>
    <t>cash rebate - 0.52%</t>
  </si>
  <si>
    <t>cash rebate - 0.48%</t>
  </si>
  <si>
    <t>MDC - TransportForns AUD2.24 @4.83928</t>
  </si>
  <si>
    <t>cash rebate - 0.508%</t>
  </si>
  <si>
    <t>cash rebate - 0.493%</t>
  </si>
  <si>
    <t>cash rebate - 0.495%</t>
  </si>
  <si>
    <t>cash rebate - 0.522%</t>
  </si>
  <si>
    <t>cash rebate - 0.5017%</t>
  </si>
  <si>
    <t>cash rebate - 0.497%</t>
  </si>
  <si>
    <t>cash rebate - 0.494%</t>
  </si>
  <si>
    <t>cash rebate - 0.4762%</t>
  </si>
  <si>
    <t>cash rebate - 0.404%</t>
  </si>
  <si>
    <t>cash rebate - 0.541%</t>
  </si>
  <si>
    <t>cash rebate - 0.5051%</t>
  </si>
  <si>
    <t>cash rebate - 0.5014%</t>
  </si>
  <si>
    <t>cash rebate - 0.5013%</t>
  </si>
  <si>
    <t>cash rebate - 0.519%</t>
  </si>
  <si>
    <t>cash rebate - 0.4983%</t>
  </si>
  <si>
    <t>cash rebate - 0.502%</t>
  </si>
  <si>
    <t>cash rebate - 0.4362%</t>
  </si>
  <si>
    <t>cash rebate - 0.513%</t>
  </si>
  <si>
    <t>cash rebate - 0.524%</t>
  </si>
  <si>
    <t>cash rebate - 0.491%</t>
  </si>
  <si>
    <t>cash rebate - 0.504%</t>
  </si>
  <si>
    <t xml:space="preserve">Refund - Trainline </t>
  </si>
  <si>
    <t xml:space="preserve">cash rebate rev - 0.515% </t>
  </si>
  <si>
    <t>cash rebate - 0.54%</t>
  </si>
  <si>
    <t>cash rebate - 0.507%</t>
  </si>
  <si>
    <t>cash rebate - 0.503%</t>
  </si>
  <si>
    <t xml:space="preserve">cash rebate - 0.517% </t>
  </si>
  <si>
    <t>Immigration Dept</t>
  </si>
  <si>
    <t>POS MDC - MTR Kiosk</t>
  </si>
  <si>
    <t>MDC S - Uber</t>
  </si>
  <si>
    <t>cash rebate - 0.5195%</t>
  </si>
  <si>
    <t>MDC S - Licensed Taxi (GBP11.6 @10.7862)</t>
  </si>
  <si>
    <t>MDC S - TFL Travel (GBP5.6 @10.776)</t>
  </si>
  <si>
    <t>cash rebate - 0.53%</t>
  </si>
  <si>
    <t>MDC S - TFL Travel (GBP5.7 @10.7982)</t>
  </si>
  <si>
    <t>cash rebate - 0.5199%</t>
  </si>
  <si>
    <t>MDC S - TFL Travel (GBP10.5 @10.8523)</t>
  </si>
  <si>
    <t>cash rebate - 0.4739%</t>
  </si>
  <si>
    <t>POS MDC - Uber</t>
  </si>
  <si>
    <t>POS MDC - Mcdonld's</t>
  </si>
  <si>
    <t>MDS S -Trainline</t>
  </si>
  <si>
    <t>cash rebate - 0.5185%</t>
  </si>
  <si>
    <t>MDC S - TFL Travel</t>
  </si>
  <si>
    <t>cash rebate - 0.357%</t>
  </si>
  <si>
    <t>POS MDC - Aberdeen Boat</t>
  </si>
  <si>
    <t>POS MDC - Line &amp; Dine</t>
  </si>
  <si>
    <t>POS MDC - Bookazine</t>
  </si>
  <si>
    <t>POS MDC - Puyi</t>
  </si>
  <si>
    <t>POS MDC - Kpay *Bliss Global</t>
  </si>
  <si>
    <t>POS MDC - Sky International</t>
  </si>
  <si>
    <t>POS MDC -EFTpay *Curry House</t>
  </si>
  <si>
    <t>POS MDC - Kpay *Mum Holdings</t>
  </si>
  <si>
    <t>POS MDC - Kpay *Made in South L</t>
  </si>
  <si>
    <t>POS MDC - BBMSL *Islet Coffee</t>
  </si>
  <si>
    <t>POS MDC - Simply Toys</t>
  </si>
  <si>
    <t>POS MDC - Mammy Pancake</t>
  </si>
  <si>
    <t xml:space="preserve">POS MDC - Fortress </t>
  </si>
  <si>
    <t>MDC S College Board</t>
  </si>
  <si>
    <t>MDC S Parchment</t>
  </si>
  <si>
    <t>cash rebate - 0.43%</t>
  </si>
  <si>
    <t>MDC S - Cotai Ferry</t>
  </si>
  <si>
    <t>MDC S - Din Tai Fung</t>
  </si>
  <si>
    <t>POS MDC - Jollibee</t>
  </si>
  <si>
    <t>MDC S - Collegeboard - USD135@7.79792</t>
  </si>
  <si>
    <t>MDC S - Uber - USD26.16@7.79892</t>
  </si>
  <si>
    <t>MDC S - Uber - USD39.78@7.79964</t>
  </si>
  <si>
    <t>MDC S - Gelson's Marke - USD22.52@7.79795</t>
  </si>
  <si>
    <t>MDC S - Uber - USD62.99@7.79965</t>
  </si>
  <si>
    <t>MDC S - Uber - USD32.53@7.79526</t>
  </si>
  <si>
    <t>POS MDC - LI COLPO</t>
  </si>
  <si>
    <t>POS MDC - Five Guys</t>
  </si>
  <si>
    <t>MDC S - Uber - KRW65,200@0.00537</t>
  </si>
  <si>
    <t>POS MDC - SUMAC</t>
  </si>
  <si>
    <t xml:space="preserve">MDC S - Uber </t>
  </si>
  <si>
    <t xml:space="preserve">POS MDC - Uber </t>
  </si>
  <si>
    <t>POS MDC - New Nice</t>
  </si>
  <si>
    <t>POS MDC - City Super</t>
  </si>
  <si>
    <t>POS MDC - Marks &amp; Spencers</t>
  </si>
  <si>
    <t>MDC S - Australianeta - AUD20@5.17450</t>
  </si>
  <si>
    <t>Balance B/F</t>
  </si>
  <si>
    <t>MDC - TransportForns AUD3.3 @5.24848</t>
  </si>
  <si>
    <t>cash rebate - 0.58%</t>
  </si>
  <si>
    <t>MDC S Parchment USD4.65 @7.79784</t>
  </si>
  <si>
    <t>cash rebate - 0.44%</t>
  </si>
  <si>
    <t>MDC S FG Martin Plac AUD13.7 @5.22773</t>
  </si>
  <si>
    <t>MDC S FG Martin Plac AUD61 @5.22786</t>
  </si>
  <si>
    <t>MDC S Yatai Rice Bow AUD0.2 @5.25</t>
  </si>
  <si>
    <t>MDC S Yatai Rice Bow AUD16.19 @5.22791</t>
  </si>
  <si>
    <t>MDC S HFM Bowral AUD91.71 @5.25209</t>
  </si>
  <si>
    <t>POS MDC - Flywire  Common Appeal</t>
  </si>
  <si>
    <t>POS MDC - Paragon</t>
  </si>
  <si>
    <t>POS MDC - Yakiniku Guu - Hysan</t>
  </si>
  <si>
    <t>From HSBC 888</t>
  </si>
  <si>
    <t>MDC S - Uber EUR8.98@9.32628</t>
  </si>
  <si>
    <t>MDC S - Uber EUR11.98@9.32554</t>
  </si>
  <si>
    <t>MDC S - Uber EUR7.99@9.32540</t>
  </si>
  <si>
    <t>MDC S - Uber EUR3.96@9.33333</t>
  </si>
  <si>
    <t>MDC S - Uber EUR2@9.32500</t>
  </si>
  <si>
    <t>MDC S - Uber EUR8.94@9.32550</t>
  </si>
  <si>
    <t>MDC S - Uber EUR4.99@9.42685</t>
  </si>
  <si>
    <t>MDC S - Uber EUR10.97@9.39653</t>
  </si>
  <si>
    <t>MDC S - Uber EUR9.99@9.41841</t>
  </si>
  <si>
    <t>MDC S - Uber EUR10.98@9.336612</t>
  </si>
  <si>
    <t>MDC S - Uber EUR6.99@9.36623</t>
  </si>
  <si>
    <t>MDC S - Uber EUR4.95@9.36565</t>
  </si>
  <si>
    <t>MDC S - Apple Store GBP1478@10.7757</t>
  </si>
  <si>
    <t>MDC S - Taka Taka Bath GBP11.95@10.7397</t>
  </si>
  <si>
    <t>MDC S - Rukuzu Oisuta JPY55000@0.04998</t>
  </si>
  <si>
    <t>POS MDC - Fotomax</t>
  </si>
  <si>
    <t>Refund Rukuzu Oisut</t>
  </si>
  <si>
    <t>travelling</t>
  </si>
  <si>
    <t>food</t>
  </si>
  <si>
    <t>groceries</t>
  </si>
  <si>
    <t>dining</t>
  </si>
  <si>
    <t>2024-Aug (HK)</t>
  </si>
  <si>
    <t>dining-out</t>
  </si>
  <si>
    <t>2024-Aug (AUS)</t>
  </si>
  <si>
    <t>TOTAL</t>
  </si>
  <si>
    <t>AUD</t>
  </si>
  <si>
    <t>POS MDC - Mannings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</si>
</sst>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mm/dd/yy;@"/>
    <numFmt numFmtId="166" formatCode="_(* #,##0_);_(* \(#,##0\);_(* &quot;-&quot;??_);_(@_)"/>
    <numFmt numFmtId="167" formatCode="_(* #,##0.00000_);_(* \(#,##0.00000\);_(* &quot;-&quot;??_);_(@_)"/>
    <numFmt numFmtId="168" formatCode="_(* #,##0.0000_);_(* \(#,##0.0000\);_(* &quot;-&quot;??_);_(@_)"/>
  </numFmts>
  <fonts count="1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u val="singleAccounting"/>
      <sz val="10"/>
      <name val="Times New Roman"/>
      <family val="1"/>
    </font>
    <font>
      <b/>
      <u val="singleAccounting"/>
      <sz val="10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 val="singleAccounting"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FF"/>
      <name val="Times New Roman"/>
      <family val="1"/>
    </font>
    <font>
      <u val="singleAccounting"/>
      <sz val="10"/>
      <color rgb="FF0000FF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FF"/>
      <name val="Times New Roman"/>
      <family val="1"/>
    </font>
    <font>
      <sz val="10"/>
      <color rgb="FF008000"/>
      <name val="Times New Roman"/>
      <family val="1"/>
    </font>
    <font>
      <u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80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43" fontId="6" fillId="0" borderId="0" xfId="0" applyNumberFormat="1" applyFont="1"/>
    <xf numFmtId="0" fontId="3" fillId="0" borderId="0" xfId="0" applyFont="1" applyAlignment="1">
      <alignment horizontal="center"/>
    </xf>
    <xf numFmtId="0" fontId="7" fillId="0" borderId="0" xfId="0" applyFont="1"/>
    <xf numFmtId="165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6" fillId="0" borderId="0" xfId="0" applyNumberFormat="1" applyFont="1" applyAlignment="1" applyProtection="1">
      <alignment horizontal="center"/>
      <protection locked="0"/>
    </xf>
    <xf numFmtId="165" fontId="6" fillId="0" borderId="0" xfId="0" applyNumberFormat="1" applyFont="1" applyAlignment="1">
      <alignment horizontal="center"/>
    </xf>
    <xf numFmtId="10" fontId="6" fillId="0" borderId="0" xfId="2" applyNumberFormat="1" applyFont="1" applyBorder="1"/>
    <xf numFmtId="43" fontId="6" fillId="0" borderId="0" xfId="1" applyFont="1" applyFill="1" applyBorder="1"/>
    <xf numFmtId="10" fontId="8" fillId="0" borderId="0" xfId="2" applyNumberFormat="1" applyFont="1" applyBorder="1" applyAlignment="1">
      <alignment horizontal="center"/>
    </xf>
    <xf numFmtId="43" fontId="6" fillId="0" borderId="1" xfId="0" applyNumberFormat="1" applyFont="1" applyBorder="1"/>
    <xf numFmtId="166" fontId="6" fillId="0" borderId="0" xfId="1" applyNumberFormat="1" applyFont="1" applyFill="1" applyBorder="1" applyAlignment="1">
      <alignment horizontal="center"/>
    </xf>
    <xf numFmtId="43" fontId="6" fillId="2" borderId="0" xfId="1" applyFont="1" applyFill="1" applyBorder="1"/>
    <xf numFmtId="43" fontId="6" fillId="0" borderId="0" xfId="2" applyNumberFormat="1" applyFont="1" applyBorder="1"/>
    <xf numFmtId="0" fontId="6" fillId="0" borderId="0" xfId="1" applyNumberFormat="1" applyFont="1" applyFill="1" applyBorder="1" applyAlignment="1">
      <alignment horizontal="center"/>
    </xf>
    <xf numFmtId="0" fontId="6" fillId="0" borderId="0" xfId="1" applyNumberFormat="1" applyFont="1" applyFill="1" applyBorder="1"/>
    <xf numFmtId="0" fontId="4" fillId="0" borderId="0" xfId="1" applyNumberFormat="1" applyFont="1" applyFill="1" applyBorder="1" applyAlignment="1" applyProtection="1">
      <alignment horizontal="center"/>
    </xf>
    <xf numFmtId="43" fontId="6" fillId="0" borderId="1" xfId="1" applyFont="1" applyFill="1" applyBorder="1"/>
    <xf numFmtId="165" fontId="2" fillId="0" borderId="0" xfId="0" applyNumberFormat="1" applyFont="1"/>
    <xf numFmtId="165" fontId="6" fillId="0" borderId="0" xfId="0" applyNumberFormat="1" applyFont="1" applyProtection="1">
      <protection locked="0"/>
    </xf>
    <xf numFmtId="165" fontId="6" fillId="0" borderId="0" xfId="0" applyNumberFormat="1" applyFont="1"/>
    <xf numFmtId="165" fontId="6" fillId="0" borderId="0" xfId="2" applyNumberFormat="1" applyFont="1" applyBorder="1" applyAlignment="1"/>
    <xf numFmtId="43" fontId="8" fillId="0" borderId="0" xfId="1" applyFont="1" applyBorder="1"/>
    <xf numFmtId="43" fontId="9" fillId="0" borderId="0" xfId="1" applyFont="1" applyBorder="1"/>
    <xf numFmtId="43" fontId="10" fillId="0" borderId="0" xfId="1" applyFont="1" applyBorder="1"/>
    <xf numFmtId="43" fontId="9" fillId="0" borderId="0" xfId="1" applyFont="1" applyFill="1" applyBorder="1"/>
    <xf numFmtId="43" fontId="9" fillId="3" borderId="0" xfId="1" applyFont="1" applyFill="1" applyBorder="1"/>
    <xf numFmtId="43" fontId="8" fillId="0" borderId="0" xfId="0" applyNumberFormat="1" applyFont="1"/>
    <xf numFmtId="43" fontId="2" fillId="0" borderId="0" xfId="0" applyNumberFormat="1" applyFont="1"/>
    <xf numFmtId="165" fontId="2" fillId="0" borderId="0" xfId="0" applyNumberFormat="1" applyFont="1" applyAlignment="1" applyProtection="1">
      <alignment horizontal="center"/>
      <protection locked="0"/>
    </xf>
    <xf numFmtId="43" fontId="2" fillId="0" borderId="0" xfId="1" applyFont="1" applyFill="1" applyBorder="1"/>
    <xf numFmtId="43" fontId="4" fillId="0" borderId="0" xfId="1" applyFont="1" applyFill="1" applyBorder="1" applyAlignment="1" applyProtection="1">
      <alignment horizontal="center"/>
    </xf>
    <xf numFmtId="43" fontId="6" fillId="0" borderId="0" xfId="1" applyFont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6" fillId="0" borderId="0" xfId="1" applyFont="1" applyFill="1" applyBorder="1" applyAlignment="1">
      <alignment horizontal="center"/>
    </xf>
    <xf numFmtId="164" fontId="6" fillId="0" borderId="0" xfId="0" applyNumberFormat="1" applyFont="1"/>
    <xf numFmtId="0" fontId="9" fillId="0" borderId="0" xfId="1" applyNumberFormat="1" applyFont="1" applyBorder="1"/>
    <xf numFmtId="43" fontId="6" fillId="0" borderId="1" xfId="1" applyFont="1" applyBorder="1" applyAlignment="1">
      <alignment horizontal="center"/>
    </xf>
    <xf numFmtId="43" fontId="6" fillId="0" borderId="1" xfId="1" applyFont="1" applyBorder="1"/>
    <xf numFmtId="43" fontId="6" fillId="0" borderId="0" xfId="1" applyFont="1"/>
    <xf numFmtId="0" fontId="6" fillId="3" borderId="0" xfId="0" applyFont="1" applyFill="1"/>
    <xf numFmtId="0" fontId="2" fillId="3" borderId="0" xfId="0" applyFont="1" applyFill="1"/>
    <xf numFmtId="43" fontId="7" fillId="0" borderId="0" xfId="1" applyFont="1"/>
    <xf numFmtId="43" fontId="6" fillId="0" borderId="0" xfId="1" applyFont="1" applyBorder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43" fontId="6" fillId="4" borderId="0" xfId="1" applyFont="1" applyFill="1" applyBorder="1" applyAlignment="1">
      <alignment horizontal="center"/>
    </xf>
    <xf numFmtId="43" fontId="13" fillId="4" borderId="0" xfId="1" applyFont="1" applyFill="1" applyBorder="1"/>
    <xf numFmtId="43" fontId="2" fillId="0" borderId="1" xfId="1" applyFont="1" applyFill="1" applyBorder="1"/>
    <xf numFmtId="43" fontId="14" fillId="0" borderId="0" xfId="1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167" fontId="6" fillId="0" borderId="0" xfId="1" applyNumberFormat="1" applyFont="1"/>
    <xf numFmtId="164" fontId="6" fillId="0" borderId="2" xfId="0" applyNumberFormat="1" applyFont="1" applyBorder="1"/>
    <xf numFmtId="43" fontId="6" fillId="0" borderId="2" xfId="0" applyNumberFormat="1" applyFont="1" applyBorder="1"/>
    <xf numFmtId="165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43" fontId="6" fillId="5" borderId="0" xfId="1" applyFont="1" applyFill="1" applyBorder="1" applyAlignment="1">
      <alignment horizontal="center"/>
    </xf>
    <xf numFmtId="43" fontId="2" fillId="5" borderId="0" xfId="1" applyFont="1" applyFill="1" applyBorder="1" applyAlignment="1">
      <alignment horizontal="center"/>
    </xf>
    <xf numFmtId="43" fontId="6" fillId="5" borderId="0" xfId="1" applyFont="1" applyFill="1" applyBorder="1"/>
    <xf numFmtId="43" fontId="6" fillId="0" borderId="0" xfId="1" applyFont="1" applyFill="1" applyBorder="1" applyAlignment="1"/>
    <xf numFmtId="43" fontId="6" fillId="0" borderId="1" xfId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6" fillId="0" borderId="0" xfId="1" applyFont="1" applyFill="1" applyBorder="1" applyAlignment="1">
      <alignment horizontal="right"/>
    </xf>
    <xf numFmtId="43" fontId="6" fillId="0" borderId="0" xfId="1" applyFont="1" applyFill="1"/>
    <xf numFmtId="43" fontId="6" fillId="0" borderId="1" xfId="1" applyFont="1" applyBorder="1" applyAlignment="1">
      <alignment horizontal="right"/>
    </xf>
    <xf numFmtId="168" fontId="6" fillId="0" borderId="0" xfId="1" applyNumberFormat="1" applyFont="1" applyAlignment="1">
      <alignment horizontal="center"/>
    </xf>
    <xf numFmtId="0" fontId="15" fillId="0" borderId="0" xfId="0" quotePrefix="1" applyFont="1"/>
    <xf numFmtId="164" fontId="6" fillId="0" borderId="3" xfId="0" applyNumberFormat="1" applyFont="1" applyBorder="1"/>
    <xf numFmtId="43" fontId="6" fillId="0" borderId="3" xfId="0" applyNumberFormat="1" applyFont="1" applyBorder="1"/>
    <xf numFmtId="43" fontId="6" fillId="0" borderId="3" xfId="1" applyFont="1" applyBorder="1"/>
    <xf numFmtId="43" fontId="6" fillId="0" borderId="0" xfId="1" applyFont="1" applyFill="1" applyBorder="1" applyAlignment="1">
      <alignment horizontal="center"/>
    </xf>
    <xf numFmtId="0" fontId="6" fillId="0" borderId="0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CCFF"/>
      <color rgb="FF008000"/>
      <color rgb="FFFF00FF"/>
      <color rgb="FFCC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31E8-5E22-43B8-ABDE-A57657633EE3}">
  <sheetPr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defaultColWidth="9.140625" defaultRowHeight="12.75" x14ac:dyDescent="0.2"/>
  <cols>
    <col min="1" max="1" width="8.140625" style="12" customWidth="1"/>
    <col min="2" max="2" width="8" style="12" customWidth="1"/>
    <col min="3" max="3" width="35.7109375" style="2" customWidth="1"/>
    <col min="4" max="4" width="7.42578125" style="1" customWidth="1"/>
    <col min="5" max="5" width="8.42578125" style="38" bestFit="1" customWidth="1"/>
    <col min="6" max="6" width="9" style="38" bestFit="1" customWidth="1"/>
    <col min="7" max="7" width="9.5703125" style="38" bestFit="1" customWidth="1"/>
    <col min="8" max="8" width="9.85546875" style="14" bestFit="1" customWidth="1"/>
    <col min="9" max="9" width="9.140625" style="38"/>
    <col min="10" max="16384" width="9.140625" style="2"/>
  </cols>
  <sheetData>
    <row r="1" spans="1:11" ht="15.75" x14ac:dyDescent="0.25">
      <c r="A1" s="8" t="s">
        <v>11</v>
      </c>
      <c r="B1" s="9"/>
      <c r="C1" s="3"/>
      <c r="D1" s="4"/>
      <c r="E1" s="18">
        <f>E96</f>
        <v>2000.4199999999996</v>
      </c>
      <c r="F1" s="18">
        <f t="shared" ref="F1:I1" si="0">F96</f>
        <v>3.0300000000000002</v>
      </c>
      <c r="G1" s="18">
        <f t="shared" si="0"/>
        <v>56202</v>
      </c>
      <c r="H1" s="18">
        <f t="shared" si="0"/>
        <v>188626.62474999987</v>
      </c>
      <c r="I1" s="18">
        <f t="shared" si="0"/>
        <v>3.650000000000079</v>
      </c>
    </row>
    <row r="2" spans="1:11" ht="15.75" x14ac:dyDescent="0.25">
      <c r="A2" s="8"/>
      <c r="B2" s="9"/>
      <c r="C2" s="3"/>
      <c r="D2" s="4"/>
      <c r="E2" s="67"/>
      <c r="F2" s="67"/>
      <c r="G2" s="67"/>
      <c r="H2" s="67"/>
      <c r="I2" s="67" t="s">
        <v>9</v>
      </c>
    </row>
    <row r="3" spans="1:11" x14ac:dyDescent="0.2">
      <c r="A3" s="9"/>
      <c r="B3" s="9"/>
      <c r="C3" s="3"/>
      <c r="D3" s="4"/>
      <c r="E3" s="67"/>
      <c r="F3" s="67"/>
      <c r="G3" s="67"/>
      <c r="H3" s="67"/>
      <c r="I3" s="67" t="s">
        <v>14</v>
      </c>
    </row>
    <row r="4" spans="1:11" s="7" customFormat="1" ht="15" x14ac:dyDescent="0.35">
      <c r="A4" s="10" t="s">
        <v>0</v>
      </c>
      <c r="B4" s="10" t="s">
        <v>1</v>
      </c>
      <c r="C4" s="6" t="s">
        <v>2</v>
      </c>
      <c r="D4" s="6" t="s">
        <v>5</v>
      </c>
      <c r="E4" s="37" t="s">
        <v>31</v>
      </c>
      <c r="F4" s="37" t="s">
        <v>130</v>
      </c>
      <c r="G4" s="37" t="s">
        <v>22</v>
      </c>
      <c r="H4" s="37" t="s">
        <v>3</v>
      </c>
      <c r="I4" s="37" t="s">
        <v>15</v>
      </c>
    </row>
    <row r="5" spans="1:11" s="13" customFormat="1" x14ac:dyDescent="0.2">
      <c r="A5" s="12"/>
      <c r="B5" s="11">
        <v>46023</v>
      </c>
      <c r="C5" s="2" t="s">
        <v>219</v>
      </c>
      <c r="D5" s="1"/>
      <c r="E5" s="38">
        <f>'25'!E444</f>
        <v>2000.4199999999996</v>
      </c>
      <c r="F5" s="38">
        <f>'25'!F444</f>
        <v>3.0300000000000002</v>
      </c>
      <c r="G5" s="38">
        <f>'25'!G444</f>
        <v>1477</v>
      </c>
      <c r="H5" s="38">
        <f>'25'!H444</f>
        <v>34757.764749999871</v>
      </c>
      <c r="I5" s="38">
        <f>'25'!I444</f>
        <v>3.650000000000079</v>
      </c>
    </row>
    <row r="6" spans="1:11" s="38" customFormat="1" x14ac:dyDescent="0.2">
      <c r="A6" s="12"/>
      <c r="B6" s="12">
        <v>46024</v>
      </c>
      <c r="C6" s="2" t="s">
        <v>224</v>
      </c>
      <c r="D6" s="1"/>
      <c r="H6" s="56">
        <v>-71.62</v>
      </c>
      <c r="J6" s="2"/>
      <c r="K6" s="2"/>
    </row>
    <row r="7" spans="1:11" s="38" customFormat="1" x14ac:dyDescent="0.2">
      <c r="A7" s="12"/>
      <c r="B7" s="12"/>
      <c r="C7" s="2" t="s">
        <v>39</v>
      </c>
      <c r="D7" s="1"/>
      <c r="H7" s="56">
        <v>0.37</v>
      </c>
      <c r="J7" s="2"/>
      <c r="K7" s="2"/>
    </row>
    <row r="8" spans="1:11" s="38" customFormat="1" x14ac:dyDescent="0.2">
      <c r="A8" s="12"/>
      <c r="B8" s="12"/>
      <c r="C8" s="2" t="s">
        <v>225</v>
      </c>
      <c r="D8" s="1"/>
      <c r="H8" s="56">
        <v>-318.89999999999998</v>
      </c>
      <c r="J8" s="2"/>
      <c r="K8" s="2"/>
    </row>
    <row r="9" spans="1:11" s="38" customFormat="1" x14ac:dyDescent="0.2">
      <c r="A9" s="12"/>
      <c r="B9" s="12"/>
      <c r="C9" s="2" t="s">
        <v>39</v>
      </c>
      <c r="D9" s="1"/>
      <c r="H9" s="56">
        <v>1.62</v>
      </c>
      <c r="J9" s="2"/>
      <c r="K9" s="2"/>
    </row>
    <row r="10" spans="1:11" s="38" customFormat="1" x14ac:dyDescent="0.2">
      <c r="A10" s="12"/>
      <c r="B10" s="12"/>
      <c r="C10" s="2" t="s">
        <v>112</v>
      </c>
      <c r="D10" s="1"/>
      <c r="H10" s="56">
        <v>-18</v>
      </c>
      <c r="J10" s="2"/>
      <c r="K10" s="2"/>
    </row>
    <row r="11" spans="1:11" s="38" customFormat="1" x14ac:dyDescent="0.2">
      <c r="A11" s="12"/>
      <c r="B11" s="12"/>
      <c r="C11" s="2" t="s">
        <v>39</v>
      </c>
      <c r="D11" s="1"/>
      <c r="H11" s="56">
        <v>0.09</v>
      </c>
      <c r="J11" s="2"/>
      <c r="K11" s="2"/>
    </row>
    <row r="12" spans="1:11" s="38" customFormat="1" x14ac:dyDescent="0.2">
      <c r="A12" s="12"/>
      <c r="B12" s="12"/>
      <c r="C12" s="2" t="s">
        <v>227</v>
      </c>
      <c r="D12" s="1"/>
      <c r="H12" s="56">
        <v>-84.64</v>
      </c>
      <c r="J12" s="2"/>
      <c r="K12" s="2"/>
    </row>
    <row r="13" spans="1:11" s="38" customFormat="1" x14ac:dyDescent="0.2">
      <c r="A13" s="12"/>
      <c r="B13" s="12"/>
      <c r="C13" s="2" t="s">
        <v>39</v>
      </c>
      <c r="D13" s="1"/>
      <c r="H13" s="56">
        <v>0.42</v>
      </c>
      <c r="J13" s="2"/>
      <c r="K13" s="2"/>
    </row>
    <row r="14" spans="1:11" s="38" customFormat="1" x14ac:dyDescent="0.2">
      <c r="A14" s="12"/>
      <c r="B14" s="12"/>
      <c r="C14" s="2" t="s">
        <v>226</v>
      </c>
      <c r="D14" s="1"/>
      <c r="H14" s="56">
        <v>-1.05</v>
      </c>
      <c r="J14" s="2"/>
      <c r="K14" s="2"/>
    </row>
    <row r="15" spans="1:11" s="38" customFormat="1" x14ac:dyDescent="0.2">
      <c r="A15" s="12"/>
      <c r="B15" s="12"/>
      <c r="C15" s="2" t="s">
        <v>228</v>
      </c>
      <c r="D15" s="1"/>
      <c r="H15" s="56">
        <v>-481.67</v>
      </c>
      <c r="J15" s="2"/>
      <c r="K15" s="2"/>
    </row>
    <row r="16" spans="1:11" s="38" customFormat="1" x14ac:dyDescent="0.2">
      <c r="A16" s="12"/>
      <c r="B16" s="12"/>
      <c r="C16" s="2" t="s">
        <v>39</v>
      </c>
      <c r="D16" s="1"/>
      <c r="H16" s="56">
        <v>2.42</v>
      </c>
      <c r="J16" s="2"/>
      <c r="K16" s="2"/>
    </row>
    <row r="17" spans="1:11" s="38" customFormat="1" x14ac:dyDescent="0.2">
      <c r="A17" s="12"/>
      <c r="B17" s="12">
        <v>46027</v>
      </c>
      <c r="C17" s="2" t="s">
        <v>229</v>
      </c>
      <c r="D17" s="1"/>
      <c r="H17" s="56">
        <v>-809.3</v>
      </c>
      <c r="J17" s="2"/>
      <c r="K17" s="2"/>
    </row>
    <row r="18" spans="1:11" s="38" customFormat="1" x14ac:dyDescent="0.2">
      <c r="A18" s="12"/>
      <c r="B18" s="12"/>
      <c r="C18" s="2" t="s">
        <v>39</v>
      </c>
      <c r="D18" s="1"/>
      <c r="H18" s="56">
        <v>4.05</v>
      </c>
      <c r="J18" s="2"/>
      <c r="K18" s="2"/>
    </row>
    <row r="19" spans="1:11" s="38" customFormat="1" x14ac:dyDescent="0.2">
      <c r="A19" s="12"/>
      <c r="B19" s="12">
        <v>46028</v>
      </c>
      <c r="C19" s="2" t="s">
        <v>229</v>
      </c>
      <c r="D19" s="1"/>
      <c r="H19" s="56">
        <v>-768.35</v>
      </c>
      <c r="J19" s="2"/>
      <c r="K19" s="2"/>
    </row>
    <row r="20" spans="1:11" s="38" customFormat="1" x14ac:dyDescent="0.2">
      <c r="A20" s="12"/>
      <c r="B20" s="12"/>
      <c r="C20" s="2" t="s">
        <v>39</v>
      </c>
      <c r="D20" s="1"/>
      <c r="H20" s="56">
        <v>3.84</v>
      </c>
      <c r="J20" s="2"/>
      <c r="K20" s="2"/>
    </row>
    <row r="21" spans="1:11" s="38" customFormat="1" x14ac:dyDescent="0.2">
      <c r="A21" s="12"/>
      <c r="B21" s="12">
        <v>46031</v>
      </c>
      <c r="C21" s="2" t="s">
        <v>112</v>
      </c>
      <c r="D21" s="1"/>
      <c r="H21" s="56">
        <v>-38</v>
      </c>
      <c r="J21" s="2"/>
      <c r="K21" s="2"/>
    </row>
    <row r="22" spans="1:11" s="38" customFormat="1" x14ac:dyDescent="0.2">
      <c r="A22" s="12"/>
      <c r="B22" s="12"/>
      <c r="C22" s="2" t="s">
        <v>39</v>
      </c>
      <c r="D22" s="1"/>
      <c r="H22" s="56">
        <v>0.19</v>
      </c>
      <c r="J22" s="2"/>
      <c r="K22" s="2"/>
    </row>
    <row r="23" spans="1:11" s="38" customFormat="1" x14ac:dyDescent="0.2">
      <c r="A23" s="12"/>
      <c r="B23" s="12">
        <v>46032</v>
      </c>
      <c r="C23" s="2" t="s">
        <v>214</v>
      </c>
      <c r="D23" s="1"/>
      <c r="H23" s="56">
        <v>-55.62</v>
      </c>
      <c r="J23" s="2"/>
      <c r="K23" s="2"/>
    </row>
    <row r="24" spans="1:11" s="38" customFormat="1" x14ac:dyDescent="0.2">
      <c r="A24" s="12"/>
      <c r="B24" s="12"/>
      <c r="C24" s="2" t="s">
        <v>39</v>
      </c>
      <c r="D24" s="1"/>
      <c r="H24" s="56">
        <v>0.28000000000000003</v>
      </c>
      <c r="J24" s="2"/>
      <c r="K24" s="2"/>
    </row>
    <row r="25" spans="1:11" s="38" customFormat="1" x14ac:dyDescent="0.2">
      <c r="A25" s="12"/>
      <c r="B25" s="12"/>
      <c r="C25" s="2" t="s">
        <v>229</v>
      </c>
      <c r="D25" s="1"/>
      <c r="H25" s="56">
        <v>-768.93</v>
      </c>
      <c r="J25" s="2"/>
      <c r="K25" s="2"/>
    </row>
    <row r="26" spans="1:11" s="38" customFormat="1" x14ac:dyDescent="0.2">
      <c r="A26" s="12"/>
      <c r="B26" s="12"/>
      <c r="C26" s="2" t="s">
        <v>39</v>
      </c>
      <c r="D26" s="1"/>
      <c r="H26" s="56">
        <v>3.84</v>
      </c>
      <c r="J26" s="2"/>
      <c r="K26" s="2"/>
    </row>
    <row r="27" spans="1:11" s="38" customFormat="1" x14ac:dyDescent="0.2">
      <c r="A27" s="12"/>
      <c r="B27" s="12">
        <v>46038</v>
      </c>
      <c r="C27" s="2" t="s">
        <v>230</v>
      </c>
      <c r="D27" s="1"/>
      <c r="H27" s="56">
        <v>-616</v>
      </c>
      <c r="J27" s="2"/>
      <c r="K27" s="2"/>
    </row>
    <row r="28" spans="1:11" s="38" customFormat="1" x14ac:dyDescent="0.2">
      <c r="A28" s="12"/>
      <c r="B28" s="12"/>
      <c r="C28" s="2" t="s">
        <v>39</v>
      </c>
      <c r="D28" s="1"/>
      <c r="H28" s="56">
        <v>3.08</v>
      </c>
      <c r="J28" s="2"/>
      <c r="K28" s="2"/>
    </row>
    <row r="29" spans="1:11" s="38" customFormat="1" x14ac:dyDescent="0.2">
      <c r="A29" s="12"/>
      <c r="B29" s="12"/>
      <c r="C29" s="2" t="s">
        <v>214</v>
      </c>
      <c r="D29" s="1"/>
      <c r="H29" s="56">
        <v>-85.87</v>
      </c>
      <c r="J29" s="2"/>
      <c r="K29" s="2"/>
    </row>
    <row r="30" spans="1:11" x14ac:dyDescent="0.2">
      <c r="C30" s="2" t="s">
        <v>39</v>
      </c>
      <c r="H30" s="56">
        <v>0.43</v>
      </c>
    </row>
    <row r="31" spans="1:11" x14ac:dyDescent="0.2">
      <c r="C31" s="2" t="s">
        <v>231</v>
      </c>
      <c r="H31" s="56">
        <v>-271</v>
      </c>
    </row>
    <row r="32" spans="1:11" x14ac:dyDescent="0.2">
      <c r="C32" s="2" t="s">
        <v>39</v>
      </c>
      <c r="H32" s="56">
        <v>1.36</v>
      </c>
    </row>
    <row r="33" spans="2:8" x14ac:dyDescent="0.2">
      <c r="B33" s="12">
        <v>46041</v>
      </c>
      <c r="C33" s="2" t="s">
        <v>214</v>
      </c>
      <c r="H33" s="56">
        <v>-113.61</v>
      </c>
    </row>
    <row r="34" spans="2:8" x14ac:dyDescent="0.2">
      <c r="C34" s="2" t="s">
        <v>39</v>
      </c>
      <c r="H34" s="56">
        <v>0.56999999999999995</v>
      </c>
    </row>
    <row r="35" spans="2:8" x14ac:dyDescent="0.2">
      <c r="B35" s="12">
        <v>46049</v>
      </c>
      <c r="C35" s="2" t="s">
        <v>236</v>
      </c>
      <c r="H35" s="56">
        <v>-36.4</v>
      </c>
    </row>
    <row r="36" spans="2:8" x14ac:dyDescent="0.2">
      <c r="C36" s="2" t="s">
        <v>137</v>
      </c>
      <c r="H36" s="56">
        <v>0.19</v>
      </c>
    </row>
    <row r="37" spans="2:8" x14ac:dyDescent="0.2">
      <c r="C37" s="2" t="s">
        <v>235</v>
      </c>
      <c r="H37" s="56">
        <v>-74.510000000000005</v>
      </c>
    </row>
    <row r="38" spans="2:8" x14ac:dyDescent="0.2">
      <c r="C38" s="2" t="s">
        <v>39</v>
      </c>
      <c r="H38" s="56">
        <v>0.37</v>
      </c>
    </row>
    <row r="39" spans="2:8" x14ac:dyDescent="0.2">
      <c r="C39" s="2" t="s">
        <v>234</v>
      </c>
      <c r="H39" s="56">
        <v>-111.72</v>
      </c>
    </row>
    <row r="40" spans="2:8" x14ac:dyDescent="0.2">
      <c r="C40" s="2" t="s">
        <v>39</v>
      </c>
      <c r="H40" s="56">
        <v>0.56000000000000005</v>
      </c>
    </row>
    <row r="41" spans="2:8" x14ac:dyDescent="0.2">
      <c r="C41" s="2" t="s">
        <v>233</v>
      </c>
      <c r="H41" s="56">
        <v>-83.75</v>
      </c>
    </row>
    <row r="42" spans="2:8" x14ac:dyDescent="0.2">
      <c r="C42" s="2" t="s">
        <v>223</v>
      </c>
      <c r="H42" s="56">
        <v>0.37</v>
      </c>
    </row>
    <row r="43" spans="2:8" x14ac:dyDescent="0.2">
      <c r="C43" s="2" t="s">
        <v>237</v>
      </c>
      <c r="H43" s="56">
        <v>-18.649999999999999</v>
      </c>
    </row>
    <row r="44" spans="2:8" x14ac:dyDescent="0.2">
      <c r="C44" s="2" t="s">
        <v>138</v>
      </c>
      <c r="H44" s="56">
        <v>0.09</v>
      </c>
    </row>
    <row r="45" spans="2:8" x14ac:dyDescent="0.2">
      <c r="C45" s="2" t="s">
        <v>238</v>
      </c>
      <c r="H45" s="56">
        <v>-83.37</v>
      </c>
    </row>
    <row r="46" spans="2:8" x14ac:dyDescent="0.2">
      <c r="C46" s="2" t="s">
        <v>223</v>
      </c>
      <c r="H46" s="56">
        <v>0.37</v>
      </c>
    </row>
    <row r="47" spans="2:8" x14ac:dyDescent="0.2">
      <c r="B47" s="12">
        <v>46050</v>
      </c>
      <c r="C47" s="2" t="s">
        <v>239</v>
      </c>
      <c r="H47" s="56">
        <v>-47.04</v>
      </c>
    </row>
    <row r="48" spans="2:8" x14ac:dyDescent="0.2">
      <c r="C48" s="2" t="s">
        <v>23</v>
      </c>
      <c r="H48" s="56">
        <v>0.19</v>
      </c>
    </row>
    <row r="49" spans="2:9" x14ac:dyDescent="0.2">
      <c r="C49" s="2" t="s">
        <v>12</v>
      </c>
      <c r="E49" s="49"/>
      <c r="F49" s="49"/>
      <c r="G49" s="49"/>
      <c r="H49" s="49">
        <v>7.0000000000000007E-2</v>
      </c>
      <c r="I49" s="49"/>
    </row>
    <row r="50" spans="2:9" x14ac:dyDescent="0.2">
      <c r="B50" s="12">
        <v>46051</v>
      </c>
      <c r="C50" s="2" t="s">
        <v>240</v>
      </c>
      <c r="H50" s="56">
        <v>-103.08</v>
      </c>
    </row>
    <row r="51" spans="2:9" x14ac:dyDescent="0.2">
      <c r="C51" s="2" t="s">
        <v>23</v>
      </c>
      <c r="H51" s="56">
        <v>0.47</v>
      </c>
    </row>
    <row r="52" spans="2:9" x14ac:dyDescent="0.2">
      <c r="C52" s="2" t="s">
        <v>241</v>
      </c>
      <c r="H52" s="56">
        <v>-94.09</v>
      </c>
    </row>
    <row r="53" spans="2:9" x14ac:dyDescent="0.2">
      <c r="C53" s="2" t="s">
        <v>39</v>
      </c>
      <c r="H53" s="56">
        <v>0.47</v>
      </c>
    </row>
    <row r="54" spans="2:9" x14ac:dyDescent="0.2">
      <c r="B54" s="12">
        <v>46053</v>
      </c>
      <c r="C54" s="2" t="s">
        <v>242</v>
      </c>
      <c r="H54" s="56">
        <v>-102.84</v>
      </c>
    </row>
    <row r="55" spans="2:9" x14ac:dyDescent="0.2">
      <c r="C55" s="2" t="s">
        <v>23</v>
      </c>
      <c r="H55" s="56">
        <v>0.47</v>
      </c>
    </row>
    <row r="56" spans="2:9" x14ac:dyDescent="0.2">
      <c r="C56" s="2" t="s">
        <v>243</v>
      </c>
      <c r="H56" s="56">
        <v>-65.47</v>
      </c>
    </row>
    <row r="57" spans="2:9" x14ac:dyDescent="0.2">
      <c r="C57" s="2" t="s">
        <v>39</v>
      </c>
      <c r="H57" s="56">
        <v>0.28000000000000003</v>
      </c>
    </row>
    <row r="58" spans="2:9" x14ac:dyDescent="0.2">
      <c r="E58" s="57">
        <f>SUM(E5:E57)</f>
        <v>2000.4199999999996</v>
      </c>
      <c r="F58" s="57">
        <f t="shared" ref="F58:I58" si="1">SUM(F5:F57)</f>
        <v>3.0300000000000002</v>
      </c>
      <c r="G58" s="57">
        <f t="shared" si="1"/>
        <v>1477</v>
      </c>
      <c r="H58" s="57">
        <f t="shared" si="1"/>
        <v>29460.74474999986</v>
      </c>
      <c r="I58" s="57">
        <f t="shared" si="1"/>
        <v>3.650000000000079</v>
      </c>
    </row>
    <row r="59" spans="2:9" x14ac:dyDescent="0.2">
      <c r="B59" s="12">
        <v>46055</v>
      </c>
      <c r="C59" s="2" t="s">
        <v>244</v>
      </c>
      <c r="H59" s="56">
        <v>-46.36</v>
      </c>
    </row>
    <row r="60" spans="2:9" x14ac:dyDescent="0.2">
      <c r="C60" s="2" t="s">
        <v>39</v>
      </c>
      <c r="H60" s="56">
        <v>0.19</v>
      </c>
    </row>
    <row r="61" spans="2:9" x14ac:dyDescent="0.2">
      <c r="B61" s="12">
        <v>46057</v>
      </c>
      <c r="C61" s="2" t="s">
        <v>245</v>
      </c>
      <c r="H61" s="56">
        <v>-15926.57</v>
      </c>
    </row>
    <row r="62" spans="2:9" x14ac:dyDescent="0.2">
      <c r="C62" s="2" t="s">
        <v>39</v>
      </c>
      <c r="H62" s="56">
        <v>79.63</v>
      </c>
    </row>
    <row r="63" spans="2:9" x14ac:dyDescent="0.2">
      <c r="B63" s="12">
        <v>46058</v>
      </c>
      <c r="C63" s="2" t="s">
        <v>246</v>
      </c>
      <c r="H63" s="56">
        <v>-128.34</v>
      </c>
    </row>
    <row r="64" spans="2:9" x14ac:dyDescent="0.2">
      <c r="C64" s="2" t="s">
        <v>39</v>
      </c>
      <c r="H64" s="56">
        <v>0.64</v>
      </c>
    </row>
    <row r="65" spans="2:10" x14ac:dyDescent="0.2">
      <c r="B65" s="12">
        <v>46060</v>
      </c>
      <c r="C65" s="2" t="s">
        <v>13</v>
      </c>
      <c r="H65" s="14">
        <v>-10500</v>
      </c>
    </row>
    <row r="66" spans="2:10" x14ac:dyDescent="0.2">
      <c r="B66" s="12">
        <v>46062</v>
      </c>
      <c r="C66" s="2" t="s">
        <v>247</v>
      </c>
      <c r="H66" s="56">
        <v>-2748.97</v>
      </c>
    </row>
    <row r="67" spans="2:10" x14ac:dyDescent="0.2">
      <c r="C67" s="2" t="s">
        <v>39</v>
      </c>
      <c r="H67" s="56">
        <v>13.74</v>
      </c>
    </row>
    <row r="68" spans="2:10" x14ac:dyDescent="0.2">
      <c r="C68" s="2" t="s">
        <v>112</v>
      </c>
      <c r="H68" s="56">
        <v>-38</v>
      </c>
    </row>
    <row r="69" spans="2:10" x14ac:dyDescent="0.2">
      <c r="C69" s="2" t="s">
        <v>39</v>
      </c>
      <c r="H69" s="56">
        <v>0.19</v>
      </c>
    </row>
    <row r="70" spans="2:10" x14ac:dyDescent="0.2">
      <c r="B70" s="12">
        <v>46065</v>
      </c>
      <c r="C70" s="2" t="s">
        <v>232</v>
      </c>
      <c r="H70" s="56">
        <v>200000</v>
      </c>
    </row>
    <row r="71" spans="2:10" x14ac:dyDescent="0.2">
      <c r="C71" s="2" t="s">
        <v>249</v>
      </c>
      <c r="G71" s="38">
        <v>55000</v>
      </c>
      <c r="H71" s="56"/>
    </row>
    <row r="72" spans="2:10" x14ac:dyDescent="0.2">
      <c r="C72" s="2" t="s">
        <v>39</v>
      </c>
      <c r="G72" s="38">
        <v>-275</v>
      </c>
      <c r="H72" s="56"/>
    </row>
    <row r="73" spans="2:10" x14ac:dyDescent="0.2">
      <c r="B73" s="12">
        <v>46066</v>
      </c>
      <c r="C73" s="2" t="s">
        <v>248</v>
      </c>
      <c r="H73" s="56">
        <v>-160</v>
      </c>
    </row>
    <row r="74" spans="2:10" x14ac:dyDescent="0.2">
      <c r="C74" s="2" t="s">
        <v>39</v>
      </c>
      <c r="H74" s="56">
        <v>0.8</v>
      </c>
    </row>
    <row r="75" spans="2:10" x14ac:dyDescent="0.2">
      <c r="B75" s="12">
        <v>46067</v>
      </c>
      <c r="C75" s="2" t="s">
        <v>248</v>
      </c>
      <c r="H75" s="56">
        <v>-669</v>
      </c>
    </row>
    <row r="76" spans="2:10" x14ac:dyDescent="0.2">
      <c r="C76" s="2" t="s">
        <v>39</v>
      </c>
      <c r="H76" s="56">
        <v>3.35</v>
      </c>
    </row>
    <row r="77" spans="2:10" x14ac:dyDescent="0.2">
      <c r="B77" s="12">
        <v>46073</v>
      </c>
      <c r="C77" s="2" t="s">
        <v>13</v>
      </c>
      <c r="H77" s="56">
        <v>-6600</v>
      </c>
    </row>
    <row r="78" spans="2:10" x14ac:dyDescent="0.2">
      <c r="C78" s="2" t="s">
        <v>13</v>
      </c>
      <c r="H78" s="56">
        <v>-2000</v>
      </c>
    </row>
    <row r="79" spans="2:10" x14ac:dyDescent="0.2">
      <c r="C79" s="2" t="s">
        <v>214</v>
      </c>
      <c r="H79" s="56">
        <v>-52.05</v>
      </c>
    </row>
    <row r="80" spans="2:10" x14ac:dyDescent="0.2">
      <c r="C80" s="2" t="s">
        <v>39</v>
      </c>
      <c r="H80" s="56">
        <v>0.26</v>
      </c>
      <c r="J80" s="2">
        <f>H80/H79*100</f>
        <v>-0.49951969260326617</v>
      </c>
    </row>
    <row r="81" spans="2:10" x14ac:dyDescent="0.2">
      <c r="B81" s="12">
        <v>46074</v>
      </c>
      <c r="C81" s="2" t="s">
        <v>217</v>
      </c>
      <c r="H81" s="56">
        <v>-550</v>
      </c>
    </row>
    <row r="82" spans="2:10" x14ac:dyDescent="0.2">
      <c r="C82" s="2" t="s">
        <v>39</v>
      </c>
      <c r="H82" s="56">
        <v>2.75</v>
      </c>
      <c r="J82" s="2">
        <f>H82/H81*100</f>
        <v>-0.5</v>
      </c>
    </row>
    <row r="83" spans="2:10" x14ac:dyDescent="0.2">
      <c r="B83" s="12">
        <v>46079</v>
      </c>
      <c r="C83" s="2" t="s">
        <v>112</v>
      </c>
      <c r="H83" s="56">
        <v>-188</v>
      </c>
    </row>
    <row r="84" spans="2:10" x14ac:dyDescent="0.2">
      <c r="C84" s="2" t="s">
        <v>39</v>
      </c>
      <c r="H84" s="56">
        <v>0.94</v>
      </c>
      <c r="J84" s="2">
        <f>H84/H83*100</f>
        <v>-0.5</v>
      </c>
    </row>
    <row r="85" spans="2:10" x14ac:dyDescent="0.2">
      <c r="B85" s="12">
        <v>46080</v>
      </c>
      <c r="C85" s="2" t="s">
        <v>259</v>
      </c>
      <c r="H85" s="56">
        <v>-1336</v>
      </c>
    </row>
    <row r="86" spans="2:10" x14ac:dyDescent="0.2">
      <c r="C86" s="2" t="s">
        <v>39</v>
      </c>
      <c r="H86" s="56">
        <v>6.68</v>
      </c>
      <c r="J86" s="2">
        <f>H86/H85*100</f>
        <v>-0.5</v>
      </c>
    </row>
    <row r="87" spans="2:10" x14ac:dyDescent="0.2">
      <c r="C87" s="2" t="s">
        <v>12</v>
      </c>
      <c r="H87" s="56"/>
    </row>
    <row r="88" spans="2:10" x14ac:dyDescent="0.2">
      <c r="H88" s="56"/>
    </row>
    <row r="89" spans="2:10" x14ac:dyDescent="0.2">
      <c r="H89" s="56"/>
    </row>
    <row r="90" spans="2:10" x14ac:dyDescent="0.2">
      <c r="H90" s="56"/>
    </row>
    <row r="91" spans="2:10" x14ac:dyDescent="0.2">
      <c r="H91" s="56"/>
    </row>
    <row r="92" spans="2:10" x14ac:dyDescent="0.2">
      <c r="H92" s="56"/>
    </row>
    <row r="93" spans="2:10" x14ac:dyDescent="0.2">
      <c r="C93" s="2" t="s">
        <v>12</v>
      </c>
      <c r="H93" s="56"/>
    </row>
    <row r="94" spans="2:10" x14ac:dyDescent="0.2">
      <c r="H94" s="56"/>
    </row>
    <row r="96" spans="2:10" x14ac:dyDescent="0.2">
      <c r="E96" s="57">
        <f>SUM(E58:E95)</f>
        <v>2000.4199999999996</v>
      </c>
      <c r="F96" s="57">
        <f>SUM(F58:F95)</f>
        <v>3.0300000000000002</v>
      </c>
      <c r="G96" s="57">
        <f>SUM(G58:G95)</f>
        <v>56202</v>
      </c>
      <c r="H96" s="57">
        <f>SUM(H58:H95)</f>
        <v>188626.62474999987</v>
      </c>
      <c r="I96" s="57">
        <f>SUM(I58:I95)</f>
        <v>3.650000000000079</v>
      </c>
    </row>
  </sheetData>
  <printOptions horizontalCentered="1"/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9B12-DAF6-41E2-B277-AB4170C500D4}">
  <sheetPr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defaultColWidth="9.140625" defaultRowHeight="12.75" x14ac:dyDescent="0.2"/>
  <cols>
    <col min="1" max="1" width="8.140625" style="12" customWidth="1"/>
    <col min="2" max="2" width="8" style="12" customWidth="1"/>
    <col min="3" max="3" width="49.85546875" style="2" customWidth="1"/>
    <col min="4" max="4" width="7.42578125" style="1" customWidth="1"/>
    <col min="5" max="5" width="8.42578125" style="38" bestFit="1" customWidth="1"/>
    <col min="6" max="6" width="9" style="38" bestFit="1" customWidth="1"/>
    <col min="7" max="7" width="9.5703125" style="38" bestFit="1" customWidth="1"/>
    <col min="8" max="8" width="9.85546875" style="14" bestFit="1" customWidth="1"/>
    <col min="9" max="9" width="9.140625" style="38"/>
    <col min="10" max="16384" width="9.140625" style="2"/>
  </cols>
  <sheetData>
    <row r="1" spans="1:9" ht="15.75" x14ac:dyDescent="0.25">
      <c r="A1" s="8" t="s">
        <v>11</v>
      </c>
      <c r="B1" s="9"/>
      <c r="C1" s="3"/>
      <c r="D1" s="4"/>
      <c r="E1" s="2"/>
      <c r="F1" s="2"/>
      <c r="G1" s="2"/>
      <c r="H1" s="2"/>
      <c r="I1" s="2"/>
    </row>
    <row r="2" spans="1:9" ht="15.75" x14ac:dyDescent="0.25">
      <c r="A2" s="8"/>
      <c r="B2" s="9"/>
      <c r="C2" s="3"/>
      <c r="D2" s="4"/>
      <c r="E2" s="67"/>
      <c r="F2" s="67"/>
      <c r="G2" s="67"/>
      <c r="H2" s="67"/>
      <c r="I2" s="67" t="s">
        <v>9</v>
      </c>
    </row>
    <row r="3" spans="1:9" x14ac:dyDescent="0.2">
      <c r="A3" s="9"/>
      <c r="B3" s="9"/>
      <c r="C3" s="3"/>
      <c r="D3" s="4"/>
      <c r="E3" s="67"/>
      <c r="F3" s="67"/>
      <c r="G3" s="67"/>
      <c r="H3" s="67"/>
      <c r="I3" s="67" t="s">
        <v>14</v>
      </c>
    </row>
    <row r="4" spans="1:9" s="7" customFormat="1" ht="15" x14ac:dyDescent="0.35">
      <c r="A4" s="10" t="s">
        <v>0</v>
      </c>
      <c r="B4" s="10" t="s">
        <v>1</v>
      </c>
      <c r="C4" s="6" t="s">
        <v>2</v>
      </c>
      <c r="D4" s="6" t="s">
        <v>5</v>
      </c>
      <c r="E4" s="37" t="s">
        <v>31</v>
      </c>
      <c r="F4" s="37" t="s">
        <v>130</v>
      </c>
      <c r="G4" s="37" t="s">
        <v>22</v>
      </c>
      <c r="H4" s="37" t="s">
        <v>3</v>
      </c>
      <c r="I4" s="37" t="s">
        <v>15</v>
      </c>
    </row>
    <row r="5" spans="1:9" s="13" customFormat="1" x14ac:dyDescent="0.2">
      <c r="A5" s="12"/>
      <c r="B5" s="11">
        <v>45658</v>
      </c>
      <c r="C5" s="2" t="s">
        <v>4</v>
      </c>
      <c r="D5" s="1"/>
      <c r="E5" s="38">
        <f>'24'!F132</f>
        <v>2000.2199999999998</v>
      </c>
      <c r="F5" s="38"/>
      <c r="G5" s="38">
        <f>'24'!G132</f>
        <v>73969</v>
      </c>
      <c r="H5" s="38">
        <f>'24'!H132</f>
        <v>103155.91999999993</v>
      </c>
      <c r="I5" s="38">
        <f>'24'!E132</f>
        <v>961.59999999999991</v>
      </c>
    </row>
    <row r="6" spans="1:9" x14ac:dyDescent="0.2">
      <c r="B6" s="12">
        <v>45665</v>
      </c>
      <c r="C6" s="2" t="s">
        <v>94</v>
      </c>
      <c r="H6" s="14">
        <f>-90*4.87511</f>
        <v>-438.75990000000002</v>
      </c>
    </row>
    <row r="7" spans="1:9" x14ac:dyDescent="0.2">
      <c r="C7" s="2" t="s">
        <v>39</v>
      </c>
      <c r="H7" s="56">
        <f>ROUND(-H6*0.5%,2)</f>
        <v>2.19</v>
      </c>
    </row>
    <row r="8" spans="1:9" x14ac:dyDescent="0.2">
      <c r="C8" s="2" t="s">
        <v>95</v>
      </c>
      <c r="H8" s="56">
        <f>-28.64*4.87534</f>
        <v>-139.6297376</v>
      </c>
    </row>
    <row r="9" spans="1:9" x14ac:dyDescent="0.2">
      <c r="C9" s="2" t="s">
        <v>135</v>
      </c>
      <c r="H9" s="56">
        <f>ROUND(-+H8*0.49%,2)</f>
        <v>0.68</v>
      </c>
    </row>
    <row r="10" spans="1:9" x14ac:dyDescent="0.2">
      <c r="B10" s="12">
        <v>45666</v>
      </c>
      <c r="C10" s="2" t="s">
        <v>111</v>
      </c>
      <c r="H10" s="56">
        <f>-3.2*4.84062</f>
        <v>-15.489984000000002</v>
      </c>
    </row>
    <row r="11" spans="1:9" x14ac:dyDescent="0.2">
      <c r="C11" s="2" t="s">
        <v>136</v>
      </c>
      <c r="H11" s="56">
        <f>ROUND(-H10*0.65%,2)</f>
        <v>0.1</v>
      </c>
    </row>
    <row r="12" spans="1:9" x14ac:dyDescent="0.2">
      <c r="B12" s="12">
        <v>45667</v>
      </c>
      <c r="C12" s="2" t="s">
        <v>96</v>
      </c>
      <c r="H12" s="56">
        <f>-13.64*4.8497</f>
        <v>-66.149908000000011</v>
      </c>
    </row>
    <row r="13" spans="1:9" x14ac:dyDescent="0.2">
      <c r="C13" s="2" t="s">
        <v>137</v>
      </c>
      <c r="H13" s="56">
        <f>ROUND(-H12*0.52%,2)</f>
        <v>0.34</v>
      </c>
    </row>
    <row r="14" spans="1:9" x14ac:dyDescent="0.2">
      <c r="C14" s="2" t="s">
        <v>97</v>
      </c>
      <c r="H14" s="56">
        <f>-9.03*4.85492</f>
        <v>-43.839927599999996</v>
      </c>
    </row>
    <row r="15" spans="1:9" x14ac:dyDescent="0.2">
      <c r="C15" s="2" t="s">
        <v>134</v>
      </c>
      <c r="H15" s="56">
        <f>ROUND(-H14*0.55%,2)</f>
        <v>0.24</v>
      </c>
    </row>
    <row r="16" spans="1:9" x14ac:dyDescent="0.2">
      <c r="C16" s="2" t="s">
        <v>115</v>
      </c>
      <c r="H16" s="56">
        <f>-4.48*4.85267</f>
        <v>-21.739961600000001</v>
      </c>
    </row>
    <row r="17" spans="2:8" x14ac:dyDescent="0.2">
      <c r="C17" s="2" t="s">
        <v>138</v>
      </c>
      <c r="H17" s="56">
        <f>ROUND(-H16*0.48%,2)</f>
        <v>0.1</v>
      </c>
    </row>
    <row r="18" spans="2:8" x14ac:dyDescent="0.2">
      <c r="B18" s="12">
        <v>45668</v>
      </c>
      <c r="C18" s="2" t="s">
        <v>13</v>
      </c>
      <c r="H18" s="56">
        <v>-700</v>
      </c>
    </row>
    <row r="19" spans="2:8" x14ac:dyDescent="0.2">
      <c r="C19" s="2" t="s">
        <v>13</v>
      </c>
      <c r="H19" s="56">
        <v>-2000</v>
      </c>
    </row>
    <row r="20" spans="2:8" x14ac:dyDescent="0.2">
      <c r="C20" s="2" t="s">
        <v>13</v>
      </c>
      <c r="H20" s="56">
        <v>-1300</v>
      </c>
    </row>
    <row r="21" spans="2:8" x14ac:dyDescent="0.2">
      <c r="C21" s="2" t="s">
        <v>13</v>
      </c>
      <c r="H21" s="56">
        <v>-2000</v>
      </c>
    </row>
    <row r="22" spans="2:8" x14ac:dyDescent="0.2">
      <c r="C22" s="2" t="s">
        <v>13</v>
      </c>
      <c r="H22" s="56">
        <v>-3000</v>
      </c>
    </row>
    <row r="23" spans="2:8" x14ac:dyDescent="0.2">
      <c r="C23" s="2" t="s">
        <v>13</v>
      </c>
      <c r="H23" s="56">
        <v>-2000</v>
      </c>
    </row>
    <row r="24" spans="2:8" x14ac:dyDescent="0.2">
      <c r="B24" s="12">
        <v>45670</v>
      </c>
      <c r="C24" s="2" t="s">
        <v>139</v>
      </c>
      <c r="H24" s="56">
        <f>-2.24*4.83928</f>
        <v>-10.839987199999999</v>
      </c>
    </row>
    <row r="25" spans="2:8" x14ac:dyDescent="0.2">
      <c r="C25" s="2" t="s">
        <v>39</v>
      </c>
      <c r="H25" s="56">
        <f>ROUND(-H24*0.5%,2)</f>
        <v>0.05</v>
      </c>
    </row>
    <row r="26" spans="2:8" x14ac:dyDescent="0.2">
      <c r="B26" s="12">
        <v>45672</v>
      </c>
      <c r="C26" s="2" t="s">
        <v>13</v>
      </c>
      <c r="H26" s="56">
        <v>-2160</v>
      </c>
    </row>
    <row r="27" spans="2:8" x14ac:dyDescent="0.2">
      <c r="C27" s="2" t="s">
        <v>13</v>
      </c>
      <c r="H27" s="56">
        <v>-2000</v>
      </c>
    </row>
    <row r="28" spans="2:8" x14ac:dyDescent="0.2">
      <c r="B28" s="12">
        <v>45673</v>
      </c>
      <c r="C28" s="2" t="s">
        <v>112</v>
      </c>
      <c r="H28" s="56">
        <v>-136.9</v>
      </c>
    </row>
    <row r="29" spans="2:8" x14ac:dyDescent="0.2">
      <c r="B29" s="2"/>
      <c r="C29" s="2" t="s">
        <v>39</v>
      </c>
      <c r="H29" s="56">
        <f>ROUND(-+H28*0.5%,2)</f>
        <v>0.68</v>
      </c>
    </row>
    <row r="30" spans="2:8" x14ac:dyDescent="0.2">
      <c r="B30" s="12">
        <v>45684</v>
      </c>
      <c r="C30" s="2" t="s">
        <v>13</v>
      </c>
      <c r="H30" s="56">
        <v>-2500</v>
      </c>
    </row>
    <row r="31" spans="2:8" x14ac:dyDescent="0.2">
      <c r="C31" s="2" t="s">
        <v>13</v>
      </c>
      <c r="H31" s="56">
        <v>-2000</v>
      </c>
    </row>
    <row r="32" spans="2:8" x14ac:dyDescent="0.2">
      <c r="C32" s="2" t="s">
        <v>13</v>
      </c>
      <c r="H32" s="56">
        <v>-2000</v>
      </c>
    </row>
    <row r="33" spans="2:9" x14ac:dyDescent="0.2">
      <c r="C33" s="2" t="s">
        <v>13</v>
      </c>
      <c r="H33" s="56">
        <v>-2000</v>
      </c>
    </row>
    <row r="34" spans="2:9" x14ac:dyDescent="0.2">
      <c r="B34" s="12">
        <v>45685</v>
      </c>
      <c r="C34" s="2" t="s">
        <v>12</v>
      </c>
      <c r="H34" s="14">
        <v>20.100000000000001</v>
      </c>
    </row>
    <row r="35" spans="2:9" x14ac:dyDescent="0.2">
      <c r="E35" s="57">
        <f>SUM(E5:E34)</f>
        <v>2000.2199999999998</v>
      </c>
      <c r="F35" s="57">
        <f>SUM(F5:F34)</f>
        <v>0</v>
      </c>
      <c r="G35" s="57">
        <f>SUM(G5:G34)</f>
        <v>73969</v>
      </c>
      <c r="H35" s="69">
        <f>SUM(H5:H34)</f>
        <v>78647.050593999928</v>
      </c>
      <c r="I35" s="57">
        <f>SUM(I5:I34)</f>
        <v>961.59999999999991</v>
      </c>
    </row>
    <row r="36" spans="2:9" x14ac:dyDescent="0.2">
      <c r="B36" s="12">
        <v>45691</v>
      </c>
      <c r="C36" s="2" t="s">
        <v>98</v>
      </c>
      <c r="H36" s="39">
        <f>-69*5.79797</f>
        <v>-400.05993000000001</v>
      </c>
    </row>
    <row r="37" spans="2:9" x14ac:dyDescent="0.2">
      <c r="C37" s="2" t="s">
        <v>140</v>
      </c>
      <c r="E37" s="56"/>
      <c r="F37" s="56"/>
      <c r="G37" s="56"/>
      <c r="H37" s="39">
        <f>ROUND(-H36*0.508%,2)</f>
        <v>2.0299999999999998</v>
      </c>
      <c r="I37" s="56"/>
    </row>
    <row r="38" spans="2:9" x14ac:dyDescent="0.2">
      <c r="B38" s="12">
        <v>45702</v>
      </c>
      <c r="C38" s="2" t="s">
        <v>13</v>
      </c>
      <c r="H38" s="39">
        <v>-2000</v>
      </c>
    </row>
    <row r="39" spans="2:9" x14ac:dyDescent="0.2">
      <c r="C39" s="2" t="s">
        <v>13</v>
      </c>
      <c r="H39" s="39">
        <v>-2000</v>
      </c>
    </row>
    <row r="40" spans="2:9" x14ac:dyDescent="0.2">
      <c r="B40" s="12">
        <v>45705</v>
      </c>
      <c r="C40" s="2" t="s">
        <v>79</v>
      </c>
      <c r="H40" s="39">
        <v>-226</v>
      </c>
    </row>
    <row r="41" spans="2:9" x14ac:dyDescent="0.2">
      <c r="C41" s="2" t="s">
        <v>39</v>
      </c>
      <c r="H41" s="39">
        <f>ROUND(-H40*0.5%,2)</f>
        <v>1.1299999999999999</v>
      </c>
    </row>
    <row r="42" spans="2:9" x14ac:dyDescent="0.2">
      <c r="C42" s="2" t="s">
        <v>112</v>
      </c>
      <c r="H42" s="39">
        <v>-28.5</v>
      </c>
    </row>
    <row r="43" spans="2:9" x14ac:dyDescent="0.2">
      <c r="C43" s="2" t="s">
        <v>39</v>
      </c>
      <c r="H43" s="39">
        <f>ROUND(-H42*0.5%,2)</f>
        <v>0.14000000000000001</v>
      </c>
    </row>
    <row r="44" spans="2:9" x14ac:dyDescent="0.2">
      <c r="B44" s="12">
        <v>45710</v>
      </c>
      <c r="C44" s="2" t="s">
        <v>112</v>
      </c>
      <c r="H44" s="39">
        <v>-5099</v>
      </c>
    </row>
    <row r="45" spans="2:9" x14ac:dyDescent="0.2">
      <c r="C45" s="2" t="s">
        <v>39</v>
      </c>
      <c r="H45" s="39">
        <f>ROUND(-H44*0.5%,2)</f>
        <v>25.5</v>
      </c>
    </row>
    <row r="46" spans="2:9" x14ac:dyDescent="0.2">
      <c r="B46" s="12">
        <v>45712</v>
      </c>
      <c r="C46" s="2" t="s">
        <v>13</v>
      </c>
      <c r="H46" s="39">
        <v>-3200</v>
      </c>
    </row>
    <row r="47" spans="2:9" x14ac:dyDescent="0.2">
      <c r="C47" s="2" t="s">
        <v>13</v>
      </c>
      <c r="H47" s="39">
        <v>-2000</v>
      </c>
    </row>
    <row r="48" spans="2:9" x14ac:dyDescent="0.2">
      <c r="C48" s="2" t="s">
        <v>13</v>
      </c>
      <c r="H48" s="39">
        <v>-1600</v>
      </c>
    </row>
    <row r="49" spans="2:9" x14ac:dyDescent="0.2">
      <c r="C49" s="2" t="s">
        <v>13</v>
      </c>
      <c r="H49" s="39">
        <v>-2000</v>
      </c>
    </row>
    <row r="50" spans="2:9" x14ac:dyDescent="0.2">
      <c r="B50" s="12">
        <v>45714</v>
      </c>
      <c r="C50" s="2" t="s">
        <v>91</v>
      </c>
      <c r="H50" s="14">
        <v>-3380</v>
      </c>
    </row>
    <row r="51" spans="2:9" x14ac:dyDescent="0.2">
      <c r="C51" s="2" t="s">
        <v>39</v>
      </c>
      <c r="H51" s="14">
        <f>ROUND(-H50*0.5%,2)</f>
        <v>16.899999999999999</v>
      </c>
    </row>
    <row r="52" spans="2:9" x14ac:dyDescent="0.2">
      <c r="B52" s="12">
        <v>45716</v>
      </c>
      <c r="C52" s="2" t="s">
        <v>12</v>
      </c>
      <c r="H52" s="39">
        <v>15.74</v>
      </c>
    </row>
    <row r="53" spans="2:9" x14ac:dyDescent="0.2">
      <c r="E53" s="69">
        <f>SUM(E35:E52)</f>
        <v>2000.2199999999998</v>
      </c>
      <c r="F53" s="69">
        <f>SUM(F35:F52)</f>
        <v>0</v>
      </c>
      <c r="G53" s="69">
        <f>SUM(G35:G52)</f>
        <v>73969</v>
      </c>
      <c r="H53" s="69">
        <f>SUM(H35:H52)</f>
        <v>56774.930663999927</v>
      </c>
      <c r="I53" s="69">
        <f>SUM(I35:I52)</f>
        <v>961.59999999999991</v>
      </c>
    </row>
    <row r="54" spans="2:9" x14ac:dyDescent="0.2">
      <c r="B54" s="12">
        <v>45719</v>
      </c>
      <c r="C54" s="2" t="s">
        <v>112</v>
      </c>
      <c r="H54" s="14">
        <v>-120</v>
      </c>
    </row>
    <row r="55" spans="2:9" x14ac:dyDescent="0.2">
      <c r="C55" s="2" t="s">
        <v>39</v>
      </c>
      <c r="H55" s="14">
        <f>ROUND(-H54*0.5%,2)</f>
        <v>0.6</v>
      </c>
    </row>
    <row r="56" spans="2:9" x14ac:dyDescent="0.2">
      <c r="C56" s="2" t="s">
        <v>116</v>
      </c>
      <c r="H56" s="14">
        <v>-975</v>
      </c>
    </row>
    <row r="57" spans="2:9" x14ac:dyDescent="0.2">
      <c r="C57" s="2" t="s">
        <v>39</v>
      </c>
      <c r="H57" s="14">
        <f>ROUND(-H56*0.5%,2)</f>
        <v>4.88</v>
      </c>
    </row>
    <row r="58" spans="2:9" x14ac:dyDescent="0.2">
      <c r="B58" s="12">
        <v>45721</v>
      </c>
      <c r="C58" s="2" t="s">
        <v>99</v>
      </c>
      <c r="G58" s="38">
        <v>-9460</v>
      </c>
    </row>
    <row r="59" spans="2:9" x14ac:dyDescent="0.2">
      <c r="C59" s="2" t="s">
        <v>145</v>
      </c>
      <c r="G59" s="38">
        <v>47</v>
      </c>
    </row>
    <row r="60" spans="2:9" x14ac:dyDescent="0.2">
      <c r="C60" s="2" t="s">
        <v>100</v>
      </c>
      <c r="G60" s="38">
        <v>-4050</v>
      </c>
    </row>
    <row r="61" spans="2:9" x14ac:dyDescent="0.2">
      <c r="C61" s="2" t="s">
        <v>146</v>
      </c>
      <c r="G61" s="38">
        <v>20</v>
      </c>
    </row>
    <row r="62" spans="2:9" x14ac:dyDescent="0.2">
      <c r="C62" s="2" t="s">
        <v>101</v>
      </c>
      <c r="G62" s="38">
        <v>-210</v>
      </c>
    </row>
    <row r="63" spans="2:9" x14ac:dyDescent="0.2">
      <c r="B63" s="12">
        <v>45722</v>
      </c>
      <c r="C63" s="2" t="s">
        <v>147</v>
      </c>
      <c r="G63" s="38">
        <v>1</v>
      </c>
    </row>
    <row r="64" spans="2:9" x14ac:dyDescent="0.2">
      <c r="C64" s="2" t="s">
        <v>102</v>
      </c>
      <c r="G64" s="38">
        <v>-7000</v>
      </c>
    </row>
    <row r="65" spans="2:8" x14ac:dyDescent="0.2">
      <c r="C65" s="2" t="s">
        <v>39</v>
      </c>
      <c r="G65" s="38">
        <v>35</v>
      </c>
    </row>
    <row r="66" spans="2:8" x14ac:dyDescent="0.2">
      <c r="C66" s="2" t="s">
        <v>100</v>
      </c>
      <c r="G66" s="38">
        <v>-5600</v>
      </c>
    </row>
    <row r="67" spans="2:8" x14ac:dyDescent="0.2">
      <c r="C67" s="2" t="s">
        <v>39</v>
      </c>
      <c r="G67" s="38">
        <v>28</v>
      </c>
    </row>
    <row r="68" spans="2:8" x14ac:dyDescent="0.2">
      <c r="B68" s="12">
        <v>45723</v>
      </c>
      <c r="C68" s="2" t="s">
        <v>13</v>
      </c>
      <c r="H68" s="14">
        <v>-800</v>
      </c>
    </row>
    <row r="69" spans="2:8" x14ac:dyDescent="0.2">
      <c r="C69" s="2" t="s">
        <v>13</v>
      </c>
      <c r="H69" s="14">
        <v>-2000</v>
      </c>
    </row>
    <row r="70" spans="2:8" x14ac:dyDescent="0.2">
      <c r="C70" s="2" t="s">
        <v>102</v>
      </c>
      <c r="G70" s="38">
        <v>-7000</v>
      </c>
    </row>
    <row r="71" spans="2:8" x14ac:dyDescent="0.2">
      <c r="C71" s="2" t="s">
        <v>39</v>
      </c>
      <c r="G71" s="38">
        <v>35</v>
      </c>
    </row>
    <row r="72" spans="2:8" x14ac:dyDescent="0.2">
      <c r="B72" s="12">
        <v>45724</v>
      </c>
      <c r="C72" s="2" t="s">
        <v>103</v>
      </c>
      <c r="G72" s="38">
        <v>-495</v>
      </c>
    </row>
    <row r="73" spans="2:8" x14ac:dyDescent="0.2">
      <c r="C73" s="2" t="s">
        <v>148</v>
      </c>
      <c r="G73" s="38">
        <v>2</v>
      </c>
    </row>
    <row r="74" spans="2:8" x14ac:dyDescent="0.2">
      <c r="B74" s="12">
        <v>45729</v>
      </c>
      <c r="C74" s="2" t="s">
        <v>93</v>
      </c>
      <c r="G74" s="38">
        <v>-1201</v>
      </c>
    </row>
    <row r="75" spans="2:8" x14ac:dyDescent="0.2">
      <c r="C75" s="2" t="s">
        <v>39</v>
      </c>
      <c r="G75" s="38">
        <v>6</v>
      </c>
    </row>
    <row r="76" spans="2:8" x14ac:dyDescent="0.2">
      <c r="C76" s="2" t="s">
        <v>103</v>
      </c>
      <c r="G76" s="38">
        <v>-1110</v>
      </c>
    </row>
    <row r="77" spans="2:8" x14ac:dyDescent="0.2">
      <c r="C77" s="2" t="s">
        <v>149</v>
      </c>
      <c r="G77" s="38">
        <v>6</v>
      </c>
    </row>
    <row r="78" spans="2:8" x14ac:dyDescent="0.2">
      <c r="B78" s="12">
        <v>45731</v>
      </c>
      <c r="C78" s="2" t="s">
        <v>104</v>
      </c>
      <c r="G78" s="38">
        <v>-1250</v>
      </c>
    </row>
    <row r="79" spans="2:8" x14ac:dyDescent="0.2">
      <c r="C79" s="2" t="s">
        <v>138</v>
      </c>
      <c r="G79" s="38">
        <v>6</v>
      </c>
    </row>
    <row r="80" spans="2:8" x14ac:dyDescent="0.2">
      <c r="C80" s="2" t="s">
        <v>105</v>
      </c>
      <c r="G80" s="38">
        <v>-31000</v>
      </c>
    </row>
    <row r="81" spans="2:8" x14ac:dyDescent="0.2">
      <c r="C81" s="2" t="s">
        <v>39</v>
      </c>
      <c r="G81" s="38">
        <v>155</v>
      </c>
    </row>
    <row r="82" spans="2:8" x14ac:dyDescent="0.2">
      <c r="B82" s="12">
        <v>45734</v>
      </c>
      <c r="C82" s="2" t="s">
        <v>13</v>
      </c>
      <c r="H82" s="14">
        <v>-5000</v>
      </c>
    </row>
    <row r="83" spans="2:8" x14ac:dyDescent="0.2">
      <c r="C83" s="2" t="s">
        <v>13</v>
      </c>
      <c r="H83" s="14">
        <v>-2000</v>
      </c>
    </row>
    <row r="84" spans="2:8" x14ac:dyDescent="0.2">
      <c r="C84" s="2" t="s">
        <v>112</v>
      </c>
      <c r="H84" s="14">
        <v>-28</v>
      </c>
    </row>
    <row r="85" spans="2:8" x14ac:dyDescent="0.2">
      <c r="C85" s="2" t="s">
        <v>39</v>
      </c>
      <c r="H85" s="14">
        <f>ROUND(-H84*0.5%,2)</f>
        <v>0.14000000000000001</v>
      </c>
    </row>
    <row r="86" spans="2:8" x14ac:dyDescent="0.2">
      <c r="C86" s="2" t="s">
        <v>106</v>
      </c>
      <c r="G86" s="38">
        <v>-2500</v>
      </c>
    </row>
    <row r="87" spans="2:8" x14ac:dyDescent="0.2">
      <c r="C87" s="2" t="s">
        <v>137</v>
      </c>
      <c r="G87" s="38">
        <v>13</v>
      </c>
    </row>
    <row r="88" spans="2:8" x14ac:dyDescent="0.2">
      <c r="B88" s="12">
        <v>45735</v>
      </c>
      <c r="C88" s="2" t="s">
        <v>107</v>
      </c>
      <c r="H88" s="14">
        <f>-1986*0.05232</f>
        <v>-103.90751999999999</v>
      </c>
    </row>
    <row r="89" spans="2:8" x14ac:dyDescent="0.2">
      <c r="C89" s="2" t="s">
        <v>39</v>
      </c>
      <c r="H89" s="14">
        <f>ROUND(-H88*0.5%,2)</f>
        <v>0.52</v>
      </c>
    </row>
    <row r="90" spans="2:8" x14ac:dyDescent="0.2">
      <c r="C90" s="2" t="s">
        <v>80</v>
      </c>
      <c r="H90" s="56">
        <v>-215</v>
      </c>
    </row>
    <row r="91" spans="2:8" x14ac:dyDescent="0.2">
      <c r="C91" s="2" t="s">
        <v>39</v>
      </c>
      <c r="H91" s="14">
        <f>ROUND(-H90*0.5%,2)</f>
        <v>1.08</v>
      </c>
    </row>
    <row r="92" spans="2:8" x14ac:dyDescent="0.2">
      <c r="C92" s="2" t="s">
        <v>92</v>
      </c>
      <c r="H92" s="56">
        <v>-8000</v>
      </c>
    </row>
    <row r="93" spans="2:8" x14ac:dyDescent="0.2">
      <c r="C93" s="2" t="s">
        <v>39</v>
      </c>
      <c r="H93" s="56">
        <f>ROUND(-H92*0.5%,2)</f>
        <v>40</v>
      </c>
    </row>
    <row r="94" spans="2:8" x14ac:dyDescent="0.2">
      <c r="C94" s="2" t="s">
        <v>108</v>
      </c>
      <c r="H94" s="56">
        <f>-5280*0.05225</f>
        <v>-275.88</v>
      </c>
    </row>
    <row r="95" spans="2:8" x14ac:dyDescent="0.2">
      <c r="C95" s="2" t="s">
        <v>141</v>
      </c>
      <c r="H95" s="56">
        <v>1.36</v>
      </c>
    </row>
    <row r="96" spans="2:8" x14ac:dyDescent="0.2">
      <c r="C96" s="2" t="s">
        <v>109</v>
      </c>
      <c r="H96" s="56">
        <f>-6270*0.052233</f>
        <v>-327.50091000000003</v>
      </c>
    </row>
    <row r="97" spans="2:8" x14ac:dyDescent="0.2">
      <c r="C97" s="2" t="s">
        <v>142</v>
      </c>
      <c r="H97" s="56">
        <v>1.62</v>
      </c>
    </row>
    <row r="98" spans="2:8" x14ac:dyDescent="0.2">
      <c r="C98" s="2" t="s">
        <v>110</v>
      </c>
      <c r="G98" s="38">
        <v>-1980</v>
      </c>
      <c r="H98" s="56"/>
    </row>
    <row r="99" spans="2:8" x14ac:dyDescent="0.2">
      <c r="C99" s="2" t="s">
        <v>150</v>
      </c>
      <c r="G99" s="38">
        <v>10</v>
      </c>
      <c r="H99" s="56"/>
    </row>
    <row r="100" spans="2:8" x14ac:dyDescent="0.2">
      <c r="B100" s="12">
        <v>45736</v>
      </c>
      <c r="C100" s="2" t="s">
        <v>90</v>
      </c>
      <c r="H100" s="56">
        <v>-7378</v>
      </c>
    </row>
    <row r="101" spans="2:8" x14ac:dyDescent="0.2">
      <c r="C101" s="2" t="s">
        <v>39</v>
      </c>
      <c r="H101" s="56">
        <v>36.89</v>
      </c>
    </row>
    <row r="102" spans="2:8" x14ac:dyDescent="0.2">
      <c r="C102" s="2" t="s">
        <v>91</v>
      </c>
      <c r="H102" s="56">
        <v>-2120</v>
      </c>
    </row>
    <row r="103" spans="2:8" x14ac:dyDescent="0.2">
      <c r="C103" s="2" t="s">
        <v>39</v>
      </c>
      <c r="H103" s="56">
        <v>10.6</v>
      </c>
    </row>
    <row r="104" spans="2:8" x14ac:dyDescent="0.2">
      <c r="C104" s="2" t="s">
        <v>13</v>
      </c>
      <c r="H104" s="56">
        <v>-400</v>
      </c>
    </row>
    <row r="105" spans="2:8" x14ac:dyDescent="0.2">
      <c r="C105" s="2" t="s">
        <v>13</v>
      </c>
      <c r="H105" s="56">
        <v>-2000</v>
      </c>
    </row>
    <row r="106" spans="2:8" x14ac:dyDescent="0.2">
      <c r="B106" s="12">
        <v>45737</v>
      </c>
      <c r="C106" s="2" t="s">
        <v>13</v>
      </c>
      <c r="H106" s="56">
        <v>-3500</v>
      </c>
    </row>
    <row r="107" spans="2:8" x14ac:dyDescent="0.2">
      <c r="C107" s="2" t="s">
        <v>13</v>
      </c>
      <c r="H107" s="56">
        <v>-2000</v>
      </c>
    </row>
    <row r="108" spans="2:8" x14ac:dyDescent="0.2">
      <c r="B108" s="12">
        <v>45738</v>
      </c>
      <c r="C108" s="2" t="s">
        <v>24</v>
      </c>
      <c r="H108" s="56">
        <v>-100</v>
      </c>
    </row>
    <row r="109" spans="2:8" x14ac:dyDescent="0.2">
      <c r="C109" s="2" t="s">
        <v>39</v>
      </c>
      <c r="H109" s="56">
        <v>0.5</v>
      </c>
    </row>
    <row r="110" spans="2:8" x14ac:dyDescent="0.2">
      <c r="B110" s="12">
        <v>45740</v>
      </c>
      <c r="C110" s="2" t="s">
        <v>113</v>
      </c>
      <c r="H110" s="56">
        <f>ROUND(-25*10.11864,2)</f>
        <v>-252.97</v>
      </c>
    </row>
    <row r="111" spans="2:8" x14ac:dyDescent="0.2">
      <c r="C111" s="2" t="s">
        <v>143</v>
      </c>
      <c r="H111" s="56">
        <v>1.32</v>
      </c>
    </row>
    <row r="112" spans="2:8" x14ac:dyDescent="0.2">
      <c r="C112" s="2" t="s">
        <v>114</v>
      </c>
      <c r="H112" s="56">
        <f>ROUND(-43.8*10.14899,2)</f>
        <v>-444.53</v>
      </c>
    </row>
    <row r="113" spans="2:9" x14ac:dyDescent="0.2">
      <c r="C113" s="2" t="s">
        <v>144</v>
      </c>
      <c r="H113" s="56">
        <v>2.23</v>
      </c>
    </row>
    <row r="114" spans="2:9" x14ac:dyDescent="0.2">
      <c r="B114" s="12">
        <v>45744</v>
      </c>
      <c r="C114" s="2" t="s">
        <v>12</v>
      </c>
      <c r="H114" s="56">
        <v>8.34</v>
      </c>
    </row>
    <row r="115" spans="2:9" x14ac:dyDescent="0.2">
      <c r="B115" s="12">
        <v>45747</v>
      </c>
      <c r="C115" s="2" t="s">
        <v>87</v>
      </c>
      <c r="H115" s="56">
        <f>-49.93*10.1788</f>
        <v>-508.22748400000006</v>
      </c>
    </row>
    <row r="116" spans="2:9" x14ac:dyDescent="0.2">
      <c r="C116" s="2" t="s">
        <v>39</v>
      </c>
      <c r="H116" s="56">
        <v>2.54</v>
      </c>
    </row>
    <row r="117" spans="2:9" x14ac:dyDescent="0.2">
      <c r="E117" s="57">
        <f>SUM(E53:E114)</f>
        <v>2000.2199999999998</v>
      </c>
      <c r="F117" s="57">
        <f>SUM(F53:F114)</f>
        <v>0</v>
      </c>
      <c r="G117" s="57">
        <f>SUM(G53:G114)</f>
        <v>1477</v>
      </c>
      <c r="H117" s="57">
        <f>SUM(H53:H116)</f>
        <v>18338.534749999922</v>
      </c>
      <c r="I117" s="57">
        <f>SUM(I53:I114)</f>
        <v>961.59999999999991</v>
      </c>
    </row>
    <row r="118" spans="2:9" x14ac:dyDescent="0.2">
      <c r="B118" s="12">
        <v>45754</v>
      </c>
      <c r="C118" s="2" t="s">
        <v>88</v>
      </c>
      <c r="H118" s="56">
        <f>ROUND(-60.78*10.1299,2)</f>
        <v>-615.70000000000005</v>
      </c>
    </row>
    <row r="119" spans="2:9" x14ac:dyDescent="0.2">
      <c r="C119" s="2" t="s">
        <v>146</v>
      </c>
      <c r="H119" s="56">
        <v>3.04</v>
      </c>
    </row>
    <row r="120" spans="2:9" x14ac:dyDescent="0.2">
      <c r="B120" s="12">
        <v>45755</v>
      </c>
      <c r="C120" s="2" t="s">
        <v>89</v>
      </c>
      <c r="H120" s="56">
        <f>ROUND(-43.8*9.97214,2)</f>
        <v>-436.78</v>
      </c>
    </row>
    <row r="121" spans="2:9" x14ac:dyDescent="0.2">
      <c r="C121" s="2" t="s">
        <v>151</v>
      </c>
      <c r="H121" s="56">
        <v>2.19</v>
      </c>
    </row>
    <row r="122" spans="2:9" x14ac:dyDescent="0.2">
      <c r="C122" s="2" t="s">
        <v>82</v>
      </c>
      <c r="H122" s="56">
        <f>ROUND(-2*9.975,2)</f>
        <v>-19.95</v>
      </c>
    </row>
    <row r="123" spans="2:9" x14ac:dyDescent="0.2">
      <c r="C123" s="2" t="s">
        <v>152</v>
      </c>
      <c r="H123" s="56">
        <v>0.1</v>
      </c>
    </row>
    <row r="124" spans="2:9" x14ac:dyDescent="0.2">
      <c r="C124" s="2" t="s">
        <v>83</v>
      </c>
      <c r="H124" s="56">
        <f>ROUND(-5.8 *9.98103,2)</f>
        <v>-57.89</v>
      </c>
    </row>
    <row r="125" spans="2:9" x14ac:dyDescent="0.2">
      <c r="C125" s="2" t="s">
        <v>153</v>
      </c>
      <c r="H125" s="38">
        <v>0.3</v>
      </c>
    </row>
    <row r="126" spans="2:9" x14ac:dyDescent="0.2">
      <c r="B126" s="12">
        <v>45758</v>
      </c>
      <c r="C126" s="2" t="s">
        <v>84</v>
      </c>
      <c r="H126" s="56"/>
      <c r="I126" s="38">
        <v>-17.420000000000002</v>
      </c>
    </row>
    <row r="127" spans="2:9" x14ac:dyDescent="0.2">
      <c r="C127" s="2" t="s">
        <v>137</v>
      </c>
      <c r="H127" s="56"/>
      <c r="I127" s="38">
        <v>0.09</v>
      </c>
    </row>
    <row r="128" spans="2:9" x14ac:dyDescent="0.2">
      <c r="B128" s="12">
        <v>45763</v>
      </c>
      <c r="C128" s="2" t="s">
        <v>85</v>
      </c>
      <c r="H128" s="56"/>
      <c r="I128" s="38">
        <v>-18.170000000000002</v>
      </c>
    </row>
    <row r="129" spans="2:9" x14ac:dyDescent="0.2">
      <c r="C129" s="2" t="s">
        <v>39</v>
      </c>
      <c r="H129" s="56"/>
      <c r="I129" s="38">
        <v>0.09</v>
      </c>
    </row>
    <row r="130" spans="2:9" x14ac:dyDescent="0.2">
      <c r="B130" s="12">
        <v>45769</v>
      </c>
      <c r="C130" s="2" t="s">
        <v>86</v>
      </c>
      <c r="H130" s="56">
        <v>-104.36</v>
      </c>
    </row>
    <row r="131" spans="2:9" x14ac:dyDescent="0.2">
      <c r="C131" s="2" t="s">
        <v>154</v>
      </c>
      <c r="H131" s="56">
        <v>0.52</v>
      </c>
    </row>
    <row r="132" spans="2:9" x14ac:dyDescent="0.2">
      <c r="C132" s="2" t="s">
        <v>117</v>
      </c>
      <c r="H132" s="56">
        <f>ROUND(-235*10.47715,2)</f>
        <v>-2462.13</v>
      </c>
    </row>
    <row r="133" spans="2:9" x14ac:dyDescent="0.2">
      <c r="C133" s="2" t="s">
        <v>155</v>
      </c>
      <c r="H133" s="56">
        <v>12.36</v>
      </c>
    </row>
    <row r="134" spans="2:9" x14ac:dyDescent="0.2">
      <c r="B134" s="12">
        <v>45771</v>
      </c>
      <c r="C134" s="2" t="s">
        <v>118</v>
      </c>
      <c r="H134" s="56">
        <f>ROUND(-6.85*10.3751,2)</f>
        <v>-71.069999999999993</v>
      </c>
    </row>
    <row r="135" spans="2:9" x14ac:dyDescent="0.2">
      <c r="C135" s="2" t="s">
        <v>156</v>
      </c>
      <c r="H135" s="56">
        <v>0.31</v>
      </c>
    </row>
    <row r="136" spans="2:9" x14ac:dyDescent="0.2">
      <c r="C136" s="2" t="s">
        <v>119</v>
      </c>
      <c r="H136" s="56">
        <f>ROUND(-6*10.3683,2)</f>
        <v>-62.21</v>
      </c>
    </row>
    <row r="137" spans="2:9" x14ac:dyDescent="0.2">
      <c r="C137" s="2" t="s">
        <v>39</v>
      </c>
      <c r="H137" s="56">
        <v>0.31</v>
      </c>
    </row>
    <row r="138" spans="2:9" x14ac:dyDescent="0.2">
      <c r="B138" s="12">
        <v>45772</v>
      </c>
      <c r="C138" s="2" t="s">
        <v>122</v>
      </c>
      <c r="H138" s="14">
        <f>ROUND(-35.02*8.85179,2)</f>
        <v>-309.99</v>
      </c>
    </row>
    <row r="139" spans="2:9" x14ac:dyDescent="0.2">
      <c r="C139" s="2" t="s">
        <v>157</v>
      </c>
      <c r="H139" s="56">
        <v>1.59</v>
      </c>
    </row>
    <row r="140" spans="2:9" x14ac:dyDescent="0.2">
      <c r="B140" s="12">
        <v>45775</v>
      </c>
      <c r="C140" s="2" t="s">
        <v>12</v>
      </c>
      <c r="H140" s="56">
        <v>3.65</v>
      </c>
    </row>
    <row r="141" spans="2:9" x14ac:dyDescent="0.2">
      <c r="C141" s="2" t="s">
        <v>120</v>
      </c>
      <c r="H141" s="56">
        <f>ROUND(-15.35*10.4416,2)</f>
        <v>-160.28</v>
      </c>
    </row>
    <row r="142" spans="2:9" x14ac:dyDescent="0.2">
      <c r="C142" s="2" t="s">
        <v>158</v>
      </c>
      <c r="H142" s="56">
        <v>0.84</v>
      </c>
    </row>
    <row r="143" spans="2:9" x14ac:dyDescent="0.2">
      <c r="B143" s="12">
        <v>45776</v>
      </c>
      <c r="C143" s="2" t="s">
        <v>121</v>
      </c>
      <c r="H143" s="56">
        <f>ROUND(-45.25*10.4879,2)</f>
        <v>-474.58</v>
      </c>
    </row>
    <row r="144" spans="2:9" x14ac:dyDescent="0.2">
      <c r="C144" s="2" t="s">
        <v>140</v>
      </c>
      <c r="H144" s="56">
        <v>2.41</v>
      </c>
    </row>
    <row r="145" spans="2:9" x14ac:dyDescent="0.2">
      <c r="C145" s="2" t="s">
        <v>129</v>
      </c>
      <c r="I145" s="56">
        <v>-48.93</v>
      </c>
    </row>
    <row r="146" spans="2:9" x14ac:dyDescent="0.2">
      <c r="C146" s="2" t="s">
        <v>159</v>
      </c>
      <c r="I146" s="56">
        <v>0.24</v>
      </c>
    </row>
    <row r="147" spans="2:9" x14ac:dyDescent="0.2">
      <c r="C147" s="2" t="s">
        <v>129</v>
      </c>
      <c r="I147" s="56">
        <v>-31.75</v>
      </c>
    </row>
    <row r="148" spans="2:9" x14ac:dyDescent="0.2">
      <c r="C148" s="2" t="s">
        <v>160</v>
      </c>
      <c r="I148" s="56">
        <v>0.16</v>
      </c>
    </row>
    <row r="149" spans="2:9" x14ac:dyDescent="0.2">
      <c r="C149" s="2" t="s">
        <v>129</v>
      </c>
      <c r="I149" s="56">
        <v>-174.08</v>
      </c>
    </row>
    <row r="150" spans="2:9" x14ac:dyDescent="0.2">
      <c r="C150" s="2" t="s">
        <v>39</v>
      </c>
      <c r="I150" s="56">
        <v>0.87</v>
      </c>
    </row>
    <row r="151" spans="2:9" x14ac:dyDescent="0.2">
      <c r="B151" s="12">
        <v>45777</v>
      </c>
      <c r="C151" s="2" t="s">
        <v>13</v>
      </c>
      <c r="H151" s="56">
        <v>-3500</v>
      </c>
    </row>
    <row r="152" spans="2:9" x14ac:dyDescent="0.2">
      <c r="C152" s="2" t="s">
        <v>13</v>
      </c>
      <c r="H152" s="56">
        <v>-2000</v>
      </c>
    </row>
    <row r="153" spans="2:9" x14ac:dyDescent="0.2">
      <c r="C153" s="2" t="s">
        <v>161</v>
      </c>
      <c r="E153" s="40"/>
      <c r="F153" s="40">
        <v>11.65</v>
      </c>
      <c r="G153" s="40"/>
      <c r="H153" s="39"/>
      <c r="I153" s="40"/>
    </row>
    <row r="154" spans="2:9" x14ac:dyDescent="0.2">
      <c r="C154" s="2" t="s">
        <v>162</v>
      </c>
      <c r="E154" s="40"/>
      <c r="F154" s="40">
        <v>-0.06</v>
      </c>
      <c r="G154" s="40"/>
      <c r="H154" s="39"/>
      <c r="I154" s="40"/>
    </row>
    <row r="155" spans="2:9" x14ac:dyDescent="0.2">
      <c r="E155" s="68">
        <f>SUM(E117:E140)</f>
        <v>2000.2199999999998</v>
      </c>
      <c r="F155" s="68">
        <f>SUM(F117:F154)</f>
        <v>11.59</v>
      </c>
      <c r="G155" s="68">
        <f>SUM(G117:G140)</f>
        <v>1477</v>
      </c>
      <c r="H155" s="68">
        <f>SUM(H117:H152)</f>
        <v>8091.2147499999191</v>
      </c>
      <c r="I155" s="68">
        <f>SUM(I117:I152)</f>
        <v>672.7</v>
      </c>
    </row>
    <row r="156" spans="2:9" x14ac:dyDescent="0.2">
      <c r="B156" s="12">
        <v>45779</v>
      </c>
      <c r="C156" s="2" t="s">
        <v>123</v>
      </c>
      <c r="H156" s="14">
        <v>-105.68</v>
      </c>
    </row>
    <row r="157" spans="2:9" x14ac:dyDescent="0.2">
      <c r="C157" s="2" t="s">
        <v>163</v>
      </c>
      <c r="H157" s="56">
        <v>0.56999999999999995</v>
      </c>
    </row>
    <row r="158" spans="2:9" x14ac:dyDescent="0.2">
      <c r="C158" s="2" t="s">
        <v>129</v>
      </c>
      <c r="H158" s="56"/>
      <c r="I158" s="38">
        <v>-41.77</v>
      </c>
    </row>
    <row r="159" spans="2:9" x14ac:dyDescent="0.2">
      <c r="C159" s="2" t="s">
        <v>165</v>
      </c>
      <c r="H159" s="56"/>
      <c r="I159" s="38">
        <v>0.21</v>
      </c>
    </row>
    <row r="160" spans="2:9" x14ac:dyDescent="0.2">
      <c r="B160" s="12">
        <v>45783</v>
      </c>
      <c r="C160" s="2" t="s">
        <v>124</v>
      </c>
      <c r="H160" s="56">
        <f>ROUND(-13.9*10.364,2)</f>
        <v>-144.06</v>
      </c>
    </row>
    <row r="161" spans="2:9" x14ac:dyDescent="0.2">
      <c r="C161" s="2" t="s">
        <v>164</v>
      </c>
      <c r="H161" s="14">
        <v>0.73</v>
      </c>
    </row>
    <row r="162" spans="2:9" x14ac:dyDescent="0.2">
      <c r="C162" s="2" t="s">
        <v>112</v>
      </c>
      <c r="H162" s="14">
        <v>-28</v>
      </c>
    </row>
    <row r="163" spans="2:9" x14ac:dyDescent="0.2">
      <c r="C163" s="2" t="s">
        <v>39</v>
      </c>
      <c r="H163" s="38">
        <v>0.14000000000000001</v>
      </c>
    </row>
    <row r="164" spans="2:9" x14ac:dyDescent="0.2">
      <c r="C164" s="2" t="s">
        <v>125</v>
      </c>
      <c r="H164" s="38">
        <v>-3743</v>
      </c>
    </row>
    <row r="165" spans="2:9" x14ac:dyDescent="0.2">
      <c r="C165" s="2" t="s">
        <v>39</v>
      </c>
      <c r="H165" s="38">
        <v>18.72</v>
      </c>
    </row>
    <row r="166" spans="2:9" x14ac:dyDescent="0.2">
      <c r="C166" s="2" t="s">
        <v>132</v>
      </c>
      <c r="F166" s="38">
        <v>-5.8</v>
      </c>
      <c r="H166" s="38"/>
    </row>
    <row r="167" spans="2:9" x14ac:dyDescent="0.2">
      <c r="C167" s="2" t="s">
        <v>166</v>
      </c>
      <c r="E167" s="40"/>
      <c r="F167" s="40">
        <v>0.03</v>
      </c>
      <c r="G167" s="40"/>
      <c r="H167" s="39"/>
      <c r="I167" s="40"/>
    </row>
    <row r="168" spans="2:9" x14ac:dyDescent="0.2">
      <c r="B168" s="12">
        <v>45784</v>
      </c>
      <c r="C168" s="2" t="s">
        <v>13</v>
      </c>
      <c r="H168" s="38">
        <v>-1500</v>
      </c>
    </row>
    <row r="169" spans="2:9" x14ac:dyDescent="0.2">
      <c r="B169" s="12">
        <v>45785</v>
      </c>
      <c r="C169" s="2" t="s">
        <v>131</v>
      </c>
      <c r="E169" s="40"/>
      <c r="F169" s="40"/>
      <c r="G169" s="40"/>
      <c r="H169" s="40">
        <v>50000</v>
      </c>
      <c r="I169" s="40"/>
    </row>
    <row r="170" spans="2:9" x14ac:dyDescent="0.2">
      <c r="C170" s="2" t="s">
        <v>13</v>
      </c>
      <c r="H170" s="38">
        <v>-7300</v>
      </c>
    </row>
    <row r="171" spans="2:9" x14ac:dyDescent="0.2">
      <c r="C171" s="2" t="s">
        <v>13</v>
      </c>
      <c r="H171" s="38">
        <v>-2000</v>
      </c>
    </row>
    <row r="172" spans="2:9" x14ac:dyDescent="0.2">
      <c r="B172" s="12">
        <v>45786</v>
      </c>
      <c r="C172" s="2" t="s">
        <v>126</v>
      </c>
      <c r="H172" s="38">
        <v>-2550</v>
      </c>
    </row>
    <row r="173" spans="2:9" x14ac:dyDescent="0.2">
      <c r="C173" s="2" t="s">
        <v>39</v>
      </c>
      <c r="H173" s="38">
        <v>12.75</v>
      </c>
    </row>
    <row r="174" spans="2:9" x14ac:dyDescent="0.2">
      <c r="B174" s="12">
        <v>45789</v>
      </c>
      <c r="C174" s="2" t="s">
        <v>13</v>
      </c>
      <c r="H174" s="38">
        <v>-400</v>
      </c>
    </row>
    <row r="175" spans="2:9" x14ac:dyDescent="0.2">
      <c r="C175" s="2" t="s">
        <v>13</v>
      </c>
      <c r="H175" s="38">
        <v>-2000</v>
      </c>
    </row>
    <row r="176" spans="2:9" x14ac:dyDescent="0.2">
      <c r="B176" s="12">
        <v>45790</v>
      </c>
      <c r="C176" s="2" t="s">
        <v>127</v>
      </c>
      <c r="H176" s="38">
        <v>-1490</v>
      </c>
    </row>
    <row r="177" spans="2:8" x14ac:dyDescent="0.2">
      <c r="C177" s="2" t="s">
        <v>39</v>
      </c>
      <c r="H177" s="38">
        <v>7.45</v>
      </c>
    </row>
    <row r="178" spans="2:8" x14ac:dyDescent="0.2">
      <c r="B178" s="12">
        <v>45794</v>
      </c>
      <c r="C178" s="2" t="s">
        <v>91</v>
      </c>
      <c r="G178" s="55"/>
      <c r="H178" s="38">
        <v>-1880</v>
      </c>
    </row>
    <row r="179" spans="2:8" x14ac:dyDescent="0.2">
      <c r="C179" s="2" t="s">
        <v>39</v>
      </c>
      <c r="H179" s="38">
        <v>9.4</v>
      </c>
    </row>
    <row r="180" spans="2:8" x14ac:dyDescent="0.2">
      <c r="C180" s="2" t="s">
        <v>128</v>
      </c>
      <c r="G180" s="55"/>
      <c r="H180" s="38">
        <v>-60</v>
      </c>
    </row>
    <row r="181" spans="2:8" x14ac:dyDescent="0.2">
      <c r="C181" s="2" t="s">
        <v>39</v>
      </c>
      <c r="G181" s="55"/>
      <c r="H181" s="38">
        <v>0.3</v>
      </c>
    </row>
    <row r="182" spans="2:8" x14ac:dyDescent="0.2">
      <c r="B182" s="12">
        <v>45796</v>
      </c>
      <c r="C182" s="2" t="s">
        <v>13</v>
      </c>
      <c r="G182" s="55"/>
      <c r="H182" s="38">
        <v>-1300</v>
      </c>
    </row>
    <row r="183" spans="2:8" x14ac:dyDescent="0.2">
      <c r="C183" s="2" t="s">
        <v>13</v>
      </c>
      <c r="H183" s="38">
        <v>-2000</v>
      </c>
    </row>
    <row r="184" spans="2:8" x14ac:dyDescent="0.2">
      <c r="B184" s="12">
        <v>45797</v>
      </c>
      <c r="C184" s="2" t="s">
        <v>13</v>
      </c>
      <c r="H184" s="38">
        <v>-2100</v>
      </c>
    </row>
    <row r="185" spans="2:8" x14ac:dyDescent="0.2">
      <c r="C185" s="2" t="s">
        <v>13</v>
      </c>
      <c r="H185" s="38">
        <v>-2000</v>
      </c>
    </row>
    <row r="186" spans="2:8" x14ac:dyDescent="0.2">
      <c r="C186" s="2" t="s">
        <v>167</v>
      </c>
      <c r="H186" s="38">
        <v>-680</v>
      </c>
    </row>
    <row r="187" spans="2:8" x14ac:dyDescent="0.2">
      <c r="B187" s="12">
        <v>45798</v>
      </c>
      <c r="C187" s="2" t="s">
        <v>13</v>
      </c>
      <c r="H187" s="38">
        <v>-800</v>
      </c>
    </row>
    <row r="188" spans="2:8" x14ac:dyDescent="0.2">
      <c r="C188" s="2" t="s">
        <v>13</v>
      </c>
      <c r="H188" s="38">
        <v>-2000</v>
      </c>
    </row>
    <row r="189" spans="2:8" x14ac:dyDescent="0.2">
      <c r="B189" s="12">
        <v>45799</v>
      </c>
      <c r="C189" s="2" t="s">
        <v>168</v>
      </c>
      <c r="H189" s="38">
        <v>-105</v>
      </c>
    </row>
    <row r="190" spans="2:8" x14ac:dyDescent="0.2">
      <c r="C190" s="2" t="s">
        <v>39</v>
      </c>
      <c r="H190" s="38">
        <v>0.53</v>
      </c>
    </row>
    <row r="191" spans="2:8" x14ac:dyDescent="0.2">
      <c r="B191" s="12">
        <v>45800</v>
      </c>
      <c r="C191" s="2" t="s">
        <v>13</v>
      </c>
      <c r="H191" s="38">
        <v>-1700</v>
      </c>
    </row>
    <row r="192" spans="2:8" x14ac:dyDescent="0.2">
      <c r="C192" s="2" t="s">
        <v>13</v>
      </c>
      <c r="H192" s="38">
        <v>-2000</v>
      </c>
    </row>
    <row r="193" spans="1:9" x14ac:dyDescent="0.2">
      <c r="B193" s="12">
        <v>45803</v>
      </c>
      <c r="C193" s="2" t="s">
        <v>13</v>
      </c>
      <c r="H193" s="38">
        <v>-1800</v>
      </c>
    </row>
    <row r="194" spans="1:9" x14ac:dyDescent="0.2">
      <c r="C194" s="2" t="s">
        <v>13</v>
      </c>
      <c r="H194" s="38">
        <v>-2000</v>
      </c>
    </row>
    <row r="195" spans="1:9" x14ac:dyDescent="0.2">
      <c r="B195" s="12">
        <v>45805</v>
      </c>
      <c r="C195" s="2" t="s">
        <v>12</v>
      </c>
      <c r="H195" s="38">
        <v>4.78</v>
      </c>
    </row>
    <row r="196" spans="1:9" x14ac:dyDescent="0.2">
      <c r="E196" s="43">
        <f>SUM(E155:E195)</f>
        <v>2000.2199999999998</v>
      </c>
      <c r="F196" s="43">
        <f>SUM(F155:F195)</f>
        <v>5.82</v>
      </c>
      <c r="G196" s="43">
        <f>SUM(G155:G195)</f>
        <v>1477</v>
      </c>
      <c r="H196" s="43">
        <f>SUM(H155:H195)</f>
        <v>16460.844749999917</v>
      </c>
      <c r="I196" s="43">
        <f>SUM(I155:I195)</f>
        <v>631.1400000000001</v>
      </c>
    </row>
    <row r="197" spans="1:9" x14ac:dyDescent="0.2">
      <c r="B197" s="12">
        <v>45819</v>
      </c>
      <c r="C197" s="2" t="s">
        <v>169</v>
      </c>
      <c r="H197" s="38"/>
      <c r="I197" s="38">
        <v>-57.9</v>
      </c>
    </row>
    <row r="198" spans="1:9" x14ac:dyDescent="0.2">
      <c r="C198" s="2" t="s">
        <v>39</v>
      </c>
      <c r="H198" s="38"/>
      <c r="I198" s="38">
        <v>0.28999999999999998</v>
      </c>
    </row>
    <row r="199" spans="1:9" x14ac:dyDescent="0.2">
      <c r="C199" s="2" t="s">
        <v>169</v>
      </c>
      <c r="H199" s="38"/>
      <c r="I199" s="38">
        <v>-65.930000000000007</v>
      </c>
    </row>
    <row r="200" spans="1:9" x14ac:dyDescent="0.2">
      <c r="C200" s="2" t="s">
        <v>39</v>
      </c>
      <c r="H200" s="38"/>
      <c r="I200" s="38">
        <v>0.33</v>
      </c>
    </row>
    <row r="201" spans="1:9" x14ac:dyDescent="0.2">
      <c r="B201" s="12">
        <v>45822</v>
      </c>
      <c r="C201" s="2" t="s">
        <v>169</v>
      </c>
      <c r="H201" s="38"/>
      <c r="I201" s="38">
        <v>-125.65</v>
      </c>
    </row>
    <row r="202" spans="1:9" x14ac:dyDescent="0.2">
      <c r="C202" s="2" t="s">
        <v>39</v>
      </c>
      <c r="H202" s="38"/>
      <c r="I202" s="38">
        <v>0.63</v>
      </c>
    </row>
    <row r="203" spans="1:9" x14ac:dyDescent="0.2">
      <c r="C203" s="2" t="s">
        <v>169</v>
      </c>
      <c r="H203" s="38"/>
      <c r="I203" s="38">
        <v>-81.81</v>
      </c>
    </row>
    <row r="204" spans="1:9" x14ac:dyDescent="0.2">
      <c r="C204" s="2" t="s">
        <v>39</v>
      </c>
      <c r="H204" s="38"/>
      <c r="I204" s="38">
        <v>0.41</v>
      </c>
    </row>
    <row r="205" spans="1:9" x14ac:dyDescent="0.2">
      <c r="C205" s="2" t="s">
        <v>169</v>
      </c>
      <c r="H205" s="38"/>
      <c r="I205" s="38">
        <v>-77.510000000000005</v>
      </c>
    </row>
    <row r="206" spans="1:9" x14ac:dyDescent="0.2">
      <c r="C206" s="2" t="s">
        <v>39</v>
      </c>
      <c r="H206" s="38"/>
      <c r="I206" s="38">
        <v>0.39</v>
      </c>
    </row>
    <row r="207" spans="1:9" x14ac:dyDescent="0.2">
      <c r="A207" s="12">
        <v>45823</v>
      </c>
      <c r="B207" s="12">
        <v>45824</v>
      </c>
      <c r="C207" s="2" t="s">
        <v>24</v>
      </c>
      <c r="H207" s="38">
        <v>-100</v>
      </c>
    </row>
    <row r="208" spans="1:9" x14ac:dyDescent="0.2">
      <c r="C208" s="2" t="s">
        <v>39</v>
      </c>
      <c r="H208" s="38">
        <v>0.5</v>
      </c>
    </row>
    <row r="209" spans="1:9" x14ac:dyDescent="0.2">
      <c r="C209" s="2" t="s">
        <v>169</v>
      </c>
      <c r="H209" s="38"/>
      <c r="I209" s="38">
        <v>-57.13</v>
      </c>
    </row>
    <row r="210" spans="1:9" x14ac:dyDescent="0.2">
      <c r="C210" s="2" t="s">
        <v>39</v>
      </c>
      <c r="H210" s="38"/>
      <c r="I210" s="38">
        <v>0.28999999999999998</v>
      </c>
    </row>
    <row r="211" spans="1:9" x14ac:dyDescent="0.2">
      <c r="B211" s="12">
        <v>45836</v>
      </c>
      <c r="C211" s="2" t="s">
        <v>12</v>
      </c>
      <c r="E211" s="38">
        <v>0.1</v>
      </c>
      <c r="H211" s="38">
        <v>3.5</v>
      </c>
    </row>
    <row r="212" spans="1:9" x14ac:dyDescent="0.2">
      <c r="E212" s="44">
        <f>SUM(E196:E211)</f>
        <v>2000.3199999999997</v>
      </c>
      <c r="F212" s="44">
        <f>SUM(F196:F211)</f>
        <v>5.82</v>
      </c>
      <c r="G212" s="44">
        <f>SUM(G196:G211)</f>
        <v>1477</v>
      </c>
      <c r="H212" s="44">
        <f>SUM(H196:H211)</f>
        <v>16364.844749999917</v>
      </c>
      <c r="I212" s="44">
        <f>SUM(I196:I211)</f>
        <v>167.5500000000001</v>
      </c>
    </row>
    <row r="213" spans="1:9" x14ac:dyDescent="0.2">
      <c r="B213" s="12">
        <v>45841</v>
      </c>
      <c r="C213" s="2" t="s">
        <v>171</v>
      </c>
      <c r="E213" s="49"/>
      <c r="F213" s="49"/>
      <c r="G213" s="49"/>
      <c r="H213" s="49">
        <v>-125.12</v>
      </c>
      <c r="I213" s="49"/>
    </row>
    <row r="214" spans="1:9" x14ac:dyDescent="0.2">
      <c r="C214" s="2" t="s">
        <v>170</v>
      </c>
      <c r="E214" s="49"/>
      <c r="F214" s="49"/>
      <c r="G214" s="49"/>
      <c r="H214" s="49">
        <v>0.65</v>
      </c>
      <c r="I214" s="49"/>
    </row>
    <row r="215" spans="1:9" x14ac:dyDescent="0.2">
      <c r="C215" s="2" t="s">
        <v>172</v>
      </c>
      <c r="E215" s="49"/>
      <c r="F215" s="49"/>
      <c r="G215" s="49"/>
      <c r="H215" s="49">
        <v>-60.35</v>
      </c>
      <c r="I215" s="49"/>
    </row>
    <row r="216" spans="1:9" x14ac:dyDescent="0.2">
      <c r="C216" s="2" t="s">
        <v>173</v>
      </c>
      <c r="H216" s="14">
        <v>0.32</v>
      </c>
    </row>
    <row r="217" spans="1:9" x14ac:dyDescent="0.2">
      <c r="B217" s="12">
        <v>45842</v>
      </c>
      <c r="C217" s="2" t="s">
        <v>174</v>
      </c>
      <c r="H217" s="14">
        <v>-61.55</v>
      </c>
    </row>
    <row r="218" spans="1:9" x14ac:dyDescent="0.2">
      <c r="C218" s="2" t="s">
        <v>175</v>
      </c>
      <c r="H218" s="14">
        <v>0.32</v>
      </c>
    </row>
    <row r="219" spans="1:9" x14ac:dyDescent="0.2">
      <c r="B219" s="12">
        <v>45843</v>
      </c>
      <c r="C219" s="2" t="s">
        <v>176</v>
      </c>
      <c r="H219" s="14">
        <v>-113.95</v>
      </c>
    </row>
    <row r="220" spans="1:9" x14ac:dyDescent="0.2">
      <c r="C220" s="2" t="s">
        <v>177</v>
      </c>
      <c r="H220" s="14">
        <v>0.54</v>
      </c>
    </row>
    <row r="221" spans="1:9" x14ac:dyDescent="0.2">
      <c r="C221" s="2" t="s">
        <v>180</v>
      </c>
      <c r="I221" s="38">
        <v>-25.08</v>
      </c>
    </row>
    <row r="222" spans="1:9" x14ac:dyDescent="0.2">
      <c r="C222" s="2" t="s">
        <v>181</v>
      </c>
      <c r="I222" s="38">
        <v>0.13</v>
      </c>
    </row>
    <row r="223" spans="1:9" x14ac:dyDescent="0.2">
      <c r="A223" s="12">
        <v>45844</v>
      </c>
      <c r="B223" s="12">
        <v>45845</v>
      </c>
      <c r="C223" s="2" t="s">
        <v>112</v>
      </c>
      <c r="H223" s="14">
        <v>-28</v>
      </c>
    </row>
    <row r="224" spans="1:9" x14ac:dyDescent="0.2">
      <c r="C224" s="2" t="s">
        <v>39</v>
      </c>
      <c r="H224" s="14">
        <v>0.14000000000000001</v>
      </c>
    </row>
    <row r="225" spans="2:9" x14ac:dyDescent="0.2">
      <c r="C225" s="2" t="s">
        <v>13</v>
      </c>
      <c r="H225" s="14">
        <v>-1400</v>
      </c>
    </row>
    <row r="226" spans="2:9" x14ac:dyDescent="0.2">
      <c r="C226" s="2" t="s">
        <v>13</v>
      </c>
      <c r="H226" s="14">
        <v>-2000</v>
      </c>
    </row>
    <row r="227" spans="2:9" x14ac:dyDescent="0.2">
      <c r="C227" s="2" t="s">
        <v>182</v>
      </c>
      <c r="F227" s="38">
        <v>-2.8</v>
      </c>
    </row>
    <row r="228" spans="2:9" x14ac:dyDescent="0.2">
      <c r="C228" s="2" t="s">
        <v>183</v>
      </c>
      <c r="F228" s="38">
        <v>0.01</v>
      </c>
    </row>
    <row r="229" spans="2:9" x14ac:dyDescent="0.2">
      <c r="B229" s="12">
        <v>45852</v>
      </c>
      <c r="C229" s="2" t="s">
        <v>178</v>
      </c>
      <c r="H229" s="14">
        <v>-118.5</v>
      </c>
    </row>
    <row r="230" spans="2:9" x14ac:dyDescent="0.2">
      <c r="C230" s="2" t="s">
        <v>39</v>
      </c>
      <c r="H230" s="14">
        <v>0.59</v>
      </c>
    </row>
    <row r="231" spans="2:9" x14ac:dyDescent="0.2">
      <c r="B231" s="12">
        <v>45853</v>
      </c>
      <c r="C231" s="2" t="s">
        <v>13</v>
      </c>
      <c r="H231" s="14">
        <v>-1300</v>
      </c>
    </row>
    <row r="232" spans="2:9" x14ac:dyDescent="0.2">
      <c r="C232" s="2" t="s">
        <v>13</v>
      </c>
      <c r="H232" s="14">
        <v>-2000</v>
      </c>
    </row>
    <row r="233" spans="2:9" x14ac:dyDescent="0.2">
      <c r="B233" s="12">
        <v>45856</v>
      </c>
      <c r="C233" s="2" t="s">
        <v>179</v>
      </c>
      <c r="H233" s="14">
        <v>-107</v>
      </c>
    </row>
    <row r="234" spans="2:9" x14ac:dyDescent="0.2">
      <c r="C234" s="2" t="s">
        <v>39</v>
      </c>
      <c r="H234" s="14">
        <v>0.54</v>
      </c>
    </row>
    <row r="235" spans="2:9" x14ac:dyDescent="0.2">
      <c r="B235" s="12">
        <v>45862</v>
      </c>
      <c r="C235" s="2" t="s">
        <v>131</v>
      </c>
      <c r="H235" s="70">
        <v>200000</v>
      </c>
    </row>
    <row r="236" spans="2:9" x14ac:dyDescent="0.2">
      <c r="B236" s="12">
        <v>45866</v>
      </c>
      <c r="C236" s="2" t="s">
        <v>12</v>
      </c>
      <c r="H236" s="14">
        <v>8</v>
      </c>
    </row>
    <row r="237" spans="2:9" x14ac:dyDescent="0.2">
      <c r="E237" s="44">
        <f>SUM(E212:E219)</f>
        <v>2000.3199999999997</v>
      </c>
      <c r="F237" s="44">
        <f>SUM(F212:F236)</f>
        <v>3.0300000000000002</v>
      </c>
      <c r="G237" s="44">
        <f>SUM(G212:G219)</f>
        <v>1477</v>
      </c>
      <c r="H237" s="44">
        <f>SUM(H212:H236)</f>
        <v>209061.47474999991</v>
      </c>
      <c r="I237" s="44">
        <f>SUM(I212:I236)</f>
        <v>142.60000000000008</v>
      </c>
    </row>
    <row r="238" spans="2:9" x14ac:dyDescent="0.2">
      <c r="B238" s="12">
        <v>45870</v>
      </c>
      <c r="C238" s="2" t="s">
        <v>41</v>
      </c>
      <c r="H238" s="14">
        <v>-170</v>
      </c>
    </row>
    <row r="239" spans="2:9" x14ac:dyDescent="0.2">
      <c r="C239" s="2" t="s">
        <v>39</v>
      </c>
      <c r="H239" s="14">
        <v>0.85</v>
      </c>
    </row>
    <row r="240" spans="2:9" x14ac:dyDescent="0.2">
      <c r="B240" s="12">
        <v>45873</v>
      </c>
      <c r="C240" s="2" t="s">
        <v>13</v>
      </c>
      <c r="H240" s="14">
        <v>-7575</v>
      </c>
    </row>
    <row r="241" spans="2:8" x14ac:dyDescent="0.2">
      <c r="C241" s="2" t="s">
        <v>13</v>
      </c>
      <c r="H241" s="14">
        <v>-2000</v>
      </c>
    </row>
    <row r="242" spans="2:8" x14ac:dyDescent="0.2">
      <c r="B242" s="12">
        <v>45874</v>
      </c>
      <c r="C242" s="2" t="s">
        <v>24</v>
      </c>
      <c r="H242" s="14">
        <v>-38</v>
      </c>
    </row>
    <row r="243" spans="2:8" x14ac:dyDescent="0.2">
      <c r="C243" s="2" t="s">
        <v>39</v>
      </c>
      <c r="H243" s="14">
        <v>0.19</v>
      </c>
    </row>
    <row r="244" spans="2:8" x14ac:dyDescent="0.2">
      <c r="C244" s="2" t="s">
        <v>184</v>
      </c>
      <c r="H244" s="14">
        <v>-272</v>
      </c>
    </row>
    <row r="245" spans="2:8" x14ac:dyDescent="0.2">
      <c r="C245" s="2" t="s">
        <v>39</v>
      </c>
      <c r="H245" s="14">
        <v>1.36</v>
      </c>
    </row>
    <row r="246" spans="2:8" x14ac:dyDescent="0.2">
      <c r="C246" s="2" t="s">
        <v>184</v>
      </c>
      <c r="H246" s="14">
        <v>-16</v>
      </c>
    </row>
    <row r="247" spans="2:8" x14ac:dyDescent="0.2">
      <c r="C247" s="2" t="s">
        <v>39</v>
      </c>
      <c r="H247" s="14">
        <v>0.08</v>
      </c>
    </row>
    <row r="248" spans="2:8" x14ac:dyDescent="0.2">
      <c r="B248" s="12">
        <v>45876</v>
      </c>
      <c r="C248" s="2" t="s">
        <v>13</v>
      </c>
      <c r="H248" s="14">
        <v>-13000</v>
      </c>
    </row>
    <row r="249" spans="2:8" x14ac:dyDescent="0.2">
      <c r="C249" s="2" t="s">
        <v>13</v>
      </c>
      <c r="H249" s="14">
        <v>-2000</v>
      </c>
    </row>
    <row r="250" spans="2:8" x14ac:dyDescent="0.2">
      <c r="B250" s="12">
        <v>45877</v>
      </c>
      <c r="C250" s="2" t="s">
        <v>185</v>
      </c>
      <c r="H250" s="14">
        <v>-160</v>
      </c>
    </row>
    <row r="251" spans="2:8" x14ac:dyDescent="0.2">
      <c r="C251" s="2" t="s">
        <v>39</v>
      </c>
      <c r="H251" s="14">
        <v>0.8</v>
      </c>
    </row>
    <row r="252" spans="2:8" x14ac:dyDescent="0.2">
      <c r="C252" s="2" t="s">
        <v>185</v>
      </c>
      <c r="H252" s="14">
        <v>-213</v>
      </c>
    </row>
    <row r="253" spans="2:8" x14ac:dyDescent="0.2">
      <c r="C253" s="2" t="s">
        <v>39</v>
      </c>
      <c r="H253" s="14">
        <v>1.07</v>
      </c>
    </row>
    <row r="254" spans="2:8" x14ac:dyDescent="0.2">
      <c r="B254" s="12">
        <v>45882</v>
      </c>
      <c r="C254" s="2" t="s">
        <v>184</v>
      </c>
      <c r="H254" s="14">
        <v>-16</v>
      </c>
    </row>
    <row r="255" spans="2:8" x14ac:dyDescent="0.2">
      <c r="C255" s="2" t="s">
        <v>39</v>
      </c>
      <c r="H255" s="14">
        <v>0.08</v>
      </c>
    </row>
    <row r="256" spans="2:8" x14ac:dyDescent="0.2">
      <c r="C256" s="2" t="s">
        <v>184</v>
      </c>
      <c r="H256" s="14">
        <v>-150</v>
      </c>
    </row>
    <row r="257" spans="2:8" x14ac:dyDescent="0.2">
      <c r="C257" s="2" t="s">
        <v>39</v>
      </c>
      <c r="H257" s="14">
        <v>0.75</v>
      </c>
    </row>
    <row r="258" spans="2:8" x14ac:dyDescent="0.2">
      <c r="C258" s="2" t="s">
        <v>178</v>
      </c>
      <c r="H258" s="14">
        <v>-44.5</v>
      </c>
    </row>
    <row r="259" spans="2:8" x14ac:dyDescent="0.2">
      <c r="C259" s="2" t="s">
        <v>39</v>
      </c>
      <c r="H259" s="14">
        <v>0.22</v>
      </c>
    </row>
    <row r="260" spans="2:8" x14ac:dyDescent="0.2">
      <c r="C260" s="2" t="s">
        <v>184</v>
      </c>
      <c r="H260" s="14">
        <v>-16</v>
      </c>
    </row>
    <row r="261" spans="2:8" x14ac:dyDescent="0.2">
      <c r="C261" s="2" t="s">
        <v>39</v>
      </c>
      <c r="H261" s="14">
        <v>0.08</v>
      </c>
    </row>
    <row r="262" spans="2:8" x14ac:dyDescent="0.2">
      <c r="B262" s="12">
        <v>45884</v>
      </c>
      <c r="C262" s="2" t="s">
        <v>186</v>
      </c>
      <c r="H262" s="14">
        <v>-37</v>
      </c>
    </row>
    <row r="263" spans="2:8" x14ac:dyDescent="0.2">
      <c r="C263" s="2" t="s">
        <v>39</v>
      </c>
      <c r="H263" s="14">
        <v>0.19</v>
      </c>
    </row>
    <row r="264" spans="2:8" x14ac:dyDescent="0.2">
      <c r="B264" s="12">
        <v>45885</v>
      </c>
      <c r="C264" s="2" t="s">
        <v>178</v>
      </c>
      <c r="H264" s="14">
        <v>-54.62</v>
      </c>
    </row>
    <row r="265" spans="2:8" x14ac:dyDescent="0.2">
      <c r="C265" s="2" t="s">
        <v>39</v>
      </c>
      <c r="H265" s="14">
        <v>0.27</v>
      </c>
    </row>
    <row r="266" spans="2:8" x14ac:dyDescent="0.2">
      <c r="B266" s="12">
        <v>45887</v>
      </c>
      <c r="C266" s="2" t="s">
        <v>187</v>
      </c>
      <c r="H266" s="14">
        <v>-1989</v>
      </c>
    </row>
    <row r="267" spans="2:8" x14ac:dyDescent="0.2">
      <c r="C267" s="2" t="s">
        <v>39</v>
      </c>
      <c r="H267" s="14">
        <v>9.9499999999999993</v>
      </c>
    </row>
    <row r="268" spans="2:8" x14ac:dyDescent="0.2">
      <c r="C268" s="2" t="s">
        <v>13</v>
      </c>
      <c r="H268" s="14">
        <v>-6000</v>
      </c>
    </row>
    <row r="269" spans="2:8" x14ac:dyDescent="0.2">
      <c r="C269" s="2" t="s">
        <v>13</v>
      </c>
      <c r="H269" s="14">
        <v>-2000</v>
      </c>
    </row>
    <row r="270" spans="2:8" x14ac:dyDescent="0.2">
      <c r="B270" s="12">
        <v>45888</v>
      </c>
      <c r="C270" s="2" t="s">
        <v>184</v>
      </c>
      <c r="H270" s="14">
        <v>-136</v>
      </c>
    </row>
    <row r="271" spans="2:8" x14ac:dyDescent="0.2">
      <c r="C271" s="2" t="s">
        <v>39</v>
      </c>
      <c r="H271" s="14">
        <v>0.68</v>
      </c>
    </row>
    <row r="272" spans="2:8" x14ac:dyDescent="0.2">
      <c r="C272" s="2" t="s">
        <v>184</v>
      </c>
      <c r="H272" s="14">
        <v>-136</v>
      </c>
    </row>
    <row r="273" spans="2:8" x14ac:dyDescent="0.2">
      <c r="C273" s="2" t="s">
        <v>39</v>
      </c>
      <c r="H273" s="14">
        <v>0.68</v>
      </c>
    </row>
    <row r="274" spans="2:8" x14ac:dyDescent="0.2">
      <c r="C274" s="2" t="s">
        <v>184</v>
      </c>
      <c r="H274" s="14">
        <v>-16</v>
      </c>
    </row>
    <row r="275" spans="2:8" x14ac:dyDescent="0.2">
      <c r="C275" s="2" t="s">
        <v>39</v>
      </c>
      <c r="H275" s="14">
        <v>0.08</v>
      </c>
    </row>
    <row r="276" spans="2:8" x14ac:dyDescent="0.2">
      <c r="C276" s="2" t="s">
        <v>184</v>
      </c>
      <c r="H276" s="14">
        <v>-16</v>
      </c>
    </row>
    <row r="277" spans="2:8" x14ac:dyDescent="0.2">
      <c r="C277" s="2" t="s">
        <v>39</v>
      </c>
      <c r="H277" s="14">
        <v>0.08</v>
      </c>
    </row>
    <row r="278" spans="2:8" x14ac:dyDescent="0.2">
      <c r="B278" s="12">
        <v>45889</v>
      </c>
      <c r="C278" s="2" t="s">
        <v>41</v>
      </c>
      <c r="H278" s="14">
        <v>-178</v>
      </c>
    </row>
    <row r="279" spans="2:8" x14ac:dyDescent="0.2">
      <c r="C279" s="2" t="s">
        <v>39</v>
      </c>
      <c r="H279" s="14">
        <v>0.89</v>
      </c>
    </row>
    <row r="280" spans="2:8" x14ac:dyDescent="0.2">
      <c r="C280" s="2" t="s">
        <v>188</v>
      </c>
      <c r="H280" s="14">
        <v>-42</v>
      </c>
    </row>
    <row r="281" spans="2:8" x14ac:dyDescent="0.2">
      <c r="C281" s="2" t="s">
        <v>39</v>
      </c>
      <c r="H281" s="14">
        <v>0.21</v>
      </c>
    </row>
    <row r="282" spans="2:8" x14ac:dyDescent="0.2">
      <c r="B282" s="12">
        <v>45891</v>
      </c>
      <c r="C282" s="2" t="s">
        <v>178</v>
      </c>
      <c r="H282" s="14">
        <v>-123.53</v>
      </c>
    </row>
    <row r="283" spans="2:8" x14ac:dyDescent="0.2">
      <c r="C283" s="2" t="s">
        <v>39</v>
      </c>
      <c r="H283" s="14">
        <v>0.62</v>
      </c>
    </row>
    <row r="284" spans="2:8" x14ac:dyDescent="0.2">
      <c r="B284" s="12">
        <v>45894</v>
      </c>
      <c r="C284" s="2" t="s">
        <v>189</v>
      </c>
      <c r="H284" s="14">
        <v>-945</v>
      </c>
    </row>
    <row r="285" spans="2:8" x14ac:dyDescent="0.2">
      <c r="C285" s="2" t="s">
        <v>39</v>
      </c>
      <c r="H285" s="14">
        <v>4.7300000000000004</v>
      </c>
    </row>
    <row r="286" spans="2:8" x14ac:dyDescent="0.2">
      <c r="C286" s="2" t="s">
        <v>190</v>
      </c>
      <c r="H286" s="14">
        <v>-177.1</v>
      </c>
    </row>
    <row r="287" spans="2:8" x14ac:dyDescent="0.2">
      <c r="C287" s="2" t="s">
        <v>39</v>
      </c>
      <c r="H287" s="14">
        <v>0.89</v>
      </c>
    </row>
    <row r="288" spans="2:8" x14ac:dyDescent="0.2">
      <c r="B288" s="12">
        <v>45897</v>
      </c>
      <c r="C288" s="2" t="s">
        <v>12</v>
      </c>
      <c r="H288" s="14">
        <v>39.9</v>
      </c>
    </row>
    <row r="289" spans="2:9" x14ac:dyDescent="0.2">
      <c r="B289" s="12">
        <v>45899</v>
      </c>
      <c r="C289" s="2" t="s">
        <v>178</v>
      </c>
      <c r="H289" s="14">
        <v>-93.08</v>
      </c>
    </row>
    <row r="290" spans="2:9" x14ac:dyDescent="0.2">
      <c r="C290" s="2" t="s">
        <v>39</v>
      </c>
      <c r="H290" s="14">
        <v>0.47</v>
      </c>
    </row>
    <row r="291" spans="2:9" x14ac:dyDescent="0.2">
      <c r="C291" s="2" t="s">
        <v>188</v>
      </c>
      <c r="H291" s="14">
        <v>-38</v>
      </c>
    </row>
    <row r="292" spans="2:9" x14ac:dyDescent="0.2">
      <c r="C292" s="2" t="s">
        <v>39</v>
      </c>
      <c r="H292" s="14">
        <v>0.19</v>
      </c>
    </row>
    <row r="293" spans="2:9" x14ac:dyDescent="0.2">
      <c r="E293" s="44">
        <f>SUM(E217:E292)</f>
        <v>2000.3199999999997</v>
      </c>
      <c r="F293" s="44">
        <f>SUM(F237:F292)</f>
        <v>3.0300000000000002</v>
      </c>
      <c r="G293" s="44">
        <f>SUM(G217:G292)</f>
        <v>1477</v>
      </c>
      <c r="H293" s="44">
        <f>SUM(H237:H292)</f>
        <v>171474.95474999986</v>
      </c>
      <c r="I293" s="44">
        <f>SUM(I237:I292)</f>
        <v>142.60000000000008</v>
      </c>
    </row>
    <row r="294" spans="2:9" x14ac:dyDescent="0.2">
      <c r="B294" s="12">
        <v>45901</v>
      </c>
      <c r="C294" s="2" t="s">
        <v>178</v>
      </c>
      <c r="H294" s="14">
        <v>-46.09</v>
      </c>
    </row>
    <row r="295" spans="2:9" x14ac:dyDescent="0.2">
      <c r="C295" s="2" t="s">
        <v>39</v>
      </c>
      <c r="H295" s="14">
        <v>0.23</v>
      </c>
    </row>
    <row r="296" spans="2:9" x14ac:dyDescent="0.2">
      <c r="B296" s="12">
        <v>45902</v>
      </c>
      <c r="C296" s="2" t="s">
        <v>191</v>
      </c>
      <c r="H296" s="14">
        <v>-609.4</v>
      </c>
    </row>
    <row r="297" spans="2:9" x14ac:dyDescent="0.2">
      <c r="C297" s="2" t="s">
        <v>39</v>
      </c>
      <c r="H297" s="14">
        <v>3.05</v>
      </c>
    </row>
    <row r="298" spans="2:9" x14ac:dyDescent="0.2">
      <c r="C298" s="2" t="s">
        <v>13</v>
      </c>
      <c r="H298" s="14">
        <v>-2000</v>
      </c>
    </row>
    <row r="299" spans="2:9" x14ac:dyDescent="0.2">
      <c r="C299" s="2" t="s">
        <v>13</v>
      </c>
      <c r="H299" s="14">
        <v>-8000</v>
      </c>
    </row>
    <row r="300" spans="2:9" x14ac:dyDescent="0.2">
      <c r="C300" s="2" t="s">
        <v>13</v>
      </c>
      <c r="H300" s="14">
        <v>-2000</v>
      </c>
    </row>
    <row r="301" spans="2:9" x14ac:dyDescent="0.2">
      <c r="B301" s="12">
        <v>45903</v>
      </c>
      <c r="C301" s="2" t="s">
        <v>192</v>
      </c>
      <c r="H301" s="14">
        <v>-614</v>
      </c>
    </row>
    <row r="302" spans="2:9" x14ac:dyDescent="0.2">
      <c r="C302" s="2" t="s">
        <v>39</v>
      </c>
      <c r="H302" s="14">
        <v>3.07</v>
      </c>
    </row>
    <row r="303" spans="2:9" x14ac:dyDescent="0.2">
      <c r="C303" s="2" t="s">
        <v>112</v>
      </c>
      <c r="H303" s="14">
        <v>-38</v>
      </c>
    </row>
    <row r="304" spans="2:9" x14ac:dyDescent="0.2">
      <c r="C304" s="2" t="s">
        <v>39</v>
      </c>
      <c r="H304" s="14">
        <v>0.19</v>
      </c>
    </row>
    <row r="305" spans="2:9" x14ac:dyDescent="0.2">
      <c r="C305" s="2" t="s">
        <v>178</v>
      </c>
      <c r="H305" s="14">
        <v>-77.34</v>
      </c>
    </row>
    <row r="306" spans="2:9" x14ac:dyDescent="0.2">
      <c r="C306" s="2" t="s">
        <v>39</v>
      </c>
      <c r="H306" s="14">
        <v>0.39</v>
      </c>
    </row>
    <row r="307" spans="2:9" x14ac:dyDescent="0.2">
      <c r="C307" s="2" t="s">
        <v>13</v>
      </c>
      <c r="H307" s="14">
        <v>-13000</v>
      </c>
    </row>
    <row r="308" spans="2:9" x14ac:dyDescent="0.2">
      <c r="C308" s="2" t="s">
        <v>13</v>
      </c>
      <c r="H308" s="14">
        <v>-2000</v>
      </c>
    </row>
    <row r="309" spans="2:9" x14ac:dyDescent="0.2">
      <c r="B309" s="12">
        <v>45905</v>
      </c>
      <c r="C309" s="2" t="s">
        <v>13</v>
      </c>
      <c r="H309" s="14">
        <v>-2600</v>
      </c>
    </row>
    <row r="310" spans="2:9" x14ac:dyDescent="0.2">
      <c r="C310" s="2" t="s">
        <v>13</v>
      </c>
      <c r="H310" s="14">
        <v>-2000</v>
      </c>
    </row>
    <row r="311" spans="2:9" x14ac:dyDescent="0.2">
      <c r="B311" s="12">
        <v>45909</v>
      </c>
      <c r="C311" s="2" t="s">
        <v>193</v>
      </c>
      <c r="H311" s="14">
        <v>-60</v>
      </c>
    </row>
    <row r="312" spans="2:9" x14ac:dyDescent="0.2">
      <c r="C312" s="2" t="s">
        <v>39</v>
      </c>
      <c r="H312" s="14">
        <v>0.3</v>
      </c>
    </row>
    <row r="313" spans="2:9" x14ac:dyDescent="0.2">
      <c r="C313" s="2" t="s">
        <v>179</v>
      </c>
      <c r="H313" s="14">
        <v>-92</v>
      </c>
    </row>
    <row r="314" spans="2:9" x14ac:dyDescent="0.2">
      <c r="C314" s="2" t="s">
        <v>39</v>
      </c>
      <c r="H314" s="14">
        <v>0.46</v>
      </c>
    </row>
    <row r="315" spans="2:9" x14ac:dyDescent="0.2">
      <c r="B315" s="12">
        <v>45910</v>
      </c>
      <c r="C315" s="2" t="s">
        <v>194</v>
      </c>
      <c r="H315" s="14">
        <v>-249</v>
      </c>
    </row>
    <row r="316" spans="2:9" x14ac:dyDescent="0.2">
      <c r="C316" s="2" t="s">
        <v>39</v>
      </c>
      <c r="H316" s="14">
        <v>1.25</v>
      </c>
    </row>
    <row r="317" spans="2:9" x14ac:dyDescent="0.2">
      <c r="C317" s="2" t="s">
        <v>13</v>
      </c>
      <c r="H317" s="14">
        <v>-3500</v>
      </c>
    </row>
    <row r="318" spans="2:9" x14ac:dyDescent="0.2">
      <c r="C318" s="2" t="s">
        <v>13</v>
      </c>
      <c r="H318" s="14">
        <v>-2000</v>
      </c>
    </row>
    <row r="319" spans="2:9" x14ac:dyDescent="0.2">
      <c r="B319" s="12">
        <v>45913</v>
      </c>
      <c r="C319" s="2" t="s">
        <v>197</v>
      </c>
      <c r="I319" s="14">
        <v>-135</v>
      </c>
    </row>
    <row r="320" spans="2:9" x14ac:dyDescent="0.2">
      <c r="C320" s="2" t="s">
        <v>39</v>
      </c>
      <c r="I320" s="14">
        <v>0.68</v>
      </c>
    </row>
    <row r="321" spans="2:9" x14ac:dyDescent="0.2">
      <c r="B321" s="12">
        <v>45915</v>
      </c>
      <c r="C321" s="2" t="s">
        <v>178</v>
      </c>
      <c r="H321" s="14">
        <v>-144.36000000000001</v>
      </c>
    </row>
    <row r="322" spans="2:9" x14ac:dyDescent="0.2">
      <c r="C322" s="2" t="s">
        <v>39</v>
      </c>
      <c r="H322" s="14">
        <v>0.72</v>
      </c>
    </row>
    <row r="323" spans="2:9" x14ac:dyDescent="0.2">
      <c r="C323" s="2" t="s">
        <v>13</v>
      </c>
      <c r="H323" s="14">
        <v>-8100</v>
      </c>
    </row>
    <row r="324" spans="2:9" x14ac:dyDescent="0.2">
      <c r="C324" s="2" t="s">
        <v>13</v>
      </c>
      <c r="H324" s="14">
        <v>-2000</v>
      </c>
    </row>
    <row r="325" spans="2:9" x14ac:dyDescent="0.2">
      <c r="B325" s="12">
        <v>45917</v>
      </c>
      <c r="C325" s="2" t="s">
        <v>13</v>
      </c>
      <c r="H325" s="14">
        <v>-2000</v>
      </c>
    </row>
    <row r="326" spans="2:9" x14ac:dyDescent="0.2">
      <c r="B326" s="12">
        <v>45919</v>
      </c>
      <c r="C326" s="2" t="s">
        <v>195</v>
      </c>
      <c r="H326" s="14">
        <v>-60</v>
      </c>
    </row>
    <row r="327" spans="2:9" x14ac:dyDescent="0.2">
      <c r="C327" s="2" t="s">
        <v>39</v>
      </c>
      <c r="H327" s="14">
        <v>0.3</v>
      </c>
    </row>
    <row r="328" spans="2:9" x14ac:dyDescent="0.2">
      <c r="C328" s="2" t="s">
        <v>196</v>
      </c>
      <c r="H328" s="14">
        <v>-2786</v>
      </c>
    </row>
    <row r="329" spans="2:9" x14ac:dyDescent="0.2">
      <c r="C329" s="2" t="s">
        <v>39</v>
      </c>
      <c r="H329" s="14">
        <v>13.93</v>
      </c>
    </row>
    <row r="330" spans="2:9" x14ac:dyDescent="0.2">
      <c r="C330" s="2" t="s">
        <v>178</v>
      </c>
      <c r="H330" s="14">
        <v>-110.86</v>
      </c>
    </row>
    <row r="331" spans="2:9" x14ac:dyDescent="0.2">
      <c r="C331" s="2" t="s">
        <v>39</v>
      </c>
      <c r="H331" s="14">
        <v>0.55000000000000004</v>
      </c>
    </row>
    <row r="332" spans="2:9" x14ac:dyDescent="0.2">
      <c r="C332" s="2" t="s">
        <v>198</v>
      </c>
      <c r="H332" s="45"/>
      <c r="I332" s="14">
        <v>-4.6500000000000004</v>
      </c>
    </row>
    <row r="333" spans="2:9" x14ac:dyDescent="0.2">
      <c r="C333" s="2" t="s">
        <v>199</v>
      </c>
      <c r="H333" s="45"/>
      <c r="I333" s="14">
        <v>0.02</v>
      </c>
    </row>
    <row r="334" spans="2:9" x14ac:dyDescent="0.2">
      <c r="B334" s="12">
        <v>45922</v>
      </c>
      <c r="C334" s="2" t="s">
        <v>178</v>
      </c>
      <c r="H334" s="45">
        <v>-146.97</v>
      </c>
      <c r="I334" s="14"/>
    </row>
    <row r="335" spans="2:9" x14ac:dyDescent="0.2">
      <c r="C335" s="2" t="s">
        <v>39</v>
      </c>
      <c r="H335" s="45">
        <v>0.73</v>
      </c>
      <c r="I335" s="14"/>
    </row>
    <row r="336" spans="2:9" x14ac:dyDescent="0.2">
      <c r="C336" s="2" t="s">
        <v>179</v>
      </c>
      <c r="H336" s="45">
        <v>-92</v>
      </c>
      <c r="I336" s="14"/>
    </row>
    <row r="337" spans="2:9" x14ac:dyDescent="0.2">
      <c r="C337" s="2" t="s">
        <v>39</v>
      </c>
      <c r="H337" s="45">
        <v>0.46</v>
      </c>
      <c r="I337" s="14"/>
    </row>
    <row r="338" spans="2:9" x14ac:dyDescent="0.2">
      <c r="B338" s="12">
        <v>45923</v>
      </c>
      <c r="C338" s="2" t="s">
        <v>178</v>
      </c>
      <c r="H338" s="45">
        <v>-78.099999999999994</v>
      </c>
      <c r="I338" s="14"/>
    </row>
    <row r="339" spans="2:9" x14ac:dyDescent="0.2">
      <c r="C339" s="2" t="s">
        <v>39</v>
      </c>
      <c r="H339" s="45">
        <v>0.39</v>
      </c>
      <c r="I339" s="14"/>
    </row>
    <row r="340" spans="2:9" x14ac:dyDescent="0.2">
      <c r="C340" s="2" t="s">
        <v>178</v>
      </c>
      <c r="H340" s="45">
        <v>-91.1</v>
      </c>
      <c r="I340" s="14"/>
    </row>
    <row r="341" spans="2:9" x14ac:dyDescent="0.2">
      <c r="C341" s="2" t="s">
        <v>39</v>
      </c>
      <c r="H341" s="45">
        <v>0.46</v>
      </c>
      <c r="I341" s="14"/>
    </row>
    <row r="342" spans="2:9" x14ac:dyDescent="0.2">
      <c r="B342" s="12">
        <v>45927</v>
      </c>
      <c r="C342" s="2" t="s">
        <v>12</v>
      </c>
      <c r="H342" s="45">
        <v>24.96</v>
      </c>
      <c r="I342" s="14"/>
    </row>
    <row r="343" spans="2:9" x14ac:dyDescent="0.2">
      <c r="B343" s="12">
        <v>45929</v>
      </c>
      <c r="C343" s="2" t="s">
        <v>178</v>
      </c>
      <c r="H343" s="45">
        <v>-50.75</v>
      </c>
      <c r="I343" s="14"/>
    </row>
    <row r="344" spans="2:9" x14ac:dyDescent="0.2">
      <c r="C344" s="2" t="s">
        <v>39</v>
      </c>
      <c r="H344" s="14">
        <v>0.25</v>
      </c>
    </row>
    <row r="345" spans="2:9" x14ac:dyDescent="0.2">
      <c r="E345" s="44">
        <f>SUM(E293:E344)</f>
        <v>2000.3199999999997</v>
      </c>
      <c r="F345" s="44">
        <f>SUM(F293:F344)</f>
        <v>3.0300000000000002</v>
      </c>
      <c r="G345" s="44">
        <f>SUM(G293:G344)</f>
        <v>1477</v>
      </c>
      <c r="H345" s="44">
        <f>SUM(H293:H344)</f>
        <v>116980.67474999989</v>
      </c>
      <c r="I345" s="44">
        <f>SUM(I293:I344)</f>
        <v>3.650000000000079</v>
      </c>
    </row>
    <row r="346" spans="2:9" x14ac:dyDescent="0.2">
      <c r="B346" s="12">
        <v>45933</v>
      </c>
      <c r="C346" s="2" t="s">
        <v>178</v>
      </c>
      <c r="E346" s="49"/>
      <c r="F346" s="49"/>
      <c r="G346" s="49"/>
      <c r="H346" s="49">
        <v>-110.83</v>
      </c>
      <c r="I346" s="49"/>
    </row>
    <row r="347" spans="2:9" x14ac:dyDescent="0.2">
      <c r="C347" s="2" t="s">
        <v>39</v>
      </c>
      <c r="E347" s="49"/>
      <c r="F347" s="49"/>
      <c r="G347" s="49"/>
      <c r="H347" s="49">
        <v>0.55000000000000004</v>
      </c>
      <c r="I347" s="49"/>
    </row>
    <row r="348" spans="2:9" x14ac:dyDescent="0.2">
      <c r="B348" s="12">
        <v>45936</v>
      </c>
      <c r="C348" s="2" t="s">
        <v>112</v>
      </c>
      <c r="E348" s="49"/>
      <c r="F348" s="49"/>
      <c r="G348" s="49"/>
      <c r="H348" s="49">
        <v>-38</v>
      </c>
      <c r="I348" s="49"/>
    </row>
    <row r="349" spans="2:9" x14ac:dyDescent="0.2">
      <c r="C349" s="2" t="s">
        <v>39</v>
      </c>
      <c r="E349" s="49"/>
      <c r="F349" s="49"/>
      <c r="G349" s="49"/>
      <c r="H349" s="49">
        <v>0.19</v>
      </c>
      <c r="I349" s="49"/>
    </row>
    <row r="350" spans="2:9" x14ac:dyDescent="0.2">
      <c r="C350" s="2" t="s">
        <v>13</v>
      </c>
      <c r="E350" s="49"/>
      <c r="F350" s="49"/>
      <c r="G350" s="49"/>
      <c r="H350" s="49">
        <v>-200</v>
      </c>
      <c r="I350" s="49"/>
    </row>
    <row r="351" spans="2:9" x14ac:dyDescent="0.2">
      <c r="C351" s="2" t="s">
        <v>13</v>
      </c>
      <c r="E351" s="49"/>
      <c r="F351" s="49"/>
      <c r="G351" s="49"/>
      <c r="H351" s="49">
        <v>-2000</v>
      </c>
      <c r="I351" s="49"/>
    </row>
    <row r="352" spans="2:9" x14ac:dyDescent="0.2">
      <c r="B352" s="12">
        <v>45939</v>
      </c>
      <c r="C352" s="2" t="s">
        <v>13</v>
      </c>
      <c r="E352" s="49"/>
      <c r="F352" s="49"/>
      <c r="G352" s="49"/>
      <c r="H352" s="49">
        <v>-1800</v>
      </c>
      <c r="I352" s="49"/>
    </row>
    <row r="353" spans="2:9" x14ac:dyDescent="0.2">
      <c r="C353" s="2" t="s">
        <v>13</v>
      </c>
      <c r="E353" s="49"/>
      <c r="F353" s="49"/>
      <c r="G353" s="49"/>
      <c r="H353" s="49">
        <v>-2000</v>
      </c>
      <c r="I353" s="49"/>
    </row>
    <row r="354" spans="2:9" x14ac:dyDescent="0.2">
      <c r="B354" s="12">
        <v>45941</v>
      </c>
      <c r="C354" s="2" t="s">
        <v>178</v>
      </c>
      <c r="E354" s="49"/>
      <c r="F354" s="49"/>
      <c r="G354" s="49"/>
      <c r="H354" s="49">
        <v>-88.12</v>
      </c>
      <c r="I354" s="49"/>
    </row>
    <row r="355" spans="2:9" x14ac:dyDescent="0.2">
      <c r="C355" s="2" t="s">
        <v>39</v>
      </c>
      <c r="E355" s="49"/>
      <c r="F355" s="49"/>
      <c r="G355" s="49"/>
      <c r="H355" s="49">
        <v>0.44</v>
      </c>
      <c r="I355" s="49"/>
    </row>
    <row r="356" spans="2:9" x14ac:dyDescent="0.2">
      <c r="B356" s="12">
        <v>45943</v>
      </c>
      <c r="C356" s="2" t="s">
        <v>178</v>
      </c>
      <c r="E356" s="49"/>
      <c r="F356" s="49"/>
      <c r="G356" s="49"/>
      <c r="H356" s="49">
        <v>-60.69</v>
      </c>
      <c r="I356" s="49"/>
    </row>
    <row r="357" spans="2:9" x14ac:dyDescent="0.2">
      <c r="C357" s="2" t="s">
        <v>39</v>
      </c>
      <c r="E357" s="49"/>
      <c r="F357" s="49"/>
      <c r="G357" s="49"/>
      <c r="H357" s="49">
        <v>0.3</v>
      </c>
      <c r="I357" s="49"/>
    </row>
    <row r="358" spans="2:9" x14ac:dyDescent="0.2">
      <c r="C358" s="2" t="s">
        <v>200</v>
      </c>
      <c r="E358" s="49"/>
      <c r="F358" s="49"/>
      <c r="G358" s="49"/>
      <c r="H358" s="49">
        <v>-319.49</v>
      </c>
      <c r="I358" s="49"/>
    </row>
    <row r="359" spans="2:9" x14ac:dyDescent="0.2">
      <c r="C359" s="2" t="s">
        <v>39</v>
      </c>
      <c r="E359" s="49"/>
      <c r="F359" s="49"/>
      <c r="G359" s="49"/>
      <c r="H359" s="49">
        <v>1.6</v>
      </c>
      <c r="I359" s="49"/>
    </row>
    <row r="360" spans="2:9" x14ac:dyDescent="0.2">
      <c r="C360" s="2" t="s">
        <v>201</v>
      </c>
      <c r="E360" s="49"/>
      <c r="F360" s="49"/>
      <c r="G360" s="49"/>
      <c r="H360" s="49">
        <v>-337.94</v>
      </c>
      <c r="I360" s="49"/>
    </row>
    <row r="361" spans="2:9" x14ac:dyDescent="0.2">
      <c r="C361" s="2" t="s">
        <v>39</v>
      </c>
      <c r="E361" s="49"/>
      <c r="F361" s="49"/>
      <c r="G361" s="49"/>
      <c r="H361" s="49">
        <v>1.69</v>
      </c>
      <c r="I361" s="49"/>
    </row>
    <row r="362" spans="2:9" x14ac:dyDescent="0.2">
      <c r="B362" s="12">
        <v>45948</v>
      </c>
      <c r="C362" s="2" t="s">
        <v>202</v>
      </c>
      <c r="E362" s="49"/>
      <c r="F362" s="49"/>
      <c r="G362" s="49"/>
      <c r="H362" s="49">
        <v>-122</v>
      </c>
      <c r="I362" s="49"/>
    </row>
    <row r="363" spans="2:9" x14ac:dyDescent="0.2">
      <c r="C363" s="2" t="s">
        <v>39</v>
      </c>
      <c r="E363" s="49"/>
      <c r="F363" s="49"/>
      <c r="G363" s="49"/>
      <c r="H363" s="49">
        <v>0.61</v>
      </c>
      <c r="I363" s="49"/>
    </row>
    <row r="364" spans="2:9" x14ac:dyDescent="0.2">
      <c r="B364" s="12">
        <v>45951</v>
      </c>
      <c r="C364" s="2" t="s">
        <v>184</v>
      </c>
      <c r="E364" s="49"/>
      <c r="F364" s="49"/>
      <c r="G364" s="49"/>
      <c r="H364" s="49">
        <v>-16</v>
      </c>
      <c r="I364" s="49"/>
    </row>
    <row r="365" spans="2:9" x14ac:dyDescent="0.2">
      <c r="C365" s="2" t="s">
        <v>39</v>
      </c>
      <c r="E365" s="49"/>
      <c r="F365" s="49"/>
      <c r="G365" s="49"/>
      <c r="H365" s="49">
        <v>0.08</v>
      </c>
      <c r="I365" s="49"/>
    </row>
    <row r="366" spans="2:9" x14ac:dyDescent="0.2">
      <c r="C366" s="2" t="s">
        <v>184</v>
      </c>
      <c r="E366" s="49"/>
      <c r="F366" s="49"/>
      <c r="G366" s="49"/>
      <c r="H366" s="49">
        <v>-142</v>
      </c>
      <c r="I366" s="49"/>
    </row>
    <row r="367" spans="2:9" x14ac:dyDescent="0.2">
      <c r="C367" s="2" t="s">
        <v>39</v>
      </c>
      <c r="E367" s="49"/>
      <c r="F367" s="49"/>
      <c r="G367" s="49"/>
      <c r="H367" s="49">
        <v>0.71</v>
      </c>
      <c r="I367" s="49"/>
    </row>
    <row r="368" spans="2:9" x14ac:dyDescent="0.2">
      <c r="C368" s="2" t="s">
        <v>184</v>
      </c>
      <c r="E368" s="49"/>
      <c r="F368" s="49"/>
      <c r="G368" s="49"/>
      <c r="H368" s="49">
        <v>-136</v>
      </c>
      <c r="I368" s="49"/>
    </row>
    <row r="369" spans="2:9" x14ac:dyDescent="0.2">
      <c r="C369" s="2" t="s">
        <v>39</v>
      </c>
      <c r="E369" s="49"/>
      <c r="F369" s="49"/>
      <c r="G369" s="49"/>
      <c r="H369" s="49">
        <v>0.68</v>
      </c>
      <c r="I369" s="49"/>
    </row>
    <row r="370" spans="2:9" x14ac:dyDescent="0.2">
      <c r="B370" s="12">
        <v>45952</v>
      </c>
      <c r="C370" s="2" t="s">
        <v>203</v>
      </c>
      <c r="E370" s="49"/>
      <c r="F370" s="49"/>
      <c r="G370" s="49"/>
      <c r="H370" s="49">
        <v>-1052.72</v>
      </c>
      <c r="I370" s="49"/>
    </row>
    <row r="371" spans="2:9" x14ac:dyDescent="0.2">
      <c r="C371" s="2" t="s">
        <v>39</v>
      </c>
      <c r="E371" s="49"/>
      <c r="F371" s="49"/>
      <c r="G371" s="49"/>
      <c r="H371" s="49">
        <v>5.3</v>
      </c>
      <c r="I371" s="49"/>
    </row>
    <row r="372" spans="2:9" x14ac:dyDescent="0.2">
      <c r="B372" s="12">
        <v>45953</v>
      </c>
      <c r="C372" s="2" t="s">
        <v>204</v>
      </c>
      <c r="E372" s="49"/>
      <c r="F372" s="49"/>
      <c r="G372" s="49"/>
      <c r="H372" s="49">
        <v>-204.02</v>
      </c>
      <c r="I372" s="49"/>
    </row>
    <row r="373" spans="2:9" x14ac:dyDescent="0.2">
      <c r="C373" s="2" t="s">
        <v>39</v>
      </c>
      <c r="E373" s="49"/>
      <c r="F373" s="49"/>
      <c r="G373" s="49"/>
      <c r="H373" s="49">
        <v>1.01</v>
      </c>
      <c r="I373" s="49"/>
    </row>
    <row r="374" spans="2:9" x14ac:dyDescent="0.2">
      <c r="C374" s="2" t="s">
        <v>205</v>
      </c>
      <c r="E374" s="49"/>
      <c r="F374" s="49"/>
      <c r="G374" s="49"/>
      <c r="H374" s="71">
        <v>-310.27</v>
      </c>
      <c r="I374" s="49"/>
    </row>
    <row r="375" spans="2:9" x14ac:dyDescent="0.2">
      <c r="C375" s="2" t="s">
        <v>39</v>
      </c>
      <c r="E375" s="49"/>
      <c r="F375" s="49"/>
      <c r="G375" s="49"/>
      <c r="H375" s="49">
        <v>1.56</v>
      </c>
      <c r="I375" s="49"/>
    </row>
    <row r="376" spans="2:9" x14ac:dyDescent="0.2">
      <c r="B376" s="12">
        <v>45954</v>
      </c>
      <c r="C376" s="2" t="s">
        <v>206</v>
      </c>
      <c r="E376" s="49"/>
      <c r="F376" s="49"/>
      <c r="G376" s="49"/>
      <c r="H376" s="49">
        <v>-175.61</v>
      </c>
      <c r="I376" s="49"/>
    </row>
    <row r="377" spans="2:9" x14ac:dyDescent="0.2">
      <c r="C377" s="2" t="s">
        <v>39</v>
      </c>
      <c r="E377" s="49"/>
      <c r="F377" s="49"/>
      <c r="G377" s="49"/>
      <c r="H377" s="49">
        <v>0.86</v>
      </c>
      <c r="I377" s="49"/>
    </row>
    <row r="378" spans="2:9" x14ac:dyDescent="0.2">
      <c r="B378" s="12">
        <v>45955</v>
      </c>
      <c r="C378" s="2" t="s">
        <v>207</v>
      </c>
      <c r="E378" s="49"/>
      <c r="F378" s="49"/>
      <c r="G378" s="49"/>
      <c r="H378" s="49">
        <v>-491.3</v>
      </c>
      <c r="I378" s="49"/>
    </row>
    <row r="379" spans="2:9" x14ac:dyDescent="0.2">
      <c r="C379" s="2" t="s">
        <v>39</v>
      </c>
      <c r="E379" s="49"/>
      <c r="F379" s="49"/>
      <c r="G379" s="49"/>
      <c r="H379" s="49">
        <v>2.42</v>
      </c>
      <c r="I379" s="49"/>
    </row>
    <row r="380" spans="2:9" x14ac:dyDescent="0.2">
      <c r="B380" s="12">
        <v>45957</v>
      </c>
      <c r="C380" s="2" t="s">
        <v>208</v>
      </c>
      <c r="E380" s="49"/>
      <c r="F380" s="49"/>
      <c r="G380" s="49"/>
      <c r="H380" s="49">
        <v>-253.58</v>
      </c>
      <c r="I380" s="49"/>
    </row>
    <row r="381" spans="2:9" x14ac:dyDescent="0.2">
      <c r="C381" s="2" t="s">
        <v>39</v>
      </c>
      <c r="E381" s="49"/>
      <c r="F381" s="49"/>
      <c r="G381" s="49"/>
      <c r="H381" s="49">
        <v>1.25</v>
      </c>
      <c r="I381" s="49"/>
    </row>
    <row r="382" spans="2:9" x14ac:dyDescent="0.2">
      <c r="B382" s="12">
        <v>45958</v>
      </c>
      <c r="C382" s="2" t="s">
        <v>12</v>
      </c>
      <c r="E382" s="49"/>
      <c r="F382" s="49"/>
      <c r="G382" s="49"/>
      <c r="H382" s="49">
        <v>12</v>
      </c>
      <c r="I382" s="49"/>
    </row>
    <row r="383" spans="2:9" x14ac:dyDescent="0.2">
      <c r="B383" s="12">
        <v>45961</v>
      </c>
      <c r="C383" s="2" t="s">
        <v>13</v>
      </c>
      <c r="E383" s="49"/>
      <c r="F383" s="49"/>
      <c r="G383" s="49"/>
      <c r="H383" s="49">
        <v>-2800</v>
      </c>
      <c r="I383" s="49"/>
    </row>
    <row r="384" spans="2:9" x14ac:dyDescent="0.2">
      <c r="C384" s="2" t="s">
        <v>13</v>
      </c>
      <c r="E384" s="49"/>
      <c r="F384" s="49"/>
      <c r="G384" s="49"/>
      <c r="H384" s="49">
        <v>-2000</v>
      </c>
      <c r="I384" s="49"/>
    </row>
    <row r="385" spans="2:11" x14ac:dyDescent="0.2">
      <c r="C385" s="2" t="s">
        <v>13</v>
      </c>
      <c r="E385" s="49"/>
      <c r="F385" s="49"/>
      <c r="G385" s="49"/>
      <c r="H385" s="49">
        <v>-1600</v>
      </c>
      <c r="I385" s="49"/>
    </row>
    <row r="386" spans="2:11" x14ac:dyDescent="0.2">
      <c r="C386" s="2" t="s">
        <v>13</v>
      </c>
      <c r="E386" s="49"/>
      <c r="F386" s="49"/>
      <c r="G386" s="49"/>
      <c r="H386" s="49">
        <v>-2000</v>
      </c>
      <c r="I386" s="49"/>
    </row>
    <row r="387" spans="2:11" x14ac:dyDescent="0.2">
      <c r="E387" s="43">
        <f>SUM(E345:E386)</f>
        <v>2000.3199999999997</v>
      </c>
      <c r="F387" s="43">
        <f>SUM(F345:F386)</f>
        <v>3.0300000000000002</v>
      </c>
      <c r="G387" s="43">
        <f>SUM(G345:G386)</f>
        <v>1477</v>
      </c>
      <c r="H387" s="72">
        <f>SUM(H345:H386)</f>
        <v>98753.354749999882</v>
      </c>
      <c r="I387" s="43">
        <f>SUM(I345:I386)</f>
        <v>3.650000000000079</v>
      </c>
    </row>
    <row r="388" spans="2:11" x14ac:dyDescent="0.2">
      <c r="B388" s="12">
        <v>45964</v>
      </c>
      <c r="C388" s="2" t="s">
        <v>209</v>
      </c>
      <c r="H388" s="14">
        <v>-271</v>
      </c>
    </row>
    <row r="389" spans="2:11" x14ac:dyDescent="0.2">
      <c r="C389" s="2" t="s">
        <v>39</v>
      </c>
      <c r="H389" s="14">
        <v>1.36</v>
      </c>
    </row>
    <row r="390" spans="2:11" x14ac:dyDescent="0.2">
      <c r="B390" s="12">
        <v>45968</v>
      </c>
      <c r="C390" s="2" t="s">
        <v>112</v>
      </c>
      <c r="H390" s="14">
        <v>-120</v>
      </c>
    </row>
    <row r="391" spans="2:11" x14ac:dyDescent="0.2">
      <c r="C391" s="2" t="s">
        <v>39</v>
      </c>
      <c r="H391" s="14">
        <v>0.6</v>
      </c>
    </row>
    <row r="392" spans="2:11" x14ac:dyDescent="0.2">
      <c r="B392" s="12">
        <v>45969</v>
      </c>
      <c r="C392" s="2" t="s">
        <v>210</v>
      </c>
      <c r="H392" s="14">
        <v>-295</v>
      </c>
    </row>
    <row r="393" spans="2:11" x14ac:dyDescent="0.2">
      <c r="C393" s="2" t="s">
        <v>39</v>
      </c>
      <c r="H393" s="14">
        <v>1.48</v>
      </c>
    </row>
    <row r="394" spans="2:11" x14ac:dyDescent="0.2">
      <c r="B394" s="12">
        <v>45971</v>
      </c>
      <c r="C394" s="2" t="s">
        <v>112</v>
      </c>
      <c r="H394" s="14">
        <v>-50</v>
      </c>
    </row>
    <row r="395" spans="2:11" x14ac:dyDescent="0.2">
      <c r="C395" s="2" t="s">
        <v>39</v>
      </c>
      <c r="H395" s="14">
        <v>0.25</v>
      </c>
    </row>
    <row r="396" spans="2:11" x14ac:dyDescent="0.2">
      <c r="C396" s="2" t="s">
        <v>211</v>
      </c>
      <c r="H396" s="14">
        <v>-350.62</v>
      </c>
    </row>
    <row r="397" spans="2:11" x14ac:dyDescent="0.2">
      <c r="C397" s="2" t="s">
        <v>39</v>
      </c>
      <c r="H397" s="14">
        <v>1.75</v>
      </c>
    </row>
    <row r="398" spans="2:11" x14ac:dyDescent="0.2">
      <c r="B398" s="12">
        <v>45974</v>
      </c>
      <c r="C398" s="2" t="s">
        <v>112</v>
      </c>
      <c r="H398" s="14">
        <v>-38</v>
      </c>
      <c r="K398" s="5"/>
    </row>
    <row r="399" spans="2:11" x14ac:dyDescent="0.2">
      <c r="C399" s="2" t="s">
        <v>39</v>
      </c>
      <c r="H399" s="14">
        <v>0.19</v>
      </c>
    </row>
    <row r="400" spans="2:11" x14ac:dyDescent="0.2">
      <c r="C400" s="2" t="s">
        <v>212</v>
      </c>
      <c r="H400" s="14">
        <v>-1236</v>
      </c>
      <c r="K400" s="5"/>
    </row>
    <row r="401" spans="2:11" x14ac:dyDescent="0.2">
      <c r="C401" s="2" t="s">
        <v>39</v>
      </c>
      <c r="H401" s="14">
        <v>6.18</v>
      </c>
    </row>
    <row r="402" spans="2:11" x14ac:dyDescent="0.2">
      <c r="B402" s="12">
        <v>45975</v>
      </c>
      <c r="C402" s="2" t="s">
        <v>213</v>
      </c>
      <c r="H402" s="14">
        <v>-93.62</v>
      </c>
      <c r="K402" s="5"/>
    </row>
    <row r="403" spans="2:11" x14ac:dyDescent="0.2">
      <c r="C403" s="2" t="s">
        <v>39</v>
      </c>
      <c r="H403" s="14">
        <v>0.47</v>
      </c>
    </row>
    <row r="404" spans="2:11" x14ac:dyDescent="0.2">
      <c r="B404" s="12">
        <v>45979</v>
      </c>
      <c r="C404" s="2" t="s">
        <v>13</v>
      </c>
      <c r="H404" s="14">
        <v>-5435</v>
      </c>
    </row>
    <row r="405" spans="2:11" x14ac:dyDescent="0.2">
      <c r="C405" s="2" t="s">
        <v>13</v>
      </c>
      <c r="H405" s="14">
        <v>-2000</v>
      </c>
    </row>
    <row r="406" spans="2:11" x14ac:dyDescent="0.2">
      <c r="B406" s="12">
        <v>45983</v>
      </c>
      <c r="C406" s="2" t="s">
        <v>112</v>
      </c>
      <c r="H406" s="14">
        <v>-36</v>
      </c>
      <c r="K406" s="5"/>
    </row>
    <row r="407" spans="2:11" x14ac:dyDescent="0.2">
      <c r="C407" s="2" t="s">
        <v>39</v>
      </c>
      <c r="H407" s="14">
        <v>0.18</v>
      </c>
    </row>
    <row r="408" spans="2:11" x14ac:dyDescent="0.2">
      <c r="B408" s="12">
        <v>45988</v>
      </c>
      <c r="C408" s="2" t="s">
        <v>13</v>
      </c>
      <c r="H408" s="14">
        <v>-647</v>
      </c>
    </row>
    <row r="409" spans="2:11" x14ac:dyDescent="0.2">
      <c r="C409" s="2" t="s">
        <v>13</v>
      </c>
      <c r="H409" s="14">
        <v>-2000</v>
      </c>
      <c r="K409" s="5"/>
    </row>
    <row r="410" spans="2:11" x14ac:dyDescent="0.2">
      <c r="B410" s="12">
        <v>45989</v>
      </c>
      <c r="C410" s="2" t="s">
        <v>12</v>
      </c>
      <c r="H410" s="14">
        <v>1.25</v>
      </c>
      <c r="K410" s="5"/>
    </row>
    <row r="411" spans="2:11" x14ac:dyDescent="0.2">
      <c r="C411" s="2" t="s">
        <v>214</v>
      </c>
      <c r="H411" s="14">
        <v>-96.38</v>
      </c>
      <c r="K411" s="5"/>
    </row>
    <row r="412" spans="2:11" x14ac:dyDescent="0.2">
      <c r="C412" s="2" t="s">
        <v>39</v>
      </c>
      <c r="H412" s="14">
        <v>0.48</v>
      </c>
    </row>
    <row r="413" spans="2:11" x14ac:dyDescent="0.2">
      <c r="E413" s="43">
        <f>SUM(E387:E412)</f>
        <v>2000.3199999999997</v>
      </c>
      <c r="F413" s="43">
        <f>SUM(F387:F412)</f>
        <v>3.0300000000000002</v>
      </c>
      <c r="G413" s="43">
        <f>SUM(G387:G412)</f>
        <v>1477</v>
      </c>
      <c r="H413" s="43">
        <f>SUM(H387:H412)</f>
        <v>86098.924749999875</v>
      </c>
      <c r="I413" s="43">
        <f>SUM(I387:I412)</f>
        <v>3.650000000000079</v>
      </c>
    </row>
    <row r="414" spans="2:11" x14ac:dyDescent="0.2">
      <c r="B414" s="12">
        <v>45996</v>
      </c>
      <c r="C414" s="2" t="s">
        <v>214</v>
      </c>
      <c r="H414" s="14">
        <v>-101.44</v>
      </c>
      <c r="K414" s="5"/>
    </row>
    <row r="415" spans="2:11" x14ac:dyDescent="0.2">
      <c r="C415" s="2" t="s">
        <v>39</v>
      </c>
      <c r="H415" s="14">
        <v>0.51</v>
      </c>
    </row>
    <row r="416" spans="2:11" x14ac:dyDescent="0.2">
      <c r="C416" s="2" t="s">
        <v>13</v>
      </c>
      <c r="H416" s="14">
        <v>-3600</v>
      </c>
    </row>
    <row r="417" spans="2:11" x14ac:dyDescent="0.2">
      <c r="C417" s="2" t="s">
        <v>13</v>
      </c>
      <c r="H417" s="14">
        <v>-2000</v>
      </c>
    </row>
    <row r="418" spans="2:11" x14ac:dyDescent="0.2">
      <c r="B418" s="12">
        <v>45997</v>
      </c>
      <c r="C418" s="2" t="s">
        <v>215</v>
      </c>
      <c r="H418" s="14">
        <v>-170</v>
      </c>
      <c r="K418" s="5"/>
    </row>
    <row r="419" spans="2:11" x14ac:dyDescent="0.2">
      <c r="C419" s="2" t="s">
        <v>39</v>
      </c>
      <c r="H419" s="14">
        <v>0.85</v>
      </c>
    </row>
    <row r="420" spans="2:11" x14ac:dyDescent="0.2">
      <c r="B420" s="12">
        <v>45999</v>
      </c>
      <c r="C420" s="2" t="s">
        <v>214</v>
      </c>
      <c r="H420" s="14">
        <v>-75.28</v>
      </c>
      <c r="K420" s="5"/>
    </row>
    <row r="421" spans="2:11" x14ac:dyDescent="0.2">
      <c r="C421" s="2" t="s">
        <v>39</v>
      </c>
      <c r="H421" s="14">
        <v>0.38</v>
      </c>
    </row>
    <row r="422" spans="2:11" x14ac:dyDescent="0.2">
      <c r="C422" s="2" t="s">
        <v>214</v>
      </c>
      <c r="H422" s="14">
        <v>-61.21</v>
      </c>
      <c r="K422" s="5"/>
    </row>
    <row r="423" spans="2:11" x14ac:dyDescent="0.2">
      <c r="C423" s="2" t="s">
        <v>39</v>
      </c>
      <c r="H423" s="14">
        <v>0.31</v>
      </c>
    </row>
    <row r="424" spans="2:11" x14ac:dyDescent="0.2">
      <c r="B424" s="12">
        <v>46001</v>
      </c>
      <c r="C424" s="2" t="s">
        <v>112</v>
      </c>
      <c r="H424" s="14">
        <v>-38</v>
      </c>
      <c r="K424" s="5"/>
    </row>
    <row r="425" spans="2:11" x14ac:dyDescent="0.2">
      <c r="C425" s="2" t="s">
        <v>39</v>
      </c>
      <c r="H425" s="14">
        <v>0.19</v>
      </c>
    </row>
    <row r="426" spans="2:11" x14ac:dyDescent="0.2">
      <c r="C426" s="2" t="s">
        <v>13</v>
      </c>
      <c r="H426" s="14">
        <v>-1600</v>
      </c>
    </row>
    <row r="427" spans="2:11" x14ac:dyDescent="0.2">
      <c r="C427" s="2" t="s">
        <v>13</v>
      </c>
      <c r="H427" s="14">
        <v>-2000</v>
      </c>
    </row>
    <row r="428" spans="2:11" x14ac:dyDescent="0.2">
      <c r="B428" s="12">
        <v>46003</v>
      </c>
      <c r="C428" s="2" t="s">
        <v>214</v>
      </c>
      <c r="H428" s="14">
        <v>-51.81</v>
      </c>
      <c r="K428" s="5"/>
    </row>
    <row r="429" spans="2:11" x14ac:dyDescent="0.2">
      <c r="C429" s="2" t="s">
        <v>39</v>
      </c>
      <c r="H429" s="14">
        <v>0.26</v>
      </c>
    </row>
    <row r="430" spans="2:11" x14ac:dyDescent="0.2">
      <c r="B430" s="12">
        <v>46007</v>
      </c>
      <c r="C430" s="2" t="s">
        <v>216</v>
      </c>
      <c r="H430" s="14">
        <v>-188</v>
      </c>
      <c r="K430" s="5"/>
    </row>
    <row r="431" spans="2:11" x14ac:dyDescent="0.2">
      <c r="C431" s="2" t="s">
        <v>39</v>
      </c>
      <c r="H431" s="14">
        <v>0.94</v>
      </c>
    </row>
    <row r="432" spans="2:11" x14ac:dyDescent="0.2">
      <c r="C432" s="2" t="s">
        <v>217</v>
      </c>
      <c r="H432" s="14">
        <v>-661</v>
      </c>
      <c r="K432" s="5"/>
    </row>
    <row r="433" spans="2:11" x14ac:dyDescent="0.2">
      <c r="C433" s="2" t="s">
        <v>39</v>
      </c>
      <c r="H433" s="14">
        <v>3.31</v>
      </c>
    </row>
    <row r="434" spans="2:11" x14ac:dyDescent="0.2">
      <c r="B434" s="12">
        <v>46009</v>
      </c>
      <c r="C434" s="2" t="s">
        <v>13</v>
      </c>
      <c r="H434" s="14">
        <v>-645</v>
      </c>
    </row>
    <row r="435" spans="2:11" x14ac:dyDescent="0.2">
      <c r="C435" s="2" t="s">
        <v>13</v>
      </c>
      <c r="H435" s="14">
        <v>-2000</v>
      </c>
    </row>
    <row r="436" spans="2:11" x14ac:dyDescent="0.2">
      <c r="B436" s="12">
        <v>46010</v>
      </c>
      <c r="C436" s="2" t="s">
        <v>218</v>
      </c>
      <c r="H436" s="14">
        <v>-103.49</v>
      </c>
      <c r="K436" s="5"/>
    </row>
    <row r="437" spans="2:11" x14ac:dyDescent="0.2">
      <c r="C437" s="2" t="s">
        <v>39</v>
      </c>
      <c r="H437" s="14">
        <v>0.52</v>
      </c>
    </row>
    <row r="438" spans="2:11" x14ac:dyDescent="0.2">
      <c r="B438" s="12">
        <v>46018</v>
      </c>
      <c r="C438" s="2" t="s">
        <v>12</v>
      </c>
      <c r="E438" s="38">
        <v>0.1</v>
      </c>
      <c r="H438" s="14">
        <v>0.12</v>
      </c>
    </row>
    <row r="439" spans="2:11" x14ac:dyDescent="0.2">
      <c r="C439" s="2" t="s">
        <v>220</v>
      </c>
      <c r="H439" s="14">
        <v>-17.32</v>
      </c>
    </row>
    <row r="440" spans="2:11" x14ac:dyDescent="0.2">
      <c r="C440" s="2" t="s">
        <v>221</v>
      </c>
      <c r="H440" s="14">
        <v>0.1</v>
      </c>
    </row>
    <row r="441" spans="2:11" x14ac:dyDescent="0.2">
      <c r="C441" s="2" t="s">
        <v>222</v>
      </c>
      <c r="H441" s="14">
        <v>-36.26</v>
      </c>
    </row>
    <row r="442" spans="2:11" x14ac:dyDescent="0.2">
      <c r="C442" s="2" t="s">
        <v>223</v>
      </c>
      <c r="H442" s="14">
        <v>0.16</v>
      </c>
    </row>
    <row r="443" spans="2:11" x14ac:dyDescent="0.2">
      <c r="B443" s="12">
        <v>46021</v>
      </c>
      <c r="C443" s="2" t="s">
        <v>13</v>
      </c>
      <c r="H443" s="14">
        <v>-38000</v>
      </c>
    </row>
    <row r="444" spans="2:11" x14ac:dyDescent="0.2">
      <c r="E444" s="43">
        <f>SUM(E413:E443)</f>
        <v>2000.4199999999996</v>
      </c>
      <c r="F444" s="43">
        <f>SUM(F413:F443)</f>
        <v>3.0300000000000002</v>
      </c>
      <c r="G444" s="43">
        <f>SUM(G413:G443)</f>
        <v>1477</v>
      </c>
      <c r="H444" s="43">
        <f>SUM(H413:H443)</f>
        <v>34757.764749999871</v>
      </c>
      <c r="I444" s="43">
        <f>SUM(I413:I443)</f>
        <v>3.650000000000079</v>
      </c>
    </row>
  </sheetData>
  <printOptions horizontalCentered="1"/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CB10-3870-4836-BA0B-10E398577271}">
  <sheetPr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defaultColWidth="9.140625" defaultRowHeight="12.75" x14ac:dyDescent="0.2"/>
  <cols>
    <col min="1" max="1" width="8.140625" style="12" customWidth="1"/>
    <col min="2" max="2" width="8" style="12" customWidth="1"/>
    <col min="3" max="3" width="39" style="2" bestFit="1" customWidth="1"/>
    <col min="4" max="4" width="7.42578125" style="1" customWidth="1"/>
    <col min="5" max="5" width="9.140625" style="38" bestFit="1" customWidth="1"/>
    <col min="6" max="6" width="8.140625" style="38" bestFit="1" customWidth="1"/>
    <col min="7" max="7" width="9" style="38" bestFit="1" customWidth="1"/>
    <col min="8" max="8" width="9.85546875" style="14" bestFit="1" customWidth="1"/>
    <col min="9" max="9" width="5.28515625" style="14" bestFit="1" customWidth="1"/>
    <col min="10" max="16384" width="9.140625" style="2"/>
  </cols>
  <sheetData>
    <row r="1" spans="1:9" ht="15.75" x14ac:dyDescent="0.25">
      <c r="A1" s="8" t="s">
        <v>11</v>
      </c>
      <c r="B1" s="9"/>
      <c r="C1" s="3"/>
      <c r="D1" s="4"/>
      <c r="E1" s="18">
        <f t="shared" ref="E1:G1" si="0">+E132</f>
        <v>961.59999999999991</v>
      </c>
      <c r="F1" s="18">
        <f t="shared" si="0"/>
        <v>2000.2199999999998</v>
      </c>
      <c r="G1" s="18">
        <f t="shared" si="0"/>
        <v>73969</v>
      </c>
      <c r="H1" s="18">
        <f>+H132</f>
        <v>103155.91999999993</v>
      </c>
      <c r="I1" s="40"/>
    </row>
    <row r="2" spans="1:9" ht="15.75" x14ac:dyDescent="0.25">
      <c r="A2" s="8"/>
      <c r="B2" s="9"/>
      <c r="C2" s="3"/>
      <c r="D2" s="4"/>
      <c r="E2" s="78" t="s">
        <v>9</v>
      </c>
      <c r="F2" s="78"/>
      <c r="G2" s="78"/>
      <c r="H2" s="78"/>
      <c r="I2" s="40"/>
    </row>
    <row r="3" spans="1:9" x14ac:dyDescent="0.2">
      <c r="A3" s="9"/>
      <c r="B3" s="9"/>
      <c r="C3" s="3"/>
      <c r="D3" s="4"/>
      <c r="E3" s="78" t="s">
        <v>14</v>
      </c>
      <c r="F3" s="78"/>
      <c r="G3" s="78"/>
      <c r="H3" s="78"/>
      <c r="I3" s="40"/>
    </row>
    <row r="4" spans="1:9" s="7" customFormat="1" ht="15" x14ac:dyDescent="0.35">
      <c r="A4" s="10" t="s">
        <v>0</v>
      </c>
      <c r="B4" s="10" t="s">
        <v>1</v>
      </c>
      <c r="C4" s="6" t="s">
        <v>2</v>
      </c>
      <c r="D4" s="6" t="s">
        <v>5</v>
      </c>
      <c r="E4" s="37" t="s">
        <v>15</v>
      </c>
      <c r="F4" s="37" t="s">
        <v>31</v>
      </c>
      <c r="G4" s="37" t="s">
        <v>22</v>
      </c>
      <c r="H4" s="37" t="s">
        <v>3</v>
      </c>
      <c r="I4" s="37"/>
    </row>
    <row r="5" spans="1:9" s="13" customFormat="1" x14ac:dyDescent="0.2">
      <c r="A5" s="12"/>
      <c r="B5" s="11">
        <v>45292</v>
      </c>
      <c r="C5" s="2" t="s">
        <v>4</v>
      </c>
      <c r="D5" s="1"/>
      <c r="E5" s="38">
        <f>+'23'!E90</f>
        <v>961.59999999999991</v>
      </c>
      <c r="F5" s="38">
        <f>+'23'!F90</f>
        <v>2000.02</v>
      </c>
      <c r="G5" s="38">
        <f>+'23'!G90</f>
        <v>79042</v>
      </c>
      <c r="H5" s="38">
        <f>+'23'!H90</f>
        <v>276558.74</v>
      </c>
      <c r="I5" s="38"/>
    </row>
    <row r="6" spans="1:9" x14ac:dyDescent="0.2">
      <c r="B6" s="12">
        <v>45296</v>
      </c>
      <c r="C6" s="2" t="s">
        <v>36</v>
      </c>
      <c r="H6" s="14">
        <f>ROUND(-2.7*9.97777,2)</f>
        <v>-26.94</v>
      </c>
    </row>
    <row r="7" spans="1:9" x14ac:dyDescent="0.2">
      <c r="B7" s="12">
        <f>+B6</f>
        <v>45296</v>
      </c>
      <c r="C7" s="2" t="s">
        <v>23</v>
      </c>
      <c r="H7" s="55">
        <f>ROUND(-H6*0.4%,2)-0.01</f>
        <v>0.1</v>
      </c>
      <c r="I7" s="38"/>
    </row>
    <row r="8" spans="1:9" x14ac:dyDescent="0.2">
      <c r="B8" s="12">
        <v>45297</v>
      </c>
      <c r="C8" s="2" t="s">
        <v>37</v>
      </c>
      <c r="H8" s="14">
        <f>ROUND(-2.8*10.0428,2)</f>
        <v>-28.12</v>
      </c>
    </row>
    <row r="9" spans="1:9" x14ac:dyDescent="0.2">
      <c r="B9" s="12">
        <f>+B8</f>
        <v>45297</v>
      </c>
      <c r="C9" s="2" t="s">
        <v>23</v>
      </c>
      <c r="H9" s="55">
        <f>ROUND(-H8*0.4%,2)-0.01</f>
        <v>0.1</v>
      </c>
      <c r="I9" s="38"/>
    </row>
    <row r="10" spans="1:9" x14ac:dyDescent="0.2">
      <c r="B10" s="12">
        <v>45297</v>
      </c>
      <c r="C10" s="2" t="s">
        <v>38</v>
      </c>
      <c r="H10" s="14">
        <v>-33</v>
      </c>
    </row>
    <row r="11" spans="1:9" x14ac:dyDescent="0.2">
      <c r="B11" s="12">
        <f>+B10</f>
        <v>45297</v>
      </c>
      <c r="C11" s="2" t="s">
        <v>39</v>
      </c>
      <c r="H11" s="56">
        <f>ROUND(-H10*0.5%,2)</f>
        <v>0.17</v>
      </c>
      <c r="I11" s="38"/>
    </row>
    <row r="12" spans="1:9" x14ac:dyDescent="0.2">
      <c r="B12" s="12">
        <v>45299</v>
      </c>
      <c r="C12" s="2" t="s">
        <v>13</v>
      </c>
      <c r="H12" s="14">
        <v>-16480</v>
      </c>
    </row>
    <row r="13" spans="1:9" x14ac:dyDescent="0.2">
      <c r="B13" s="12">
        <v>45299</v>
      </c>
      <c r="C13" s="2" t="s">
        <v>13</v>
      </c>
      <c r="H13" s="14">
        <v>-2000</v>
      </c>
    </row>
    <row r="14" spans="1:9" x14ac:dyDescent="0.2">
      <c r="B14" s="12">
        <v>45302</v>
      </c>
      <c r="C14" s="2" t="s">
        <v>40</v>
      </c>
      <c r="H14" s="14">
        <v>-1300</v>
      </c>
    </row>
    <row r="15" spans="1:9" x14ac:dyDescent="0.2">
      <c r="B15" s="12">
        <f>+B14</f>
        <v>45302</v>
      </c>
      <c r="C15" s="2" t="s">
        <v>39</v>
      </c>
      <c r="H15" s="56">
        <f>ROUND(-H14*0.5%,2)</f>
        <v>6.5</v>
      </c>
      <c r="I15" s="38"/>
    </row>
    <row r="16" spans="1:9" x14ac:dyDescent="0.2">
      <c r="B16" s="12">
        <v>45302</v>
      </c>
      <c r="C16" s="2" t="s">
        <v>13</v>
      </c>
      <c r="H16" s="14">
        <v>-3800</v>
      </c>
    </row>
    <row r="17" spans="2:9" x14ac:dyDescent="0.2">
      <c r="B17" s="12">
        <v>45302</v>
      </c>
      <c r="C17" s="2" t="s">
        <v>13</v>
      </c>
      <c r="H17" s="14">
        <v>-2000</v>
      </c>
    </row>
    <row r="18" spans="2:9" x14ac:dyDescent="0.2">
      <c r="B18" s="12">
        <v>45303</v>
      </c>
      <c r="C18" s="2" t="s">
        <v>41</v>
      </c>
      <c r="H18" s="14">
        <v>-156</v>
      </c>
    </row>
    <row r="19" spans="2:9" x14ac:dyDescent="0.2">
      <c r="B19" s="12">
        <f>+B18</f>
        <v>45303</v>
      </c>
      <c r="C19" s="2" t="s">
        <v>39</v>
      </c>
      <c r="H19" s="56">
        <f>ROUND(-H18*0.5%,2)</f>
        <v>0.78</v>
      </c>
      <c r="I19" s="38"/>
    </row>
    <row r="20" spans="2:9" x14ac:dyDescent="0.2">
      <c r="B20" s="12">
        <v>45303</v>
      </c>
      <c r="C20" s="2" t="s">
        <v>41</v>
      </c>
      <c r="H20" s="14">
        <v>-148</v>
      </c>
    </row>
    <row r="21" spans="2:9" x14ac:dyDescent="0.2">
      <c r="B21" s="12">
        <f>+B20</f>
        <v>45303</v>
      </c>
      <c r="C21" s="2" t="s">
        <v>39</v>
      </c>
      <c r="H21" s="56">
        <f>ROUND(-H20*0.5%,2)</f>
        <v>0.74</v>
      </c>
      <c r="I21" s="38"/>
    </row>
    <row r="22" spans="2:9" x14ac:dyDescent="0.2">
      <c r="B22" s="12">
        <v>45303</v>
      </c>
      <c r="C22" s="2" t="s">
        <v>42</v>
      </c>
      <c r="H22" s="14">
        <f>ROUND(-299*0.2519,2)</f>
        <v>-75.319999999999993</v>
      </c>
    </row>
    <row r="23" spans="2:9" x14ac:dyDescent="0.2">
      <c r="B23" s="12">
        <f>+B22</f>
        <v>45303</v>
      </c>
      <c r="C23" s="2" t="s">
        <v>39</v>
      </c>
      <c r="H23" s="56">
        <f>ROUND(-H22*0.5%,2)</f>
        <v>0.38</v>
      </c>
      <c r="I23" s="38"/>
    </row>
    <row r="24" spans="2:9" x14ac:dyDescent="0.2">
      <c r="B24" s="12">
        <v>45311</v>
      </c>
      <c r="C24" s="2" t="s">
        <v>13</v>
      </c>
      <c r="H24" s="56">
        <v>-6530</v>
      </c>
      <c r="I24" s="38"/>
    </row>
    <row r="25" spans="2:9" x14ac:dyDescent="0.2">
      <c r="B25" s="12">
        <v>45311</v>
      </c>
      <c r="C25" s="2" t="s">
        <v>13</v>
      </c>
      <c r="H25" s="56">
        <v>-2000</v>
      </c>
      <c r="I25" s="38"/>
    </row>
    <row r="26" spans="2:9" x14ac:dyDescent="0.2">
      <c r="B26" s="12">
        <v>45313</v>
      </c>
      <c r="C26" s="2" t="s">
        <v>13</v>
      </c>
      <c r="H26" s="56">
        <v>-2200</v>
      </c>
      <c r="I26" s="38"/>
    </row>
    <row r="27" spans="2:9" x14ac:dyDescent="0.2">
      <c r="B27" s="12">
        <v>45313</v>
      </c>
      <c r="C27" s="2" t="s">
        <v>13</v>
      </c>
      <c r="H27" s="56">
        <v>-2000</v>
      </c>
      <c r="I27" s="38"/>
    </row>
    <row r="28" spans="2:9" x14ac:dyDescent="0.2">
      <c r="B28" s="12">
        <v>45318</v>
      </c>
      <c r="C28" s="2" t="s">
        <v>12</v>
      </c>
      <c r="H28" s="56">
        <v>184.49</v>
      </c>
      <c r="I28" s="38"/>
    </row>
    <row r="29" spans="2:9" x14ac:dyDescent="0.2">
      <c r="E29" s="57">
        <f t="shared" ref="E29:G29" si="1">SUM(E5:E28)</f>
        <v>961.59999999999991</v>
      </c>
      <c r="F29" s="57">
        <f t="shared" si="1"/>
        <v>2000.02</v>
      </c>
      <c r="G29" s="57">
        <f t="shared" si="1"/>
        <v>79042</v>
      </c>
      <c r="H29" s="57">
        <f>SUM(H5:H28)</f>
        <v>237974.61999999991</v>
      </c>
      <c r="I29" s="38"/>
    </row>
    <row r="30" spans="2:9" x14ac:dyDescent="0.2">
      <c r="B30" s="12">
        <v>45327</v>
      </c>
      <c r="C30" s="2" t="s">
        <v>13</v>
      </c>
      <c r="H30" s="56">
        <v>-4300</v>
      </c>
      <c r="I30" s="38"/>
    </row>
    <row r="31" spans="2:9" x14ac:dyDescent="0.2">
      <c r="B31" s="12">
        <v>45327</v>
      </c>
      <c r="C31" s="2" t="s">
        <v>13</v>
      </c>
      <c r="H31" s="56">
        <v>-2000</v>
      </c>
      <c r="I31" s="38"/>
    </row>
    <row r="32" spans="2:9" x14ac:dyDescent="0.2">
      <c r="B32" s="12">
        <v>45327</v>
      </c>
      <c r="C32" s="2" t="s">
        <v>13</v>
      </c>
      <c r="H32" s="56">
        <v>-1600</v>
      </c>
      <c r="I32" s="38"/>
    </row>
    <row r="33" spans="2:9" x14ac:dyDescent="0.2">
      <c r="B33" s="12">
        <v>45327</v>
      </c>
      <c r="C33" s="2" t="s">
        <v>13</v>
      </c>
      <c r="H33" s="56">
        <v>-2000</v>
      </c>
      <c r="I33" s="38"/>
    </row>
    <row r="34" spans="2:9" x14ac:dyDescent="0.2">
      <c r="B34" s="12">
        <v>45328</v>
      </c>
      <c r="C34" s="2" t="s">
        <v>24</v>
      </c>
      <c r="H34" s="14">
        <v>-33</v>
      </c>
    </row>
    <row r="35" spans="2:9" x14ac:dyDescent="0.2">
      <c r="B35" s="12">
        <f>+B34</f>
        <v>45328</v>
      </c>
      <c r="C35" s="2" t="s">
        <v>39</v>
      </c>
      <c r="H35" s="56">
        <f>ROUND(-H34*0.5%,2)</f>
        <v>0.17</v>
      </c>
      <c r="I35" s="38"/>
    </row>
    <row r="36" spans="2:9" x14ac:dyDescent="0.2">
      <c r="B36" s="12">
        <v>45338</v>
      </c>
      <c r="C36" s="2" t="s">
        <v>43</v>
      </c>
      <c r="H36" s="14">
        <f>ROUND(-299*0.24946,2)</f>
        <v>-74.59</v>
      </c>
    </row>
    <row r="37" spans="2:9" x14ac:dyDescent="0.2">
      <c r="B37" s="12">
        <f>+B36</f>
        <v>45338</v>
      </c>
      <c r="C37" s="2" t="s">
        <v>39</v>
      </c>
      <c r="H37" s="56">
        <f>ROUND(-H36*0.5%,2)</f>
        <v>0.37</v>
      </c>
      <c r="I37" s="38"/>
    </row>
    <row r="38" spans="2:9" x14ac:dyDescent="0.2">
      <c r="B38" s="12">
        <v>45350</v>
      </c>
      <c r="C38" s="2" t="s">
        <v>12</v>
      </c>
      <c r="H38" s="56">
        <v>176.61</v>
      </c>
      <c r="I38" s="38"/>
    </row>
    <row r="39" spans="2:9" x14ac:dyDescent="0.2">
      <c r="E39" s="57">
        <f>SUM(E29:E38)</f>
        <v>961.59999999999991</v>
      </c>
      <c r="F39" s="57">
        <f t="shared" ref="F39:H39" si="2">SUM(F29:F38)</f>
        <v>2000.02</v>
      </c>
      <c r="G39" s="57">
        <f t="shared" si="2"/>
        <v>79042</v>
      </c>
      <c r="H39" s="57">
        <f t="shared" si="2"/>
        <v>228144.17999999991</v>
      </c>
      <c r="I39" s="38"/>
    </row>
    <row r="40" spans="2:9" x14ac:dyDescent="0.2">
      <c r="B40" s="12">
        <v>45362</v>
      </c>
      <c r="C40" s="2" t="s">
        <v>43</v>
      </c>
      <c r="H40" s="14">
        <f>ROUND(-299*0.24946,2)</f>
        <v>-74.59</v>
      </c>
      <c r="I40" s="14" t="s">
        <v>81</v>
      </c>
    </row>
    <row r="41" spans="2:9" x14ac:dyDescent="0.2">
      <c r="B41" s="12">
        <f>+B40</f>
        <v>45362</v>
      </c>
      <c r="C41" s="2" t="s">
        <v>39</v>
      </c>
      <c r="H41" s="56">
        <f>ROUND(-H40*0.5%,2)</f>
        <v>0.37</v>
      </c>
      <c r="I41" s="38"/>
    </row>
    <row r="42" spans="2:9" x14ac:dyDescent="0.2">
      <c r="B42" s="12">
        <v>45370</v>
      </c>
      <c r="C42" s="2" t="s">
        <v>13</v>
      </c>
      <c r="H42" s="56">
        <v>-615</v>
      </c>
      <c r="I42" s="38"/>
    </row>
    <row r="43" spans="2:9" x14ac:dyDescent="0.2">
      <c r="B43" s="12">
        <v>45370</v>
      </c>
      <c r="C43" s="2" t="s">
        <v>13</v>
      </c>
      <c r="H43" s="56">
        <v>-2000</v>
      </c>
      <c r="I43" s="38"/>
    </row>
    <row r="44" spans="2:9" x14ac:dyDescent="0.2">
      <c r="B44" s="12">
        <v>45379</v>
      </c>
      <c r="C44" s="2" t="s">
        <v>12</v>
      </c>
      <c r="H44" s="56">
        <v>157.81</v>
      </c>
      <c r="I44" s="38"/>
    </row>
    <row r="45" spans="2:9" x14ac:dyDescent="0.2">
      <c r="E45" s="57">
        <f>SUM(E39:E44)</f>
        <v>961.59999999999991</v>
      </c>
      <c r="F45" s="57">
        <f t="shared" ref="F45:H45" si="3">SUM(F39:F44)</f>
        <v>2000.02</v>
      </c>
      <c r="G45" s="57">
        <f t="shared" si="3"/>
        <v>79042</v>
      </c>
      <c r="H45" s="57">
        <f t="shared" si="3"/>
        <v>225612.7699999999</v>
      </c>
      <c r="I45" s="38"/>
    </row>
    <row r="46" spans="2:9" x14ac:dyDescent="0.2">
      <c r="B46" s="12">
        <v>45409</v>
      </c>
      <c r="C46" s="2" t="s">
        <v>12</v>
      </c>
      <c r="H46" s="56">
        <v>162.06</v>
      </c>
      <c r="I46" s="38"/>
    </row>
    <row r="47" spans="2:9" x14ac:dyDescent="0.2">
      <c r="B47" s="12">
        <v>45440</v>
      </c>
      <c r="C47" s="2" t="s">
        <v>12</v>
      </c>
      <c r="H47" s="56">
        <v>167.58</v>
      </c>
      <c r="I47" s="38"/>
    </row>
    <row r="48" spans="2:9" x14ac:dyDescent="0.2">
      <c r="B48" s="12">
        <v>45471</v>
      </c>
      <c r="C48" s="2" t="s">
        <v>12</v>
      </c>
      <c r="F48" s="38">
        <v>0.1</v>
      </c>
      <c r="H48" s="56">
        <v>167.7</v>
      </c>
      <c r="I48" s="38"/>
    </row>
    <row r="49" spans="2:12" x14ac:dyDescent="0.2">
      <c r="B49" s="61">
        <v>45485</v>
      </c>
      <c r="C49" s="62" t="s">
        <v>13</v>
      </c>
      <c r="D49" s="63"/>
      <c r="E49" s="64"/>
      <c r="F49" s="64"/>
      <c r="G49" s="64"/>
      <c r="H49" s="65">
        <v>-2000</v>
      </c>
      <c r="I49" s="38"/>
    </row>
    <row r="50" spans="2:12" x14ac:dyDescent="0.2">
      <c r="B50" s="61">
        <f>B49</f>
        <v>45485</v>
      </c>
      <c r="C50" s="62" t="s">
        <v>13</v>
      </c>
      <c r="D50" s="63"/>
      <c r="E50" s="64"/>
      <c r="F50" s="64"/>
      <c r="G50" s="64"/>
      <c r="H50" s="65">
        <v>-2000</v>
      </c>
      <c r="I50" s="38"/>
    </row>
    <row r="51" spans="2:12" x14ac:dyDescent="0.2">
      <c r="B51" s="61">
        <v>45488</v>
      </c>
      <c r="C51" s="62" t="s">
        <v>13</v>
      </c>
      <c r="D51" s="63"/>
      <c r="E51" s="64"/>
      <c r="F51" s="64"/>
      <c r="G51" s="64"/>
      <c r="H51" s="65">
        <v>-3000</v>
      </c>
      <c r="I51" s="38"/>
    </row>
    <row r="52" spans="2:12" x14ac:dyDescent="0.2">
      <c r="B52" s="61">
        <f>B51</f>
        <v>45488</v>
      </c>
      <c r="C52" s="62" t="s">
        <v>13</v>
      </c>
      <c r="D52" s="63"/>
      <c r="E52" s="64"/>
      <c r="F52" s="64"/>
      <c r="G52" s="64"/>
      <c r="H52" s="65">
        <v>-2000</v>
      </c>
      <c r="I52" s="38"/>
    </row>
    <row r="53" spans="2:12" x14ac:dyDescent="0.2">
      <c r="B53" s="61">
        <v>45496</v>
      </c>
      <c r="C53" s="62" t="s">
        <v>13</v>
      </c>
      <c r="D53" s="63"/>
      <c r="E53" s="64"/>
      <c r="F53" s="64"/>
      <c r="G53" s="64"/>
      <c r="H53" s="65">
        <v>-750</v>
      </c>
      <c r="I53" s="38"/>
    </row>
    <row r="54" spans="2:12" x14ac:dyDescent="0.2">
      <c r="B54" s="61">
        <v>45496</v>
      </c>
      <c r="C54" s="62" t="s">
        <v>13</v>
      </c>
      <c r="D54" s="63"/>
      <c r="E54" s="64"/>
      <c r="F54" s="64"/>
      <c r="G54" s="64"/>
      <c r="H54" s="65">
        <v>-2000</v>
      </c>
      <c r="I54" s="38"/>
    </row>
    <row r="55" spans="2:12" x14ac:dyDescent="0.2">
      <c r="B55" s="61">
        <v>45496</v>
      </c>
      <c r="C55" s="62" t="s">
        <v>13</v>
      </c>
      <c r="D55" s="63"/>
      <c r="E55" s="64"/>
      <c r="F55" s="64"/>
      <c r="G55" s="64"/>
      <c r="H55" s="65">
        <v>-2000</v>
      </c>
      <c r="I55" s="38"/>
    </row>
    <row r="56" spans="2:12" x14ac:dyDescent="0.2">
      <c r="B56" s="12">
        <v>45500</v>
      </c>
      <c r="C56" s="2" t="s">
        <v>12</v>
      </c>
      <c r="H56" s="56">
        <v>153.66999999999999</v>
      </c>
      <c r="I56" s="38"/>
    </row>
    <row r="57" spans="2:12" x14ac:dyDescent="0.2">
      <c r="B57" s="61">
        <v>45502</v>
      </c>
      <c r="C57" s="62" t="s">
        <v>13</v>
      </c>
      <c r="D57" s="63"/>
      <c r="E57" s="64"/>
      <c r="F57" s="64"/>
      <c r="G57" s="64"/>
      <c r="H57" s="65">
        <v>-2100</v>
      </c>
      <c r="I57" s="38"/>
    </row>
    <row r="58" spans="2:12" x14ac:dyDescent="0.2">
      <c r="B58" s="61">
        <v>45502</v>
      </c>
      <c r="C58" s="62" t="s">
        <v>13</v>
      </c>
      <c r="D58" s="63"/>
      <c r="E58" s="64"/>
      <c r="F58" s="64"/>
      <c r="G58" s="64"/>
      <c r="H58" s="65">
        <v>-2000</v>
      </c>
      <c r="I58" s="38"/>
    </row>
    <row r="59" spans="2:12" x14ac:dyDescent="0.2">
      <c r="B59" s="61">
        <f>+B60</f>
        <v>45502</v>
      </c>
      <c r="C59" s="62" t="s">
        <v>24</v>
      </c>
      <c r="D59" s="63"/>
      <c r="E59" s="64"/>
      <c r="F59" s="64"/>
      <c r="G59" s="64"/>
      <c r="H59" s="66">
        <v>-198</v>
      </c>
    </row>
    <row r="60" spans="2:12" x14ac:dyDescent="0.2">
      <c r="B60" s="61">
        <v>45502</v>
      </c>
      <c r="C60" s="62" t="s">
        <v>39</v>
      </c>
      <c r="D60" s="63"/>
      <c r="E60" s="64"/>
      <c r="F60" s="64"/>
      <c r="G60" s="64"/>
      <c r="H60" s="65">
        <f>ROUND(-H59*0.5%,2)</f>
        <v>0.99</v>
      </c>
      <c r="I60" s="38"/>
    </row>
    <row r="61" spans="2:12" x14ac:dyDescent="0.2">
      <c r="E61" s="43">
        <f>SUM(E45:E60)</f>
        <v>961.59999999999991</v>
      </c>
      <c r="F61" s="43">
        <f>SUM(F45:F60)</f>
        <v>2000.12</v>
      </c>
      <c r="G61" s="43">
        <f>SUM(G45:G60)</f>
        <v>79042</v>
      </c>
      <c r="H61" s="43">
        <f>SUM(H45:H60)</f>
        <v>208216.7699999999</v>
      </c>
      <c r="I61" s="38"/>
    </row>
    <row r="62" spans="2:12" x14ac:dyDescent="0.2">
      <c r="B62" s="12">
        <v>45507</v>
      </c>
      <c r="C62" s="2" t="s">
        <v>44</v>
      </c>
      <c r="H62" s="14">
        <f>ROUND(-5.99*5.13689,2)</f>
        <v>-30.77</v>
      </c>
      <c r="J62" s="2" t="s">
        <v>250</v>
      </c>
      <c r="K62" s="74" t="s">
        <v>254</v>
      </c>
    </row>
    <row r="63" spans="2:12" x14ac:dyDescent="0.2">
      <c r="B63" s="12">
        <f>+B62</f>
        <v>45507</v>
      </c>
      <c r="C63" s="2" t="s">
        <v>39</v>
      </c>
      <c r="H63" s="56">
        <f>ROUND(-H62*0.5%,2)</f>
        <v>0.15</v>
      </c>
      <c r="I63" s="38"/>
      <c r="K63" s="2" t="str">
        <f>J73</f>
        <v>misc</v>
      </c>
      <c r="L63" s="41">
        <f>-SUM(H73:H74)-SUM(H77:H80)</f>
        <v>8300</v>
      </c>
    </row>
    <row r="64" spans="2:12" x14ac:dyDescent="0.2">
      <c r="B64" s="12">
        <v>45509</v>
      </c>
      <c r="C64" s="2" t="s">
        <v>45</v>
      </c>
      <c r="H64" s="14">
        <f>ROUND(-29.95*5.13722,2)</f>
        <v>-153.86000000000001</v>
      </c>
      <c r="J64" s="2" t="s">
        <v>251</v>
      </c>
      <c r="K64" s="2" t="s">
        <v>255</v>
      </c>
      <c r="L64" s="45">
        <f>-ROUND(SUM(G81:G82)*A81/100,2)-ROUND(SUM(G83:G84)*A83/100,2)</f>
        <v>274.13</v>
      </c>
    </row>
    <row r="65" spans="2:14" x14ac:dyDescent="0.2">
      <c r="B65" s="12">
        <f>+B64</f>
        <v>45509</v>
      </c>
      <c r="C65" s="2" t="s">
        <v>39</v>
      </c>
      <c r="H65" s="56">
        <f>ROUND(-H64*0.5%,2)</f>
        <v>0.77</v>
      </c>
      <c r="I65" s="38"/>
      <c r="L65" s="75">
        <f>SUM(L63:L64)</f>
        <v>8574.1299999999992</v>
      </c>
    </row>
    <row r="66" spans="2:14" x14ac:dyDescent="0.2">
      <c r="B66" s="12">
        <v>45509</v>
      </c>
      <c r="C66" s="2" t="s">
        <v>46</v>
      </c>
      <c r="H66" s="14">
        <f>ROUND(-130*5.13707,2)</f>
        <v>-667.82</v>
      </c>
      <c r="J66" s="2" t="s">
        <v>252</v>
      </c>
    </row>
    <row r="67" spans="2:14" x14ac:dyDescent="0.2">
      <c r="B67" s="12">
        <f>+B66</f>
        <v>45509</v>
      </c>
      <c r="C67" s="2" t="s">
        <v>39</v>
      </c>
      <c r="H67" s="56">
        <f>ROUND(-H66*0.5%,2)</f>
        <v>3.34</v>
      </c>
      <c r="I67" s="38"/>
      <c r="K67" s="74" t="s">
        <v>256</v>
      </c>
      <c r="M67" s="2" t="s">
        <v>258</v>
      </c>
    </row>
    <row r="68" spans="2:14" x14ac:dyDescent="0.2">
      <c r="B68" s="12">
        <v>45509</v>
      </c>
      <c r="C68" s="2" t="s">
        <v>78</v>
      </c>
      <c r="H68" s="14">
        <f>ROUND(-2.24*5.08928,2)</f>
        <v>-11.4</v>
      </c>
      <c r="J68" s="2" t="s">
        <v>250</v>
      </c>
      <c r="K68" s="2" t="str">
        <f>J62</f>
        <v>travelling</v>
      </c>
      <c r="L68" s="5">
        <f>-(SUM(H62:H63)+SUM(H68:H69)+SUM(H75:H76))</f>
        <v>65.14</v>
      </c>
      <c r="M68" s="45">
        <f>5.99+2.24+4.48</f>
        <v>12.71</v>
      </c>
    </row>
    <row r="69" spans="2:14" x14ac:dyDescent="0.2">
      <c r="B69" s="12">
        <f>+B68</f>
        <v>45509</v>
      </c>
      <c r="C69" s="2" t="s">
        <v>39</v>
      </c>
      <c r="H69" s="55">
        <f>ROUND(-H68*0.5%,2)-0.01</f>
        <v>4.9999999999999996E-2</v>
      </c>
      <c r="I69" s="38"/>
      <c r="K69" s="2" t="str">
        <f>J64</f>
        <v>food</v>
      </c>
      <c r="L69" s="5">
        <f>-SUM(H64:H65)</f>
        <v>153.09</v>
      </c>
      <c r="M69" s="45">
        <f>29.95</f>
        <v>29.95</v>
      </c>
    </row>
    <row r="70" spans="2:14" x14ac:dyDescent="0.2">
      <c r="B70" s="12">
        <v>45517</v>
      </c>
      <c r="C70" s="2" t="s">
        <v>47</v>
      </c>
      <c r="H70" s="14">
        <f>ROUND(-590*5.17549,2)</f>
        <v>-3053.54</v>
      </c>
      <c r="J70" s="2" t="s">
        <v>74</v>
      </c>
      <c r="K70" s="2" t="str">
        <f>J66</f>
        <v>groceries</v>
      </c>
      <c r="L70" s="5">
        <f>-SUM(H66:H67)</f>
        <v>664.48</v>
      </c>
      <c r="M70" s="45">
        <v>130</v>
      </c>
    </row>
    <row r="71" spans="2:14" x14ac:dyDescent="0.2">
      <c r="B71" s="12">
        <f>+B70</f>
        <v>45517</v>
      </c>
      <c r="C71" s="2" t="s">
        <v>39</v>
      </c>
      <c r="H71" s="56">
        <f>ROUND(-H70*0.5%,2)</f>
        <v>15.27</v>
      </c>
      <c r="I71" s="38"/>
      <c r="K71" s="2" t="str">
        <f>J70</f>
        <v>misc</v>
      </c>
      <c r="L71" s="5">
        <f>-SUM(H70:H72)</f>
        <v>3042.15</v>
      </c>
      <c r="M71" s="45">
        <v>590</v>
      </c>
    </row>
    <row r="72" spans="2:14" x14ac:dyDescent="0.2">
      <c r="B72" s="12">
        <v>45517</v>
      </c>
      <c r="C72" s="2" t="s">
        <v>48</v>
      </c>
      <c r="H72" s="14">
        <f>ROUND(-0.75*5.17333,2)</f>
        <v>-3.88</v>
      </c>
      <c r="J72" s="2" t="s">
        <v>74</v>
      </c>
      <c r="L72" s="76">
        <f>SUM(L68:L71)</f>
        <v>3924.86</v>
      </c>
      <c r="M72" s="77">
        <f>SUM(M68:M71)</f>
        <v>762.66</v>
      </c>
      <c r="N72" s="41"/>
    </row>
    <row r="73" spans="2:14" x14ac:dyDescent="0.2">
      <c r="B73" s="12">
        <v>45518</v>
      </c>
      <c r="C73" s="2" t="s">
        <v>13</v>
      </c>
      <c r="H73" s="56">
        <v>-1500</v>
      </c>
      <c r="I73" s="38"/>
      <c r="J73" s="2" t="s">
        <v>74</v>
      </c>
      <c r="L73" s="41">
        <f>L72+L65</f>
        <v>12498.99</v>
      </c>
    </row>
    <row r="74" spans="2:14" x14ac:dyDescent="0.2">
      <c r="B74" s="12">
        <v>45518</v>
      </c>
      <c r="C74" s="2" t="s">
        <v>13</v>
      </c>
      <c r="H74" s="14">
        <v>-2000</v>
      </c>
      <c r="J74" s="2" t="s">
        <v>74</v>
      </c>
      <c r="L74" s="2" t="s">
        <v>257</v>
      </c>
    </row>
    <row r="75" spans="2:14" x14ac:dyDescent="0.2">
      <c r="B75" s="12">
        <v>45520</v>
      </c>
      <c r="C75" s="2" t="s">
        <v>49</v>
      </c>
      <c r="H75" s="14">
        <f>ROUND(-4.48*5.19419,2)</f>
        <v>-23.27</v>
      </c>
      <c r="I75" s="38"/>
      <c r="J75" s="2" t="s">
        <v>250</v>
      </c>
    </row>
    <row r="76" spans="2:14" x14ac:dyDescent="0.2">
      <c r="B76" s="12">
        <f>+B75</f>
        <v>45520</v>
      </c>
      <c r="C76" s="2" t="s">
        <v>39</v>
      </c>
      <c r="H76" s="55">
        <f>ROUND(-H75*0.5%,2)-0.02</f>
        <v>9.9999999999999992E-2</v>
      </c>
      <c r="I76" s="38"/>
    </row>
    <row r="77" spans="2:14" x14ac:dyDescent="0.2">
      <c r="B77" s="12">
        <v>45521</v>
      </c>
      <c r="C77" s="2" t="s">
        <v>13</v>
      </c>
      <c r="H77" s="56">
        <v>-400</v>
      </c>
    </row>
    <row r="78" spans="2:14" x14ac:dyDescent="0.2">
      <c r="B78" s="12">
        <v>45521</v>
      </c>
      <c r="C78" s="2" t="s">
        <v>13</v>
      </c>
      <c r="H78" s="38">
        <v>-2000</v>
      </c>
      <c r="I78" s="38"/>
    </row>
    <row r="79" spans="2:14" x14ac:dyDescent="0.2">
      <c r="B79" s="12">
        <v>45523</v>
      </c>
      <c r="C79" s="2" t="s">
        <v>13</v>
      </c>
      <c r="H79" s="14">
        <v>-400</v>
      </c>
    </row>
    <row r="80" spans="2:14" x14ac:dyDescent="0.2">
      <c r="B80" s="12">
        <v>45523</v>
      </c>
      <c r="C80" s="2" t="s">
        <v>13</v>
      </c>
      <c r="H80" s="38">
        <v>-2000</v>
      </c>
      <c r="I80" s="38"/>
    </row>
    <row r="81" spans="1:10" x14ac:dyDescent="0.2">
      <c r="A81" s="73">
        <v>5.4194000000000004</v>
      </c>
      <c r="B81" s="12">
        <f>B82</f>
        <v>45531</v>
      </c>
      <c r="C81" s="2" t="s">
        <v>50</v>
      </c>
      <c r="G81" s="38">
        <v>-1500</v>
      </c>
      <c r="H81" s="38"/>
      <c r="I81" s="38"/>
      <c r="J81" s="2" t="s">
        <v>253</v>
      </c>
    </row>
    <row r="82" spans="1:10" x14ac:dyDescent="0.2">
      <c r="B82" s="12">
        <v>45531</v>
      </c>
      <c r="C82" s="2" t="s">
        <v>39</v>
      </c>
      <c r="G82" s="55">
        <f>ROUNDUP(-G81*0.5%,0)</f>
        <v>8</v>
      </c>
      <c r="H82" s="38"/>
      <c r="I82" s="38"/>
    </row>
    <row r="83" spans="1:10" x14ac:dyDescent="0.2">
      <c r="A83" s="73">
        <v>5.3956999999999997</v>
      </c>
      <c r="B83" s="12">
        <v>45532</v>
      </c>
      <c r="C83" s="2" t="s">
        <v>51</v>
      </c>
      <c r="G83" s="38">
        <v>-3600</v>
      </c>
      <c r="H83" s="38"/>
      <c r="I83" s="38"/>
      <c r="J83" s="2" t="s">
        <v>253</v>
      </c>
    </row>
    <row r="84" spans="1:10" x14ac:dyDescent="0.2">
      <c r="B84" s="12">
        <f>B83</f>
        <v>45532</v>
      </c>
      <c r="C84" s="2" t="s">
        <v>39</v>
      </c>
      <c r="G84" s="55">
        <f>ROUNDUP(-G83*0.5%,0)</f>
        <v>18</v>
      </c>
      <c r="H84" s="38"/>
      <c r="I84" s="38"/>
    </row>
    <row r="85" spans="1:10" x14ac:dyDescent="0.2">
      <c r="B85" s="12">
        <v>45532</v>
      </c>
      <c r="C85" s="2" t="s">
        <v>12</v>
      </c>
      <c r="H85" s="38">
        <v>155.75</v>
      </c>
      <c r="I85" s="38"/>
    </row>
    <row r="86" spans="1:10" x14ac:dyDescent="0.2">
      <c r="E86" s="43">
        <f>SUM(E61:E85)</f>
        <v>961.59999999999991</v>
      </c>
      <c r="F86" s="43">
        <f>SUM(F61:F85)</f>
        <v>2000.12</v>
      </c>
      <c r="G86" s="43">
        <f>SUM(G61:G85)</f>
        <v>73968</v>
      </c>
      <c r="H86" s="43">
        <f>SUM(H61:H85)</f>
        <v>196147.65999999989</v>
      </c>
      <c r="I86" s="38"/>
    </row>
    <row r="87" spans="1:10" x14ac:dyDescent="0.2">
      <c r="B87" s="12">
        <v>45537</v>
      </c>
      <c r="C87" s="2" t="s">
        <v>13</v>
      </c>
      <c r="H87" s="38">
        <v>-6600</v>
      </c>
      <c r="I87" s="38"/>
    </row>
    <row r="88" spans="1:10" x14ac:dyDescent="0.2">
      <c r="B88" s="12">
        <f>B87</f>
        <v>45537</v>
      </c>
      <c r="C88" s="2" t="s">
        <v>13</v>
      </c>
      <c r="H88" s="38">
        <v>-2000</v>
      </c>
      <c r="I88" s="38"/>
    </row>
    <row r="89" spans="1:10" x14ac:dyDescent="0.2">
      <c r="B89" s="12">
        <v>45539</v>
      </c>
      <c r="C89" s="2" t="s">
        <v>13</v>
      </c>
      <c r="H89" s="38">
        <v>-2200</v>
      </c>
      <c r="I89" s="38"/>
    </row>
    <row r="90" spans="1:10" x14ac:dyDescent="0.2">
      <c r="B90" s="12">
        <f>B89</f>
        <v>45539</v>
      </c>
      <c r="C90" s="2" t="s">
        <v>13</v>
      </c>
      <c r="H90" s="38">
        <v>-2000</v>
      </c>
      <c r="I90" s="38"/>
    </row>
    <row r="91" spans="1:10" x14ac:dyDescent="0.2">
      <c r="B91" s="12">
        <v>45546</v>
      </c>
      <c r="C91" s="2" t="s">
        <v>13</v>
      </c>
      <c r="H91" s="38">
        <v>-2200</v>
      </c>
      <c r="I91" s="38"/>
    </row>
    <row r="92" spans="1:10" x14ac:dyDescent="0.2">
      <c r="B92" s="12">
        <f>B91</f>
        <v>45546</v>
      </c>
      <c r="C92" s="2" t="s">
        <v>13</v>
      </c>
      <c r="H92" s="38">
        <v>-2000</v>
      </c>
      <c r="I92" s="38"/>
    </row>
    <row r="93" spans="1:10" x14ac:dyDescent="0.2">
      <c r="B93" s="12">
        <v>45559</v>
      </c>
      <c r="C93" s="2" t="s">
        <v>13</v>
      </c>
      <c r="H93" s="38">
        <v>-9100</v>
      </c>
      <c r="I93" s="38"/>
    </row>
    <row r="94" spans="1:10" x14ac:dyDescent="0.2">
      <c r="B94" s="12">
        <v>45559</v>
      </c>
      <c r="C94" s="2" t="s">
        <v>13</v>
      </c>
      <c r="H94" s="38">
        <v>-2000</v>
      </c>
      <c r="I94" s="38"/>
    </row>
    <row r="95" spans="1:10" x14ac:dyDescent="0.2">
      <c r="B95" s="12">
        <v>45562</v>
      </c>
      <c r="C95" s="2" t="s">
        <v>13</v>
      </c>
      <c r="H95" s="38">
        <v>-6000</v>
      </c>
      <c r="I95" s="38"/>
    </row>
    <row r="96" spans="1:10" x14ac:dyDescent="0.2">
      <c r="B96" s="12">
        <v>45562</v>
      </c>
      <c r="C96" s="2" t="s">
        <v>13</v>
      </c>
      <c r="H96" s="38">
        <v>-2000</v>
      </c>
      <c r="I96" s="38"/>
    </row>
    <row r="97" spans="2:9" x14ac:dyDescent="0.2">
      <c r="B97" s="12">
        <v>45563</v>
      </c>
      <c r="C97" s="2" t="s">
        <v>12</v>
      </c>
      <c r="H97" s="38">
        <v>125.42</v>
      </c>
      <c r="I97" s="38"/>
    </row>
    <row r="98" spans="2:9" x14ac:dyDescent="0.2">
      <c r="E98" s="44">
        <f>SUM(E86:E97)</f>
        <v>961.59999999999991</v>
      </c>
      <c r="F98" s="44">
        <f>SUM(F86:F97)</f>
        <v>2000.12</v>
      </c>
      <c r="G98" s="44">
        <f>SUM(G86:G97)</f>
        <v>73968</v>
      </c>
      <c r="H98" s="44">
        <f>SUM(H86:H97)</f>
        <v>160173.0799999999</v>
      </c>
      <c r="I98" s="49"/>
    </row>
    <row r="99" spans="2:9" x14ac:dyDescent="0.2">
      <c r="B99" s="12">
        <v>45568</v>
      </c>
      <c r="C99" s="2" t="s">
        <v>13</v>
      </c>
      <c r="E99" s="49"/>
      <c r="F99" s="49"/>
      <c r="G99" s="49"/>
      <c r="H99" s="49">
        <v>-2100</v>
      </c>
      <c r="I99" s="49"/>
    </row>
    <row r="100" spans="2:9" x14ac:dyDescent="0.2">
      <c r="B100" s="12">
        <v>45568</v>
      </c>
      <c r="C100" s="2" t="s">
        <v>13</v>
      </c>
      <c r="E100" s="49"/>
      <c r="F100" s="49"/>
      <c r="G100" s="49"/>
      <c r="H100" s="49">
        <v>-2000</v>
      </c>
      <c r="I100" s="49"/>
    </row>
    <row r="101" spans="2:9" x14ac:dyDescent="0.2">
      <c r="B101" s="12">
        <v>45582</v>
      </c>
      <c r="C101" s="2" t="s">
        <v>13</v>
      </c>
      <c r="E101" s="49"/>
      <c r="F101" s="49"/>
      <c r="G101" s="49"/>
      <c r="H101" s="49">
        <v>-3400</v>
      </c>
      <c r="I101" s="49"/>
    </row>
    <row r="102" spans="2:9" x14ac:dyDescent="0.2">
      <c r="B102" s="12">
        <v>45582</v>
      </c>
      <c r="C102" s="2" t="s">
        <v>13</v>
      </c>
      <c r="E102" s="49"/>
      <c r="F102" s="49"/>
      <c r="G102" s="49"/>
      <c r="H102" s="49">
        <v>-2000</v>
      </c>
      <c r="I102" s="49"/>
    </row>
    <row r="103" spans="2:9" x14ac:dyDescent="0.2">
      <c r="B103" s="12">
        <v>45586</v>
      </c>
      <c r="C103" s="2" t="s">
        <v>13</v>
      </c>
      <c r="E103" s="49"/>
      <c r="F103" s="49"/>
      <c r="G103" s="49"/>
      <c r="H103" s="49">
        <v>-2600</v>
      </c>
      <c r="I103" s="49"/>
    </row>
    <row r="104" spans="2:9" x14ac:dyDescent="0.2">
      <c r="C104" s="2" t="s">
        <v>13</v>
      </c>
      <c r="E104" s="49"/>
      <c r="F104" s="49"/>
      <c r="G104" s="49"/>
      <c r="H104" s="49">
        <v>-2000</v>
      </c>
      <c r="I104" s="49"/>
    </row>
    <row r="105" spans="2:9" x14ac:dyDescent="0.2">
      <c r="B105" s="12">
        <v>45587</v>
      </c>
      <c r="C105" s="2" t="s">
        <v>13</v>
      </c>
      <c r="E105" s="49"/>
      <c r="F105" s="49"/>
      <c r="G105" s="49"/>
      <c r="H105" s="49">
        <v>-2400</v>
      </c>
      <c r="I105" s="49"/>
    </row>
    <row r="106" spans="2:9" x14ac:dyDescent="0.2">
      <c r="C106" s="2" t="s">
        <v>13</v>
      </c>
      <c r="E106" s="49"/>
      <c r="F106" s="49"/>
      <c r="G106" s="49"/>
      <c r="H106" s="49">
        <v>-2000</v>
      </c>
      <c r="I106" s="49"/>
    </row>
    <row r="107" spans="2:9" x14ac:dyDescent="0.2">
      <c r="B107" s="12">
        <v>45588</v>
      </c>
      <c r="C107" s="2" t="s">
        <v>13</v>
      </c>
      <c r="E107" s="49"/>
      <c r="F107" s="49"/>
      <c r="G107" s="49"/>
      <c r="H107" s="49">
        <v>-1600</v>
      </c>
      <c r="I107" s="49"/>
    </row>
    <row r="108" spans="2:9" x14ac:dyDescent="0.2">
      <c r="C108" s="2" t="s">
        <v>13</v>
      </c>
      <c r="H108" s="14">
        <v>-2000</v>
      </c>
    </row>
    <row r="109" spans="2:9" x14ac:dyDescent="0.2">
      <c r="B109" s="12">
        <v>45593</v>
      </c>
      <c r="C109" s="2" t="s">
        <v>13</v>
      </c>
      <c r="H109" s="14">
        <v>-4100</v>
      </c>
    </row>
    <row r="110" spans="2:9" x14ac:dyDescent="0.2">
      <c r="C110" s="2" t="s">
        <v>13</v>
      </c>
      <c r="H110" s="14">
        <v>-2000</v>
      </c>
    </row>
    <row r="111" spans="2:9" x14ac:dyDescent="0.2">
      <c r="C111" s="2" t="s">
        <v>12</v>
      </c>
      <c r="H111" s="14">
        <v>77.95</v>
      </c>
    </row>
    <row r="112" spans="2:9" x14ac:dyDescent="0.2">
      <c r="B112" s="12">
        <v>45594</v>
      </c>
      <c r="C112" s="2" t="s">
        <v>13</v>
      </c>
      <c r="H112" s="49">
        <v>-1600</v>
      </c>
    </row>
    <row r="113" spans="1:9" x14ac:dyDescent="0.2">
      <c r="C113" s="2" t="s">
        <v>13</v>
      </c>
      <c r="H113" s="14">
        <v>-2000</v>
      </c>
    </row>
    <row r="114" spans="1:9" x14ac:dyDescent="0.2">
      <c r="E114" s="44">
        <f>SUM(E98:E111)</f>
        <v>961.59999999999991</v>
      </c>
      <c r="F114" s="44">
        <f t="shared" ref="F114:G114" si="4">SUM(F98:F111)</f>
        <v>2000.12</v>
      </c>
      <c r="G114" s="44">
        <f t="shared" si="4"/>
        <v>73968</v>
      </c>
      <c r="H114" s="44">
        <f>SUM(H98:H113)</f>
        <v>128451.02999999991</v>
      </c>
    </row>
    <row r="115" spans="1:9" x14ac:dyDescent="0.2">
      <c r="B115" s="12">
        <v>45610</v>
      </c>
      <c r="C115" s="2" t="s">
        <v>13</v>
      </c>
      <c r="H115" s="14">
        <v>-2740.01</v>
      </c>
    </row>
    <row r="116" spans="1:9" x14ac:dyDescent="0.2">
      <c r="C116" s="2" t="s">
        <v>13</v>
      </c>
      <c r="H116" s="14">
        <v>-2000</v>
      </c>
    </row>
    <row r="117" spans="1:9" x14ac:dyDescent="0.2">
      <c r="B117" s="12">
        <v>45617</v>
      </c>
      <c r="C117" s="2" t="s">
        <v>13</v>
      </c>
      <c r="H117" s="14">
        <v>-4700</v>
      </c>
    </row>
    <row r="118" spans="1:9" x14ac:dyDescent="0.2">
      <c r="C118" s="2" t="s">
        <v>13</v>
      </c>
      <c r="H118" s="14">
        <v>-2000</v>
      </c>
    </row>
    <row r="119" spans="1:9" x14ac:dyDescent="0.2">
      <c r="A119" s="12">
        <f>ROUND(-H118*0.5%,2)</f>
        <v>10</v>
      </c>
      <c r="B119" s="12">
        <v>45623</v>
      </c>
      <c r="C119" s="2" t="s">
        <v>75</v>
      </c>
      <c r="H119" s="14">
        <v>-313.72000000000003</v>
      </c>
    </row>
    <row r="120" spans="1:9" x14ac:dyDescent="0.2">
      <c r="C120" s="2" t="s">
        <v>39</v>
      </c>
      <c r="H120" s="14">
        <f>ROUND(-H119*0.5%,2)</f>
        <v>1.57</v>
      </c>
    </row>
    <row r="121" spans="1:9" x14ac:dyDescent="0.2">
      <c r="B121" s="12">
        <v>45624</v>
      </c>
      <c r="C121" s="2" t="s">
        <v>12</v>
      </c>
      <c r="H121" s="14">
        <v>52.09</v>
      </c>
    </row>
    <row r="122" spans="1:9" x14ac:dyDescent="0.2">
      <c r="E122" s="44">
        <f>SUM(E109:E121)</f>
        <v>961.59999999999991</v>
      </c>
      <c r="F122" s="44">
        <f>SUM(F109:F121)</f>
        <v>2000.12</v>
      </c>
      <c r="G122" s="44">
        <f>SUM(G109:G121)</f>
        <v>73968</v>
      </c>
      <c r="H122" s="44">
        <f>SUM(H114:H121)</f>
        <v>116750.95999999992</v>
      </c>
      <c r="I122" s="49"/>
    </row>
    <row r="123" spans="1:9" x14ac:dyDescent="0.2">
      <c r="B123" s="12">
        <v>45628</v>
      </c>
      <c r="C123" s="2" t="s">
        <v>76</v>
      </c>
      <c r="H123" s="14">
        <f>ROUND(-1.79*5.86592,2)</f>
        <v>-10.5</v>
      </c>
      <c r="I123" s="49"/>
    </row>
    <row r="124" spans="1:9" x14ac:dyDescent="0.2">
      <c r="C124" s="2" t="s">
        <v>134</v>
      </c>
      <c r="H124" s="14">
        <f>ROUND(-H123*0.55%,2)</f>
        <v>0.06</v>
      </c>
      <c r="I124" s="49"/>
    </row>
    <row r="125" spans="1:9" x14ac:dyDescent="0.2">
      <c r="B125" s="12">
        <v>45632</v>
      </c>
      <c r="C125" s="2" t="s">
        <v>77</v>
      </c>
      <c r="H125" s="14">
        <f>ROUND(-2.78*5.84892,2)</f>
        <v>-16.260000000000002</v>
      </c>
      <c r="I125" s="49"/>
    </row>
    <row r="126" spans="1:9" x14ac:dyDescent="0.2">
      <c r="C126" s="2" t="s">
        <v>133</v>
      </c>
      <c r="H126" s="14">
        <f>ROUND(-H125*0.35%,2)</f>
        <v>0.06</v>
      </c>
      <c r="I126" s="49"/>
    </row>
    <row r="127" spans="1:9" x14ac:dyDescent="0.2">
      <c r="B127" s="12">
        <v>45639</v>
      </c>
      <c r="C127" s="2" t="s">
        <v>13</v>
      </c>
      <c r="H127" s="14">
        <v>-4300</v>
      </c>
      <c r="I127" s="49"/>
    </row>
    <row r="128" spans="1:9" x14ac:dyDescent="0.2">
      <c r="C128" s="2" t="s">
        <v>13</v>
      </c>
      <c r="H128" s="14">
        <v>-2000</v>
      </c>
      <c r="I128" s="49"/>
    </row>
    <row r="129" spans="2:9" x14ac:dyDescent="0.2">
      <c r="B129" s="12">
        <v>45646</v>
      </c>
      <c r="C129" s="2" t="s">
        <v>13</v>
      </c>
      <c r="H129" s="14">
        <v>-5300</v>
      </c>
      <c r="I129" s="49"/>
    </row>
    <row r="130" spans="2:9" x14ac:dyDescent="0.2">
      <c r="C130" s="2" t="s">
        <v>13</v>
      </c>
      <c r="H130" s="14">
        <v>-2000</v>
      </c>
      <c r="I130" s="49"/>
    </row>
    <row r="131" spans="2:9" x14ac:dyDescent="0.2">
      <c r="B131" s="12">
        <v>45654</v>
      </c>
      <c r="C131" s="2" t="s">
        <v>12</v>
      </c>
      <c r="F131" s="38">
        <v>0.1</v>
      </c>
      <c r="G131" s="38">
        <v>1</v>
      </c>
      <c r="H131" s="14">
        <v>31.6</v>
      </c>
      <c r="I131" s="49"/>
    </row>
    <row r="132" spans="2:9" x14ac:dyDescent="0.2">
      <c r="E132" s="44">
        <f>SUM(E122:E131)</f>
        <v>961.59999999999991</v>
      </c>
      <c r="F132" s="44">
        <f>SUM(F122:F131)</f>
        <v>2000.2199999999998</v>
      </c>
      <c r="G132" s="44">
        <f>SUM(G122:G131)</f>
        <v>73969</v>
      </c>
      <c r="H132" s="44">
        <f>SUM(H122:H131)</f>
        <v>103155.91999999993</v>
      </c>
      <c r="I132" s="49"/>
    </row>
    <row r="133" spans="2:9" x14ac:dyDescent="0.2">
      <c r="E133" s="49"/>
      <c r="F133" s="49"/>
      <c r="G133" s="49"/>
      <c r="H133" s="49"/>
      <c r="I133" s="49"/>
    </row>
    <row r="134" spans="2:9" x14ac:dyDescent="0.2">
      <c r="E134" s="49"/>
      <c r="F134" s="49"/>
      <c r="G134" s="49"/>
      <c r="H134" s="49"/>
      <c r="I134" s="49"/>
    </row>
    <row r="135" spans="2:9" x14ac:dyDescent="0.2">
      <c r="E135" s="49"/>
      <c r="F135" s="49"/>
      <c r="G135" s="49"/>
      <c r="H135" s="49"/>
      <c r="I135" s="49"/>
    </row>
    <row r="136" spans="2:9" x14ac:dyDescent="0.2">
      <c r="E136" s="49"/>
      <c r="F136" s="49"/>
      <c r="G136" s="49"/>
      <c r="H136" s="49"/>
      <c r="I136" s="49"/>
    </row>
    <row r="137" spans="2:9" x14ac:dyDescent="0.2">
      <c r="E137" s="49"/>
      <c r="F137" s="49"/>
      <c r="G137" s="49"/>
      <c r="H137" s="49"/>
      <c r="I137" s="49"/>
    </row>
    <row r="138" spans="2:9" x14ac:dyDescent="0.2">
      <c r="E138" s="49"/>
      <c r="F138" s="49"/>
      <c r="G138" s="49"/>
      <c r="H138" s="49"/>
      <c r="I138" s="49"/>
    </row>
    <row r="139" spans="2:9" x14ac:dyDescent="0.2">
      <c r="E139" s="49"/>
      <c r="F139" s="49"/>
      <c r="G139" s="49"/>
      <c r="H139" s="49"/>
      <c r="I139" s="49"/>
    </row>
    <row r="140" spans="2:9" x14ac:dyDescent="0.2">
      <c r="E140" s="49"/>
      <c r="F140" s="49"/>
      <c r="G140" s="49"/>
      <c r="H140" s="49"/>
      <c r="I140" s="49"/>
    </row>
  </sheetData>
  <mergeCells count="2">
    <mergeCell ref="E2:H2"/>
    <mergeCell ref="E3:H3"/>
  </mergeCells>
  <printOptions horizontalCentered="1"/>
  <pageMargins left="0.39370078740157483" right="0.39370078740157483" top="0.39370078740157483" bottom="0.39370078740157483" header="0.31496062992125984" footer="0.31496062992125984"/>
  <pageSetup paperSize="9" orientation="landscape" r:id="rId1"/>
  <ignoredErrors>
    <ignoredError sqref="H1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73C0-63EF-4AF9-B415-8F9AAA7E0411}">
  <sheetPr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defaultColWidth="9.140625" defaultRowHeight="12.75" x14ac:dyDescent="0.2"/>
  <cols>
    <col min="1" max="1" width="8.140625" style="12" customWidth="1"/>
    <col min="2" max="2" width="8" style="12" customWidth="1"/>
    <col min="3" max="3" width="55.85546875" style="2" bestFit="1" customWidth="1"/>
    <col min="4" max="4" width="7.42578125" style="1" customWidth="1"/>
    <col min="5" max="5" width="14" style="38" bestFit="1" customWidth="1"/>
    <col min="6" max="7" width="14" style="38" customWidth="1"/>
    <col min="8" max="8" width="13.5703125" style="14" bestFit="1" customWidth="1"/>
    <col min="9" max="9" width="5.28515625" style="14" bestFit="1" customWidth="1"/>
    <col min="10" max="10" width="10.28515625" style="29" bestFit="1" customWidth="1"/>
    <col min="11" max="11" width="8.140625" style="26" bestFit="1" customWidth="1"/>
    <col min="12" max="12" width="10.28515625" style="2" bestFit="1" customWidth="1"/>
    <col min="13" max="13" width="8.5703125" style="2" bestFit="1" customWidth="1"/>
    <col min="14" max="14" width="8.42578125" style="45" bestFit="1" customWidth="1"/>
    <col min="15" max="15" width="8.140625" style="2" bestFit="1" customWidth="1"/>
    <col min="16" max="16" width="8.42578125" style="45" bestFit="1" customWidth="1"/>
    <col min="17" max="16384" width="9.140625" style="2"/>
  </cols>
  <sheetData>
    <row r="1" spans="1:17" ht="15.75" x14ac:dyDescent="0.25">
      <c r="A1" s="8" t="s">
        <v>11</v>
      </c>
      <c r="B1" s="9"/>
      <c r="C1" s="3"/>
      <c r="D1" s="4"/>
      <c r="E1" s="18">
        <f>+E90</f>
        <v>961.59999999999991</v>
      </c>
      <c r="F1" s="18">
        <f>+F90</f>
        <v>2000.02</v>
      </c>
      <c r="G1" s="18">
        <f t="shared" ref="G1:H1" si="0">+G90</f>
        <v>79042</v>
      </c>
      <c r="H1" s="18">
        <f t="shared" si="0"/>
        <v>276558.74</v>
      </c>
      <c r="I1" s="40"/>
      <c r="K1" s="24"/>
    </row>
    <row r="2" spans="1:17" ht="15.75" x14ac:dyDescent="0.25">
      <c r="A2" s="8"/>
      <c r="B2" s="9"/>
      <c r="C2" s="3"/>
      <c r="D2" s="4"/>
      <c r="E2" s="78" t="s">
        <v>9</v>
      </c>
      <c r="F2" s="78"/>
      <c r="G2" s="78"/>
      <c r="H2" s="78"/>
      <c r="I2" s="40"/>
      <c r="K2" s="24"/>
    </row>
    <row r="3" spans="1:17" x14ac:dyDescent="0.2">
      <c r="A3" s="9"/>
      <c r="B3" s="9"/>
      <c r="C3" s="3"/>
      <c r="D3" s="4"/>
      <c r="E3" s="78" t="s">
        <v>14</v>
      </c>
      <c r="F3" s="78"/>
      <c r="G3" s="78"/>
      <c r="H3" s="78"/>
      <c r="I3" s="40"/>
      <c r="K3" s="24"/>
    </row>
    <row r="4" spans="1:17" s="7" customFormat="1" ht="15" x14ac:dyDescent="0.35">
      <c r="A4" s="10" t="s">
        <v>0</v>
      </c>
      <c r="B4" s="10" t="s">
        <v>1</v>
      </c>
      <c r="C4" s="6" t="s">
        <v>2</v>
      </c>
      <c r="D4" s="6" t="s">
        <v>5</v>
      </c>
      <c r="E4" s="37" t="s">
        <v>15</v>
      </c>
      <c r="F4" s="37" t="s">
        <v>31</v>
      </c>
      <c r="G4" s="37" t="s">
        <v>22</v>
      </c>
      <c r="H4" s="37" t="s">
        <v>3</v>
      </c>
      <c r="I4" s="37"/>
      <c r="J4" s="30"/>
      <c r="K4" s="24"/>
      <c r="M4" s="7" t="s">
        <v>18</v>
      </c>
      <c r="N4" s="48"/>
      <c r="O4" s="7" t="s">
        <v>29</v>
      </c>
      <c r="P4" s="48"/>
      <c r="Q4" s="7" t="s">
        <v>35</v>
      </c>
    </row>
    <row r="5" spans="1:17" s="13" customFormat="1" x14ac:dyDescent="0.2">
      <c r="A5" s="12"/>
      <c r="B5" s="11">
        <v>44927</v>
      </c>
      <c r="C5" s="2" t="s">
        <v>4</v>
      </c>
      <c r="D5" s="1"/>
      <c r="E5" s="38">
        <f>+'22'!E35</f>
        <v>961.59999999999991</v>
      </c>
      <c r="F5" s="38"/>
      <c r="G5" s="38"/>
      <c r="H5" s="38">
        <f>+'22'!F35</f>
        <v>360178.10000000027</v>
      </c>
      <c r="I5" s="38"/>
      <c r="J5" s="29"/>
      <c r="K5" s="25"/>
      <c r="N5" s="49"/>
      <c r="P5" s="49"/>
    </row>
    <row r="6" spans="1:17" x14ac:dyDescent="0.2">
      <c r="B6" s="11">
        <v>44954</v>
      </c>
      <c r="C6" s="2" t="s">
        <v>12</v>
      </c>
      <c r="E6" s="40"/>
      <c r="F6" s="40"/>
      <c r="G6" s="40"/>
      <c r="H6" s="36">
        <v>191.55</v>
      </c>
      <c r="I6" s="36"/>
      <c r="K6" s="25"/>
      <c r="L6" s="33"/>
    </row>
    <row r="7" spans="1:17" x14ac:dyDescent="0.2">
      <c r="E7" s="44">
        <f>SUM(E5:E6)</f>
        <v>961.59999999999991</v>
      </c>
      <c r="F7" s="44"/>
      <c r="G7" s="44"/>
      <c r="H7" s="44">
        <f>SUM(H5:H6)</f>
        <v>360369.65000000026</v>
      </c>
      <c r="I7" s="49"/>
      <c r="J7" s="32">
        <v>367906.72</v>
      </c>
      <c r="K7" s="25">
        <v>44957</v>
      </c>
      <c r="L7" s="33">
        <f>+H7+ROUND(E7*M7,2)-J7</f>
        <v>0</v>
      </c>
      <c r="M7" s="2">
        <v>7.83805</v>
      </c>
      <c r="N7" s="45">
        <f>+ROUND(E7*M7,2)</f>
        <v>7537.07</v>
      </c>
    </row>
    <row r="8" spans="1:17" x14ac:dyDescent="0.2">
      <c r="B8" s="11">
        <v>44985</v>
      </c>
      <c r="C8" s="2" t="s">
        <v>12</v>
      </c>
      <c r="E8" s="40"/>
      <c r="F8" s="40"/>
      <c r="G8" s="40"/>
      <c r="H8" s="14">
        <v>191.65</v>
      </c>
      <c r="K8" s="25"/>
      <c r="L8" s="33"/>
    </row>
    <row r="9" spans="1:17" x14ac:dyDescent="0.2">
      <c r="E9" s="44">
        <f>SUM(E7:E8)</f>
        <v>961.59999999999991</v>
      </c>
      <c r="F9" s="44"/>
      <c r="G9" s="44"/>
      <c r="H9" s="44">
        <f>SUM(H7:H8)</f>
        <v>360561.30000000028</v>
      </c>
      <c r="I9" s="49"/>
      <c r="J9" s="32">
        <v>368108.42</v>
      </c>
      <c r="K9" s="25">
        <v>44985</v>
      </c>
      <c r="L9" s="33">
        <f>+H9+ROUND(E9*M9,2)-J9</f>
        <v>0</v>
      </c>
      <c r="M9" s="3">
        <v>7.8484999999999996</v>
      </c>
      <c r="N9" s="45">
        <f>+ROUND(E9*M9,2)</f>
        <v>7547.12</v>
      </c>
    </row>
    <row r="10" spans="1:17" x14ac:dyDescent="0.2">
      <c r="B10" s="12">
        <v>45000</v>
      </c>
      <c r="C10" s="2" t="s">
        <v>19</v>
      </c>
      <c r="E10" s="45"/>
      <c r="F10" s="45"/>
      <c r="G10" s="45"/>
      <c r="H10" s="45">
        <v>-20</v>
      </c>
      <c r="I10" s="45"/>
      <c r="J10" s="32"/>
      <c r="K10" s="25"/>
      <c r="L10" s="33"/>
      <c r="M10" s="3"/>
    </row>
    <row r="11" spans="1:17" x14ac:dyDescent="0.2">
      <c r="B11" s="11">
        <v>45013</v>
      </c>
      <c r="C11" s="2" t="s">
        <v>12</v>
      </c>
      <c r="E11" s="40"/>
      <c r="F11" s="40"/>
      <c r="G11" s="40"/>
      <c r="H11" s="14">
        <v>173.18</v>
      </c>
      <c r="K11" s="25"/>
      <c r="L11" s="33"/>
      <c r="M11" s="3"/>
    </row>
    <row r="12" spans="1:17" x14ac:dyDescent="0.2">
      <c r="E12" s="44">
        <f>SUM(E9:E11)</f>
        <v>961.59999999999991</v>
      </c>
      <c r="F12" s="44"/>
      <c r="G12" s="44"/>
      <c r="H12" s="44">
        <f>SUM(H9:H11)</f>
        <v>360714.48000000027</v>
      </c>
      <c r="I12" s="49"/>
      <c r="J12" s="32">
        <v>368262.99</v>
      </c>
      <c r="K12" s="25">
        <v>45016</v>
      </c>
      <c r="L12" s="33">
        <f>+H12+ROUND(E12*M12,2)-J12</f>
        <v>0</v>
      </c>
      <c r="M12" s="3">
        <v>7.8499499999999998</v>
      </c>
      <c r="N12" s="45">
        <f>+ROUND(E12*M12,2)</f>
        <v>7548.51</v>
      </c>
    </row>
    <row r="13" spans="1:17" x14ac:dyDescent="0.2">
      <c r="B13" s="35">
        <v>45044</v>
      </c>
      <c r="C13" s="2" t="s">
        <v>12</v>
      </c>
      <c r="E13" s="40"/>
      <c r="F13" s="40"/>
      <c r="G13" s="40"/>
      <c r="H13" s="14">
        <v>191.83</v>
      </c>
      <c r="K13" s="25"/>
      <c r="L13" s="33"/>
      <c r="M13" s="3"/>
    </row>
    <row r="14" spans="1:17" x14ac:dyDescent="0.2">
      <c r="E14" s="44">
        <f>SUM(E12:E13)</f>
        <v>961.59999999999991</v>
      </c>
      <c r="F14" s="44"/>
      <c r="G14" s="44"/>
      <c r="H14" s="44">
        <f>SUM(H12:H13)</f>
        <v>360906.31000000029</v>
      </c>
      <c r="I14" s="49"/>
      <c r="J14" s="32">
        <v>368454.82</v>
      </c>
      <c r="K14" s="25">
        <v>45046</v>
      </c>
      <c r="L14" s="33">
        <f t="shared" ref="L14" si="1">+H14+ROUND(E14*M14,2)-J14</f>
        <v>0</v>
      </c>
      <c r="M14" s="3">
        <v>7.8499499999999998</v>
      </c>
      <c r="N14" s="45">
        <f>+ROUND(E14*M14,2)</f>
        <v>7548.51</v>
      </c>
    </row>
    <row r="15" spans="1:17" x14ac:dyDescent="0.2">
      <c r="B15" s="35">
        <v>45073</v>
      </c>
      <c r="C15" s="2" t="s">
        <v>12</v>
      </c>
      <c r="E15" s="40"/>
      <c r="F15" s="40"/>
      <c r="G15" s="40"/>
      <c r="H15" s="14">
        <v>206.75</v>
      </c>
      <c r="K15" s="25"/>
      <c r="L15" s="33"/>
      <c r="M15" s="3"/>
    </row>
    <row r="16" spans="1:17" x14ac:dyDescent="0.2">
      <c r="E16" s="44">
        <f>SUM(E14:E15)</f>
        <v>961.59999999999991</v>
      </c>
      <c r="F16" s="44"/>
      <c r="G16" s="44"/>
      <c r="H16" s="44">
        <f>SUM(H14:H15)</f>
        <v>361113.06000000029</v>
      </c>
      <c r="I16" s="49"/>
      <c r="J16" s="32">
        <v>368645.13</v>
      </c>
      <c r="K16" s="25">
        <v>45077</v>
      </c>
      <c r="L16" s="33">
        <f>+H16+ROUND(E16*M16,2)-J16</f>
        <v>0</v>
      </c>
      <c r="M16" s="47">
        <v>7.8328499999999996</v>
      </c>
      <c r="N16" s="45">
        <f>+ROUND(E16*M16,2)</f>
        <v>7532.07</v>
      </c>
      <c r="O16" s="46"/>
    </row>
    <row r="17" spans="1:19" x14ac:dyDescent="0.2">
      <c r="B17" s="12">
        <v>45090</v>
      </c>
      <c r="C17" s="2" t="s">
        <v>21</v>
      </c>
      <c r="G17" s="38">
        <v>88295</v>
      </c>
      <c r="H17" s="14">
        <v>-5000</v>
      </c>
      <c r="P17" s="58">
        <f>-H17/G17</f>
        <v>5.6628348151084432E-2</v>
      </c>
    </row>
    <row r="18" spans="1:19" x14ac:dyDescent="0.2">
      <c r="B18" s="12">
        <f>B19</f>
        <v>45091</v>
      </c>
      <c r="C18" s="2" t="s">
        <v>52</v>
      </c>
      <c r="H18" s="14">
        <v>-50</v>
      </c>
      <c r="J18" s="42"/>
      <c r="R18" s="2" t="s">
        <v>57</v>
      </c>
      <c r="S18" s="5">
        <f>-SUM(H20:H21)</f>
        <v>57.77</v>
      </c>
    </row>
    <row r="19" spans="1:19" x14ac:dyDescent="0.2">
      <c r="B19" s="12">
        <v>45091</v>
      </c>
      <c r="C19" s="2" t="s">
        <v>23</v>
      </c>
      <c r="H19" s="38">
        <f>ROUND(-H18*0.4%,2)</f>
        <v>0.2</v>
      </c>
      <c r="I19" s="38"/>
      <c r="J19" s="42"/>
      <c r="R19" s="2" t="s">
        <v>58</v>
      </c>
      <c r="S19" s="59">
        <f>-SUM(H18:H19)-SUM(H22:H31)-SUM(P26:P29)</f>
        <v>1199.2599999999998</v>
      </c>
    </row>
    <row r="20" spans="1:19" x14ac:dyDescent="0.2">
      <c r="B20" s="12">
        <f>B21</f>
        <v>45091</v>
      </c>
      <c r="C20" s="2" t="s">
        <v>53</v>
      </c>
      <c r="H20" s="14">
        <v>-58</v>
      </c>
      <c r="J20" s="42"/>
      <c r="S20" s="5">
        <f>SUM(S18:S19)</f>
        <v>1257.0299999999997</v>
      </c>
    </row>
    <row r="21" spans="1:19" x14ac:dyDescent="0.2">
      <c r="B21" s="12">
        <f>B18</f>
        <v>45091</v>
      </c>
      <c r="C21" s="2" t="s">
        <v>23</v>
      </c>
      <c r="H21" s="38">
        <f>ROUND(-H20*0.4%,2)</f>
        <v>0.23</v>
      </c>
      <c r="I21" s="38"/>
      <c r="J21" s="42"/>
    </row>
    <row r="22" spans="1:19" x14ac:dyDescent="0.2">
      <c r="B22" s="12">
        <f>B20</f>
        <v>45091</v>
      </c>
      <c r="C22" s="2" t="s">
        <v>52</v>
      </c>
      <c r="H22" s="14">
        <v>-150</v>
      </c>
      <c r="J22" s="42"/>
    </row>
    <row r="23" spans="1:19" x14ac:dyDescent="0.2">
      <c r="B23" s="12">
        <f>B22</f>
        <v>45091</v>
      </c>
      <c r="C23" s="2" t="s">
        <v>23</v>
      </c>
      <c r="H23" s="38">
        <f>ROUND(-H22*0.4%,2)</f>
        <v>0.6</v>
      </c>
      <c r="I23" s="38"/>
      <c r="J23" s="42"/>
    </row>
    <row r="24" spans="1:19" x14ac:dyDescent="0.2">
      <c r="B24" s="12">
        <v>45091</v>
      </c>
      <c r="C24" s="2" t="s">
        <v>54</v>
      </c>
      <c r="H24" s="14">
        <v>-458</v>
      </c>
    </row>
    <row r="25" spans="1:19" x14ac:dyDescent="0.2">
      <c r="B25" s="12">
        <f>B24</f>
        <v>45091</v>
      </c>
      <c r="C25" s="2" t="s">
        <v>23</v>
      </c>
      <c r="H25" s="38">
        <f>ROUND(-H24*0.4%,2)</f>
        <v>1.83</v>
      </c>
      <c r="I25" s="38"/>
      <c r="J25" s="42"/>
    </row>
    <row r="26" spans="1:19" x14ac:dyDescent="0.2">
      <c r="B26" s="12">
        <v>45096</v>
      </c>
      <c r="C26" s="2" t="s">
        <v>55</v>
      </c>
      <c r="G26" s="38">
        <v>-1120</v>
      </c>
      <c r="P26" s="45">
        <f>ROUND(G26*$P$17,2)</f>
        <v>-63.42</v>
      </c>
    </row>
    <row r="27" spans="1:19" x14ac:dyDescent="0.2">
      <c r="B27" s="12">
        <f>+B26</f>
        <v>45096</v>
      </c>
      <c r="C27" s="2" t="s">
        <v>23</v>
      </c>
      <c r="G27" s="38">
        <f>ROUND(-G26*0.4%,0)</f>
        <v>4</v>
      </c>
      <c r="P27" s="45">
        <f t="shared" ref="P27:P29" si="2">ROUND(G27*$P$17,2)</f>
        <v>0.23</v>
      </c>
    </row>
    <row r="28" spans="1:19" x14ac:dyDescent="0.2">
      <c r="B28" s="12">
        <v>45097</v>
      </c>
      <c r="C28" s="2" t="s">
        <v>55</v>
      </c>
      <c r="G28" s="38">
        <v>-8170</v>
      </c>
      <c r="P28" s="45">
        <f t="shared" si="2"/>
        <v>-462.65</v>
      </c>
    </row>
    <row r="29" spans="1:19" x14ac:dyDescent="0.2">
      <c r="B29" s="12">
        <f>+B28</f>
        <v>45097</v>
      </c>
      <c r="C29" s="2" t="s">
        <v>23</v>
      </c>
      <c r="G29" s="38">
        <f>ROUND(-G28*0.4%,0)</f>
        <v>33</v>
      </c>
      <c r="P29" s="45">
        <f t="shared" si="2"/>
        <v>1.87</v>
      </c>
    </row>
    <row r="30" spans="1:19" x14ac:dyDescent="0.2">
      <c r="A30" s="12">
        <v>45099</v>
      </c>
      <c r="B30" s="12">
        <v>45100</v>
      </c>
      <c r="C30" s="2" t="s">
        <v>56</v>
      </c>
      <c r="H30" s="14">
        <v>-20</v>
      </c>
    </row>
    <row r="31" spans="1:19" x14ac:dyDescent="0.2">
      <c r="B31" s="12">
        <f>B30</f>
        <v>45100</v>
      </c>
      <c r="C31" s="2" t="s">
        <v>23</v>
      </c>
      <c r="H31" s="38">
        <f>ROUND(-H30*0.4%,2)</f>
        <v>0.08</v>
      </c>
      <c r="I31" s="38"/>
      <c r="J31" s="42"/>
    </row>
    <row r="32" spans="1:19" x14ac:dyDescent="0.2">
      <c r="B32" s="12">
        <v>45105</v>
      </c>
      <c r="C32" s="2" t="s">
        <v>12</v>
      </c>
      <c r="H32" s="14">
        <v>236.09</v>
      </c>
    </row>
    <row r="33" spans="2:19" x14ac:dyDescent="0.2">
      <c r="E33" s="43">
        <f>SUM(E16:E32)</f>
        <v>961.59999999999991</v>
      </c>
      <c r="F33" s="43"/>
      <c r="G33" s="43">
        <f t="shared" ref="G33:H33" si="3">SUM(G16:G32)</f>
        <v>79042</v>
      </c>
      <c r="H33" s="43">
        <f t="shared" si="3"/>
        <v>355616.09000000032</v>
      </c>
      <c r="I33" s="38"/>
      <c r="J33" s="32">
        <v>367431.06</v>
      </c>
      <c r="K33" s="26">
        <v>45107</v>
      </c>
      <c r="L33" s="33">
        <f>+H33+ROUND(E33*M33,2)+ROUND(G33*O33,2)-J33</f>
        <v>-2.9999999678693712E-2</v>
      </c>
      <c r="M33" s="46">
        <v>7.8359500000000004</v>
      </c>
      <c r="N33" s="45">
        <f>+ROUND(E33*M33,2)</f>
        <v>7535.05</v>
      </c>
      <c r="O33" s="46">
        <v>5.4147000000000001E-2</v>
      </c>
      <c r="P33" s="45">
        <f>+ROUND(G33*O33,2)</f>
        <v>4279.8900000000003</v>
      </c>
    </row>
    <row r="34" spans="2:19" x14ac:dyDescent="0.2">
      <c r="B34" s="12">
        <v>45110</v>
      </c>
      <c r="C34" s="2" t="s">
        <v>59</v>
      </c>
      <c r="H34" s="14">
        <v>-101</v>
      </c>
      <c r="R34" s="2" t="s">
        <v>57</v>
      </c>
      <c r="S34" s="5">
        <f>-SUM(H42:H43)</f>
        <v>139.37</v>
      </c>
    </row>
    <row r="35" spans="2:19" x14ac:dyDescent="0.2">
      <c r="B35" s="12">
        <f>+B34</f>
        <v>45110</v>
      </c>
      <c r="C35" s="2" t="s">
        <v>23</v>
      </c>
      <c r="H35" s="38">
        <f>ROUND(-H34*0.4%,2)</f>
        <v>0.4</v>
      </c>
      <c r="I35" s="38"/>
      <c r="R35" s="2" t="s">
        <v>58</v>
      </c>
      <c r="S35" s="41">
        <f>-SUM(H34:H35)-SUM(H48:H51)</f>
        <v>241.04</v>
      </c>
    </row>
    <row r="36" spans="2:19" x14ac:dyDescent="0.2">
      <c r="B36" s="12">
        <v>45110</v>
      </c>
      <c r="C36" s="2" t="s">
        <v>26</v>
      </c>
      <c r="H36" s="14">
        <v>-238</v>
      </c>
      <c r="R36" s="2" t="s">
        <v>63</v>
      </c>
      <c r="S36" s="5">
        <f>-SUM(H44:H47)</f>
        <v>913.62</v>
      </c>
    </row>
    <row r="37" spans="2:19" x14ac:dyDescent="0.2">
      <c r="B37" s="12">
        <f>+B36</f>
        <v>45110</v>
      </c>
      <c r="C37" s="2" t="s">
        <v>23</v>
      </c>
      <c r="H37" s="38">
        <f>ROUND(-H36*0.4%,2)</f>
        <v>0.95</v>
      </c>
      <c r="I37" s="38"/>
      <c r="R37" s="2" t="s">
        <v>64</v>
      </c>
      <c r="S37" s="5">
        <f>-SUM(H40:H41)</f>
        <v>566.72</v>
      </c>
    </row>
    <row r="38" spans="2:19" x14ac:dyDescent="0.2">
      <c r="B38" s="12">
        <v>45110</v>
      </c>
      <c r="C38" s="2" t="s">
        <v>27</v>
      </c>
      <c r="H38" s="14">
        <v>-67.8</v>
      </c>
      <c r="R38" s="2" t="s">
        <v>65</v>
      </c>
      <c r="S38" s="5">
        <f>-SUM(H38:H39)</f>
        <v>67.53</v>
      </c>
    </row>
    <row r="39" spans="2:19" x14ac:dyDescent="0.2">
      <c r="B39" s="12">
        <f>+B38</f>
        <v>45110</v>
      </c>
      <c r="C39" s="2" t="s">
        <v>23</v>
      </c>
      <c r="H39" s="38">
        <f>ROUND(-H38*0.4%,2)</f>
        <v>0.27</v>
      </c>
      <c r="I39" s="38"/>
      <c r="R39" s="2" t="s">
        <v>66</v>
      </c>
      <c r="S39" s="60">
        <f>-SUM(H36:H37)</f>
        <v>237.05</v>
      </c>
    </row>
    <row r="40" spans="2:19" x14ac:dyDescent="0.2">
      <c r="B40" s="12">
        <v>45111</v>
      </c>
      <c r="C40" s="2" t="s">
        <v>28</v>
      </c>
      <c r="H40" s="14">
        <v>-569</v>
      </c>
      <c r="S40" s="5">
        <f>SUM(S34:S39)</f>
        <v>2165.33</v>
      </c>
    </row>
    <row r="41" spans="2:19" x14ac:dyDescent="0.2">
      <c r="B41" s="12">
        <f>+B40</f>
        <v>45111</v>
      </c>
      <c r="C41" s="2" t="s">
        <v>23</v>
      </c>
      <c r="H41" s="38">
        <f>ROUND(-H40*0.4%,2)</f>
        <v>2.2799999999999998</v>
      </c>
      <c r="I41" s="38"/>
      <c r="S41" s="41">
        <f>S40+SUM(H34:H51)</f>
        <v>0</v>
      </c>
    </row>
    <row r="42" spans="2:19" x14ac:dyDescent="0.2">
      <c r="B42" s="12">
        <v>45115</v>
      </c>
      <c r="C42" s="2" t="s">
        <v>60</v>
      </c>
      <c r="H42" s="14">
        <v>-139.93</v>
      </c>
    </row>
    <row r="43" spans="2:19" x14ac:dyDescent="0.2">
      <c r="B43" s="12">
        <f>+B42</f>
        <v>45115</v>
      </c>
      <c r="C43" s="2" t="s">
        <v>23</v>
      </c>
      <c r="H43" s="38">
        <f>ROUND(-H42*0.4%,2)</f>
        <v>0.56000000000000005</v>
      </c>
      <c r="I43" s="38"/>
    </row>
    <row r="44" spans="2:19" x14ac:dyDescent="0.2">
      <c r="B44" s="12">
        <v>45117</v>
      </c>
      <c r="C44" s="2" t="s">
        <v>61</v>
      </c>
      <c r="H44" s="14">
        <v>-871.05</v>
      </c>
    </row>
    <row r="45" spans="2:19" x14ac:dyDescent="0.2">
      <c r="B45" s="12">
        <f>+B44</f>
        <v>45117</v>
      </c>
      <c r="C45" s="2" t="s">
        <v>23</v>
      </c>
      <c r="H45" s="38">
        <f>ROUND(-H44*0.4%,2)</f>
        <v>3.48</v>
      </c>
      <c r="I45" s="38"/>
    </row>
    <row r="46" spans="2:19" x14ac:dyDescent="0.2">
      <c r="B46" s="12">
        <v>45117</v>
      </c>
      <c r="C46" s="2" t="s">
        <v>62</v>
      </c>
      <c r="H46" s="14">
        <v>-46.23</v>
      </c>
    </row>
    <row r="47" spans="2:19" x14ac:dyDescent="0.2">
      <c r="B47" s="12">
        <f>+B46</f>
        <v>45117</v>
      </c>
      <c r="C47" s="2" t="s">
        <v>23</v>
      </c>
      <c r="H47" s="38">
        <f>ROUND(-H46*0.4%,2)</f>
        <v>0.18</v>
      </c>
      <c r="I47" s="38"/>
    </row>
    <row r="48" spans="2:19" x14ac:dyDescent="0.2">
      <c r="B48" s="12">
        <v>45120</v>
      </c>
      <c r="C48" s="2" t="s">
        <v>25</v>
      </c>
      <c r="H48" s="14">
        <v>-108</v>
      </c>
    </row>
    <row r="49" spans="2:19" x14ac:dyDescent="0.2">
      <c r="B49" s="12">
        <f>+B48</f>
        <v>45120</v>
      </c>
      <c r="C49" s="2" t="s">
        <v>23</v>
      </c>
      <c r="H49" s="38">
        <f>ROUND(-H48*0.4%,2)</f>
        <v>0.43</v>
      </c>
      <c r="I49" s="38"/>
    </row>
    <row r="50" spans="2:19" x14ac:dyDescent="0.2">
      <c r="B50" s="12">
        <v>45132</v>
      </c>
      <c r="C50" s="2" t="s">
        <v>25</v>
      </c>
      <c r="H50" s="14">
        <v>-33</v>
      </c>
    </row>
    <row r="51" spans="2:19" x14ac:dyDescent="0.2">
      <c r="B51" s="12">
        <f>B50</f>
        <v>45132</v>
      </c>
      <c r="C51" s="2" t="s">
        <v>23</v>
      </c>
      <c r="H51" s="38">
        <f>ROUND(-H50*0.4%,2)</f>
        <v>0.13</v>
      </c>
      <c r="I51" s="38"/>
    </row>
    <row r="52" spans="2:19" x14ac:dyDescent="0.2">
      <c r="B52" s="12">
        <v>45135</v>
      </c>
      <c r="C52" s="2" t="s">
        <v>12</v>
      </c>
      <c r="H52" s="14">
        <v>218.65</v>
      </c>
    </row>
    <row r="53" spans="2:19" x14ac:dyDescent="0.2">
      <c r="E53" s="44">
        <f>SUM(E33:E52)</f>
        <v>961.59999999999991</v>
      </c>
      <c r="F53" s="44"/>
      <c r="G53" s="44">
        <f t="shared" ref="G53" si="4">SUM(G33:G52)</f>
        <v>79042</v>
      </c>
      <c r="H53" s="44">
        <f>SUM(H33:H52)</f>
        <v>353669.41000000044</v>
      </c>
      <c r="I53" s="49"/>
      <c r="J53" s="32">
        <v>365511.24</v>
      </c>
      <c r="K53" s="26">
        <v>45138</v>
      </c>
      <c r="L53" s="33">
        <f>+H53+ROUND(E53*M53,2)+ROUND(G53*O53,2)-J53</f>
        <v>-9.9999996018595994E-3</v>
      </c>
      <c r="M53" s="46">
        <v>7.8004499999999997</v>
      </c>
      <c r="N53" s="45">
        <f>+ROUND(E53*M53,2)</f>
        <v>7500.91</v>
      </c>
      <c r="O53" s="46">
        <v>5.4919000000000003E-2</v>
      </c>
      <c r="P53" s="45">
        <f>+ROUND(G53*O53,2)</f>
        <v>4340.91</v>
      </c>
    </row>
    <row r="54" spans="2:19" x14ac:dyDescent="0.2">
      <c r="B54" s="12">
        <v>45141</v>
      </c>
      <c r="C54" s="2" t="s">
        <v>67</v>
      </c>
      <c r="H54" s="14">
        <v>-3430</v>
      </c>
      <c r="R54" s="2" t="s">
        <v>57</v>
      </c>
      <c r="S54" s="5">
        <f>-SUM(H60:H65)</f>
        <v>1062.93</v>
      </c>
    </row>
    <row r="55" spans="2:19" x14ac:dyDescent="0.2">
      <c r="B55" s="12">
        <f>B54</f>
        <v>45141</v>
      </c>
      <c r="C55" s="2" t="s">
        <v>23</v>
      </c>
      <c r="H55" s="38">
        <f>ROUND(-H54*0.4%,2)</f>
        <v>13.72</v>
      </c>
      <c r="I55" s="38"/>
      <c r="R55" s="2" t="s">
        <v>73</v>
      </c>
      <c r="S55" s="5">
        <f>-SUM(H54:H55)</f>
        <v>3416.28</v>
      </c>
    </row>
    <row r="56" spans="2:19" x14ac:dyDescent="0.2">
      <c r="B56" s="12">
        <v>45149</v>
      </c>
      <c r="C56" s="2" t="s">
        <v>68</v>
      </c>
      <c r="H56" s="14">
        <v>-25</v>
      </c>
      <c r="R56" s="2" t="s">
        <v>74</v>
      </c>
      <c r="S56" s="60">
        <f>-SUM(H56:H59)</f>
        <v>107.57000000000001</v>
      </c>
    </row>
    <row r="57" spans="2:19" x14ac:dyDescent="0.2">
      <c r="B57" s="12">
        <f t="shared" ref="B57:B65" si="5">B56</f>
        <v>45149</v>
      </c>
      <c r="C57" s="2" t="s">
        <v>23</v>
      </c>
      <c r="H57" s="38">
        <f>ROUND(-H56*0.4%,2)</f>
        <v>0.1</v>
      </c>
      <c r="I57" s="38"/>
      <c r="S57" s="5">
        <f>SUM(S54:S56)</f>
        <v>4586.78</v>
      </c>
    </row>
    <row r="58" spans="2:19" x14ac:dyDescent="0.2">
      <c r="B58" s="12">
        <f t="shared" si="5"/>
        <v>45149</v>
      </c>
      <c r="C58" s="2" t="s">
        <v>69</v>
      </c>
      <c r="H58" s="14">
        <v>-83</v>
      </c>
      <c r="S58" s="41">
        <f>+S57+SUM(H54:H65)</f>
        <v>0</v>
      </c>
    </row>
    <row r="59" spans="2:19" x14ac:dyDescent="0.2">
      <c r="B59" s="12">
        <f t="shared" si="5"/>
        <v>45149</v>
      </c>
      <c r="C59" s="2" t="s">
        <v>23</v>
      </c>
      <c r="H59" s="38">
        <f>ROUND(-H58*0.4%,2)</f>
        <v>0.33</v>
      </c>
      <c r="I59" s="38"/>
    </row>
    <row r="60" spans="2:19" x14ac:dyDescent="0.2">
      <c r="B60" s="12">
        <f t="shared" si="5"/>
        <v>45149</v>
      </c>
      <c r="C60" s="2" t="s">
        <v>72</v>
      </c>
      <c r="H60" s="14">
        <v>-739.2</v>
      </c>
    </row>
    <row r="61" spans="2:19" x14ac:dyDescent="0.2">
      <c r="B61" s="12">
        <f t="shared" si="5"/>
        <v>45149</v>
      </c>
      <c r="C61" s="2" t="s">
        <v>23</v>
      </c>
      <c r="H61" s="38">
        <f>ROUND(-H60*0.4%,2)</f>
        <v>2.96</v>
      </c>
      <c r="I61" s="38"/>
    </row>
    <row r="62" spans="2:19" x14ac:dyDescent="0.2">
      <c r="B62" s="12">
        <f t="shared" si="5"/>
        <v>45149</v>
      </c>
      <c r="C62" s="2" t="s">
        <v>70</v>
      </c>
      <c r="H62" s="14">
        <v>-58</v>
      </c>
    </row>
    <row r="63" spans="2:19" x14ac:dyDescent="0.2">
      <c r="B63" s="12">
        <f t="shared" si="5"/>
        <v>45149</v>
      </c>
      <c r="C63" s="2" t="s">
        <v>23</v>
      </c>
      <c r="H63" s="38">
        <f>ROUND(-H62*0.4%,2)</f>
        <v>0.23</v>
      </c>
      <c r="I63" s="38"/>
    </row>
    <row r="64" spans="2:19" x14ac:dyDescent="0.2">
      <c r="B64" s="12">
        <f t="shared" si="5"/>
        <v>45149</v>
      </c>
      <c r="C64" s="2" t="s">
        <v>71</v>
      </c>
      <c r="H64" s="14">
        <v>-270</v>
      </c>
    </row>
    <row r="65" spans="1:16" x14ac:dyDescent="0.2">
      <c r="B65" s="12">
        <f t="shared" si="5"/>
        <v>45149</v>
      </c>
      <c r="C65" s="2" t="s">
        <v>23</v>
      </c>
      <c r="H65" s="38">
        <f>ROUND(-H64*0.4%,2)</f>
        <v>1.08</v>
      </c>
      <c r="I65" s="38"/>
    </row>
    <row r="66" spans="1:16" x14ac:dyDescent="0.2">
      <c r="B66" s="12">
        <v>45166</v>
      </c>
      <c r="C66" s="2" t="s">
        <v>12</v>
      </c>
      <c r="H66" s="14">
        <v>260.7</v>
      </c>
      <c r="I66" s="38"/>
    </row>
    <row r="67" spans="1:16" x14ac:dyDescent="0.2">
      <c r="E67" s="44">
        <f>SUM(E53:E66)</f>
        <v>961.59999999999991</v>
      </c>
      <c r="F67" s="44"/>
      <c r="G67" s="44">
        <f>SUM(G53:G66)</f>
        <v>79042</v>
      </c>
      <c r="H67" s="44">
        <f>SUM(H53:H66)</f>
        <v>349343.33000000042</v>
      </c>
      <c r="I67" s="38"/>
      <c r="J67" s="32">
        <v>361139.1</v>
      </c>
      <c r="K67" s="26">
        <v>45169</v>
      </c>
      <c r="L67" s="33">
        <f>+H67+ROUND(E67*M67,2)+ROUND(G67*O67,2)-J67</f>
        <v>3.0000000435393304E-2</v>
      </c>
      <c r="M67" s="46">
        <v>7.8446499999999997</v>
      </c>
      <c r="N67" s="45">
        <f>+ROUND(E67*M67,2)</f>
        <v>7543.42</v>
      </c>
      <c r="O67" s="46">
        <v>5.3799E-2</v>
      </c>
      <c r="P67" s="45">
        <f>+ROUND(G67*O67,2)</f>
        <v>4252.38</v>
      </c>
    </row>
    <row r="68" spans="1:16" x14ac:dyDescent="0.2">
      <c r="C68" s="50" t="s">
        <v>32</v>
      </c>
      <c r="D68" s="51"/>
      <c r="E68" s="52"/>
      <c r="F68" s="52"/>
      <c r="G68" s="52"/>
      <c r="H68" s="53">
        <f>H69-H67</f>
        <v>-27823.460000000428</v>
      </c>
      <c r="I68" s="38"/>
    </row>
    <row r="69" spans="1:16" x14ac:dyDescent="0.2">
      <c r="E69" s="44">
        <f t="shared" ref="E69:G69" si="6">SUM(E67:E68)</f>
        <v>961.59999999999991</v>
      </c>
      <c r="F69" s="44"/>
      <c r="G69" s="44">
        <f t="shared" si="6"/>
        <v>79042</v>
      </c>
      <c r="H69" s="44">
        <v>321519.87</v>
      </c>
      <c r="I69" s="38"/>
      <c r="J69" s="32">
        <v>351726.68</v>
      </c>
      <c r="K69" s="26">
        <v>45199</v>
      </c>
      <c r="L69" s="33">
        <f>+J69-M69-O69</f>
        <v>351718.79874999996</v>
      </c>
      <c r="M69" s="46">
        <v>7.8285999999999998</v>
      </c>
      <c r="N69" s="45">
        <f>+ROUND(E69*M69,2)</f>
        <v>7527.98</v>
      </c>
      <c r="O69" s="46">
        <v>5.2650000000000002E-2</v>
      </c>
      <c r="P69" s="45">
        <f>+ROUND(G69*O69,2)</f>
        <v>4161.5600000000004</v>
      </c>
    </row>
    <row r="70" spans="1:16" x14ac:dyDescent="0.2">
      <c r="C70" s="50" t="s">
        <v>33</v>
      </c>
      <c r="D70" s="51"/>
      <c r="E70" s="52"/>
      <c r="F70" s="52"/>
      <c r="G70" s="52"/>
      <c r="H70" s="53">
        <f>+H71-H69</f>
        <v>-9572.7700000000186</v>
      </c>
    </row>
    <row r="71" spans="1:16" x14ac:dyDescent="0.2">
      <c r="B71" s="12">
        <v>45218</v>
      </c>
      <c r="C71" s="2" t="s">
        <v>34</v>
      </c>
      <c r="E71" s="54">
        <f t="shared" ref="E71:G71" si="7">SUM(E69:E70)</f>
        <v>961.59999999999991</v>
      </c>
      <c r="F71" s="54">
        <f t="shared" si="7"/>
        <v>0</v>
      </c>
      <c r="G71" s="54">
        <f t="shared" si="7"/>
        <v>79042</v>
      </c>
      <c r="H71" s="54">
        <v>311947.09999999998</v>
      </c>
    </row>
    <row r="72" spans="1:16" x14ac:dyDescent="0.2">
      <c r="A72" s="12">
        <v>45221</v>
      </c>
      <c r="B72" s="12">
        <v>45223</v>
      </c>
      <c r="C72" s="2" t="s">
        <v>13</v>
      </c>
      <c r="H72" s="14">
        <v>-300</v>
      </c>
    </row>
    <row r="73" spans="1:16" x14ac:dyDescent="0.2">
      <c r="A73" s="12">
        <v>45221</v>
      </c>
      <c r="B73" s="12">
        <v>45223</v>
      </c>
      <c r="C73" s="2" t="s">
        <v>13</v>
      </c>
      <c r="H73" s="14">
        <v>-2000</v>
      </c>
    </row>
    <row r="74" spans="1:16" x14ac:dyDescent="0.2">
      <c r="B74" s="12">
        <v>45227</v>
      </c>
      <c r="C74" s="2" t="s">
        <v>12</v>
      </c>
      <c r="H74" s="14">
        <v>233.77</v>
      </c>
    </row>
    <row r="75" spans="1:16" x14ac:dyDescent="0.2">
      <c r="E75" s="44">
        <f t="shared" ref="E75:G75" si="8">SUM(E71:E74)</f>
        <v>961.59999999999991</v>
      </c>
      <c r="F75" s="44">
        <f t="shared" si="8"/>
        <v>0</v>
      </c>
      <c r="G75" s="44">
        <f t="shared" si="8"/>
        <v>79042</v>
      </c>
      <c r="H75" s="44">
        <f>SUM(H71:H74)</f>
        <v>309880.87</v>
      </c>
      <c r="I75" s="49"/>
      <c r="J75" s="32">
        <v>321519.87</v>
      </c>
      <c r="K75" s="26">
        <v>45230</v>
      </c>
      <c r="L75" s="33">
        <f>+H75+ROUND(E75*M75,2)+ROUND(G75*O75,2)-J75</f>
        <v>1.0000000009313226E-2</v>
      </c>
      <c r="M75" s="46">
        <v>7.82355</v>
      </c>
      <c r="N75" s="45">
        <f>+ROUND(E75*M75,2)</f>
        <v>7523.13</v>
      </c>
      <c r="O75" s="46">
        <v>5.2072E-2</v>
      </c>
      <c r="P75" s="45">
        <f>+ROUND(G75*O75,2)</f>
        <v>4115.88</v>
      </c>
    </row>
    <row r="76" spans="1:16" x14ac:dyDescent="0.2">
      <c r="A76" s="12">
        <v>45240</v>
      </c>
      <c r="B76" s="12">
        <v>45240</v>
      </c>
      <c r="C76" s="2" t="s">
        <v>13</v>
      </c>
      <c r="H76" s="14">
        <v>-1200</v>
      </c>
    </row>
    <row r="77" spans="1:16" x14ac:dyDescent="0.2">
      <c r="A77" s="12">
        <v>45240</v>
      </c>
      <c r="B77" s="12">
        <v>45240</v>
      </c>
      <c r="C77" s="2" t="s">
        <v>13</v>
      </c>
      <c r="H77" s="14">
        <v>-2000</v>
      </c>
    </row>
    <row r="78" spans="1:16" x14ac:dyDescent="0.2">
      <c r="B78" s="12">
        <v>45240</v>
      </c>
      <c r="C78" s="2" t="s">
        <v>30</v>
      </c>
      <c r="D78" s="1">
        <f>-H78/F78</f>
        <v>1.0759749999999999</v>
      </c>
      <c r="F78" s="38">
        <v>2000</v>
      </c>
      <c r="H78" s="14">
        <v>-2151.9499999999998</v>
      </c>
    </row>
    <row r="79" spans="1:16" x14ac:dyDescent="0.2">
      <c r="A79" s="12">
        <v>45254</v>
      </c>
      <c r="B79" s="12">
        <v>45255</v>
      </c>
      <c r="C79" s="2" t="s">
        <v>13</v>
      </c>
      <c r="H79" s="14">
        <v>-2000</v>
      </c>
    </row>
    <row r="80" spans="1:16" x14ac:dyDescent="0.2">
      <c r="B80" s="12">
        <v>45258</v>
      </c>
      <c r="C80" s="2" t="s">
        <v>12</v>
      </c>
      <c r="H80" s="38">
        <v>228.13</v>
      </c>
      <c r="I80" s="38"/>
    </row>
    <row r="81" spans="1:18" x14ac:dyDescent="0.2">
      <c r="B81" s="12">
        <v>45259</v>
      </c>
      <c r="C81" s="2" t="s">
        <v>13</v>
      </c>
      <c r="H81" s="14">
        <v>-1100</v>
      </c>
    </row>
    <row r="82" spans="1:18" x14ac:dyDescent="0.2">
      <c r="B82" s="12">
        <v>45259</v>
      </c>
      <c r="C82" s="2" t="s">
        <v>13</v>
      </c>
      <c r="H82" s="14">
        <v>-2000</v>
      </c>
    </row>
    <row r="83" spans="1:18" x14ac:dyDescent="0.2">
      <c r="B83" s="12">
        <v>45260</v>
      </c>
      <c r="C83" s="2" t="s">
        <v>13</v>
      </c>
      <c r="H83" s="14">
        <v>-1300</v>
      </c>
    </row>
    <row r="84" spans="1:18" x14ac:dyDescent="0.2">
      <c r="B84" s="12">
        <v>45260</v>
      </c>
      <c r="C84" s="2" t="s">
        <v>13</v>
      </c>
      <c r="H84" s="14">
        <v>-2000</v>
      </c>
    </row>
    <row r="85" spans="1:18" x14ac:dyDescent="0.2">
      <c r="E85" s="43">
        <f>SUM(E75:E84)</f>
        <v>961.59999999999991</v>
      </c>
      <c r="F85" s="43">
        <f>SUM(F75:F84)</f>
        <v>2000</v>
      </c>
      <c r="G85" s="43">
        <f>SUM(G75:G84)</f>
        <v>79042</v>
      </c>
      <c r="H85" s="43">
        <f>SUM(H75:H84)</f>
        <v>296357.05</v>
      </c>
      <c r="I85" s="38"/>
      <c r="J85" s="32">
        <v>310250.84999999998</v>
      </c>
      <c r="K85" s="26">
        <v>45260</v>
      </c>
      <c r="M85" s="46">
        <v>7.8082000000000003</v>
      </c>
      <c r="N85" s="45">
        <f>+ROUND(E85*M85,2)</f>
        <v>7508.37</v>
      </c>
      <c r="O85" s="46">
        <v>5.3074999999999997E-2</v>
      </c>
      <c r="P85" s="45">
        <f>+ROUND(G85*O85,2)</f>
        <v>4195.1499999999996</v>
      </c>
      <c r="Q85" s="2">
        <f>R85/F85</f>
        <v>1.0951399999999945</v>
      </c>
      <c r="R85" s="34">
        <f>J85-H85-N85-P85</f>
        <v>2190.2799999999888</v>
      </c>
    </row>
    <row r="87" spans="1:18" x14ac:dyDescent="0.2">
      <c r="A87" s="12">
        <v>45263</v>
      </c>
      <c r="B87" s="12">
        <v>45264</v>
      </c>
      <c r="C87" s="2" t="s">
        <v>13</v>
      </c>
      <c r="H87" s="14">
        <v>-18000</v>
      </c>
    </row>
    <row r="88" spans="1:18" x14ac:dyDescent="0.2">
      <c r="A88" s="12">
        <v>45263</v>
      </c>
      <c r="B88" s="12">
        <f t="shared" ref="B88" si="9">B87</f>
        <v>45264</v>
      </c>
      <c r="C88" s="2" t="s">
        <v>13</v>
      </c>
      <c r="H88" s="38">
        <v>-2000</v>
      </c>
      <c r="I88" s="38"/>
    </row>
    <row r="89" spans="1:18" x14ac:dyDescent="0.2">
      <c r="B89" s="12">
        <v>45288</v>
      </c>
      <c r="C89" s="2" t="s">
        <v>12</v>
      </c>
      <c r="F89" s="38">
        <v>0.02</v>
      </c>
      <c r="H89" s="14">
        <v>201.69</v>
      </c>
    </row>
    <row r="90" spans="1:18" x14ac:dyDescent="0.2">
      <c r="E90" s="43">
        <f>SUM(E85:E89)</f>
        <v>961.59999999999991</v>
      </c>
      <c r="F90" s="43">
        <f>SUM(F85:F89)</f>
        <v>2000.02</v>
      </c>
      <c r="G90" s="43">
        <f>SUM(G85:G89)</f>
        <v>79042</v>
      </c>
      <c r="H90" s="43">
        <f>SUM(H85:H89)</f>
        <v>276558.74</v>
      </c>
      <c r="I90" s="38"/>
      <c r="J90" s="32">
        <v>290648.71999999997</v>
      </c>
      <c r="K90" s="26">
        <v>45291</v>
      </c>
      <c r="L90" s="33">
        <f>+H90+ROUND(E90*M90,2)+ROUND(G90*O90,2)-J90</f>
        <v>-2203.1499999999651</v>
      </c>
      <c r="M90" s="46">
        <v>7.8140499999999999</v>
      </c>
      <c r="N90" s="45">
        <f>+ROUND(E90*M90,2)</f>
        <v>7513.99</v>
      </c>
      <c r="O90" s="46">
        <v>5.5322999999999997E-2</v>
      </c>
      <c r="P90" s="45">
        <f>+ROUND(G90*O90,2)</f>
        <v>4372.84</v>
      </c>
    </row>
  </sheetData>
  <mergeCells count="2">
    <mergeCell ref="E2:H2"/>
    <mergeCell ref="E3:H3"/>
  </mergeCells>
  <printOptions horizontalCentered="1"/>
  <pageMargins left="0.39370078740157483" right="0.39370078740157483" top="0.39370078740157483" bottom="0.3937007874015748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defaultColWidth="9.140625" defaultRowHeight="12.75" x14ac:dyDescent="0.2"/>
  <cols>
    <col min="1" max="1" width="8.140625" style="12" customWidth="1"/>
    <col min="2" max="2" width="8" style="12" customWidth="1"/>
    <col min="3" max="3" width="55.85546875" style="2" bestFit="1" customWidth="1"/>
    <col min="4" max="4" width="7.42578125" style="1" customWidth="1"/>
    <col min="5" max="5" width="14" style="38" bestFit="1" customWidth="1"/>
    <col min="6" max="6" width="13.5703125" style="14" bestFit="1" customWidth="1"/>
    <col min="7" max="7" width="11.140625" style="29" bestFit="1" customWidth="1"/>
    <col min="8" max="8" width="8.140625" style="26" bestFit="1" customWidth="1"/>
    <col min="9" max="9" width="10.85546875" style="2" bestFit="1" customWidth="1"/>
    <col min="10" max="16384" width="9.140625" style="2"/>
  </cols>
  <sheetData>
    <row r="1" spans="1:10" ht="15.75" x14ac:dyDescent="0.25">
      <c r="A1" s="8" t="s">
        <v>11</v>
      </c>
      <c r="B1" s="9"/>
      <c r="C1" s="3"/>
      <c r="D1" s="4"/>
      <c r="E1" s="29"/>
      <c r="F1" s="29"/>
      <c r="H1" s="24"/>
    </row>
    <row r="2" spans="1:10" ht="15.75" x14ac:dyDescent="0.25">
      <c r="A2" s="8"/>
      <c r="B2" s="9"/>
      <c r="C2" s="3"/>
      <c r="D2" s="4"/>
      <c r="E2" s="79" t="s">
        <v>9</v>
      </c>
      <c r="F2" s="79"/>
      <c r="H2" s="24"/>
    </row>
    <row r="3" spans="1:10" x14ac:dyDescent="0.2">
      <c r="A3" s="9"/>
      <c r="B3" s="9"/>
      <c r="C3" s="3"/>
      <c r="D3" s="4"/>
      <c r="E3" s="79" t="s">
        <v>7</v>
      </c>
      <c r="F3" s="79"/>
      <c r="H3" s="24"/>
    </row>
    <row r="4" spans="1:10" s="7" customFormat="1" ht="15" x14ac:dyDescent="0.35">
      <c r="A4" s="10" t="s">
        <v>0</v>
      </c>
      <c r="B4" s="10" t="s">
        <v>1</v>
      </c>
      <c r="C4" s="6" t="s">
        <v>2</v>
      </c>
      <c r="D4" s="6" t="s">
        <v>5</v>
      </c>
      <c r="E4" s="37" t="s">
        <v>15</v>
      </c>
      <c r="F4" s="22" t="s">
        <v>3</v>
      </c>
      <c r="G4" s="30"/>
      <c r="H4" s="24"/>
      <c r="J4" s="7" t="s">
        <v>18</v>
      </c>
    </row>
    <row r="5" spans="1:10" s="13" customFormat="1" x14ac:dyDescent="0.2">
      <c r="A5" s="12"/>
      <c r="B5" s="11">
        <v>44562</v>
      </c>
      <c r="C5" s="2" t="s">
        <v>4</v>
      </c>
      <c r="D5" s="1"/>
      <c r="E5" s="38"/>
      <c r="F5" s="5">
        <f>+'21'!E55</f>
        <v>383521.67000000016</v>
      </c>
      <c r="G5" s="29"/>
      <c r="H5" s="25"/>
    </row>
    <row r="6" spans="1:10" x14ac:dyDescent="0.2">
      <c r="B6" s="11">
        <v>44589</v>
      </c>
      <c r="C6" s="2" t="s">
        <v>12</v>
      </c>
      <c r="F6" s="14">
        <f>383522.32-383521.67</f>
        <v>0.65000000002328306</v>
      </c>
      <c r="H6" s="25"/>
    </row>
    <row r="7" spans="1:10" x14ac:dyDescent="0.2">
      <c r="B7" s="11"/>
      <c r="F7" s="16">
        <f>SUM(F5:F6)</f>
        <v>383522.32000000018</v>
      </c>
      <c r="G7" s="32">
        <v>383522.32</v>
      </c>
      <c r="H7" s="25">
        <v>44592</v>
      </c>
      <c r="I7" s="33">
        <f t="shared" ref="I7:I13" si="0">+G7-F7</f>
        <v>0</v>
      </c>
    </row>
    <row r="8" spans="1:10" x14ac:dyDescent="0.2">
      <c r="B8" s="11">
        <v>44620</v>
      </c>
      <c r="C8" s="2" t="s">
        <v>12</v>
      </c>
      <c r="F8" s="14">
        <f>383522.97-383522.32</f>
        <v>0.6499999999650754</v>
      </c>
      <c r="H8" s="25"/>
      <c r="I8" s="33"/>
    </row>
    <row r="9" spans="1:10" x14ac:dyDescent="0.2">
      <c r="B9" s="11"/>
      <c r="F9" s="16">
        <f>SUM(F7:F8)</f>
        <v>383522.97000000015</v>
      </c>
      <c r="G9" s="32">
        <v>383522.97</v>
      </c>
      <c r="H9" s="25">
        <v>44620</v>
      </c>
      <c r="I9" s="33">
        <f t="shared" si="0"/>
        <v>0</v>
      </c>
    </row>
    <row r="10" spans="1:10" x14ac:dyDescent="0.2">
      <c r="B10" s="11">
        <v>44648</v>
      </c>
      <c r="C10" s="2" t="s">
        <v>12</v>
      </c>
      <c r="F10" s="14">
        <f>383523.56-383522.97</f>
        <v>0.59000000002561137</v>
      </c>
      <c r="H10" s="25"/>
      <c r="I10" s="33"/>
    </row>
    <row r="11" spans="1:10" x14ac:dyDescent="0.2">
      <c r="F11" s="16">
        <f>SUM(F9:F10)</f>
        <v>383523.56000000017</v>
      </c>
      <c r="G11" s="32">
        <v>383523.56</v>
      </c>
      <c r="H11" s="25">
        <v>44651</v>
      </c>
      <c r="I11" s="33">
        <f t="shared" si="0"/>
        <v>0</v>
      </c>
    </row>
    <row r="12" spans="1:10" x14ac:dyDescent="0.2">
      <c r="B12" s="11">
        <v>44679</v>
      </c>
      <c r="C12" s="2" t="s">
        <v>12</v>
      </c>
      <c r="F12" s="14">
        <v>0.65</v>
      </c>
      <c r="H12" s="25"/>
      <c r="I12" s="33"/>
    </row>
    <row r="13" spans="1:10" x14ac:dyDescent="0.2">
      <c r="F13" s="16">
        <f>SUM(F11:F12)</f>
        <v>383524.2100000002</v>
      </c>
      <c r="G13" s="32">
        <v>383524.21</v>
      </c>
      <c r="H13" s="25">
        <v>44681</v>
      </c>
      <c r="I13" s="33">
        <f t="shared" si="0"/>
        <v>0</v>
      </c>
    </row>
    <row r="14" spans="1:10" x14ac:dyDescent="0.2">
      <c r="B14" s="9">
        <v>44705</v>
      </c>
      <c r="C14" s="3" t="s">
        <v>13</v>
      </c>
      <c r="D14" s="4"/>
      <c r="E14" s="39"/>
      <c r="F14" s="34">
        <v>-5000</v>
      </c>
      <c r="H14" s="25"/>
      <c r="I14" s="33"/>
    </row>
    <row r="15" spans="1:10" x14ac:dyDescent="0.2">
      <c r="B15" s="35">
        <v>44709</v>
      </c>
      <c r="C15" s="3" t="s">
        <v>12</v>
      </c>
      <c r="D15" s="4"/>
      <c r="E15" s="39"/>
      <c r="F15" s="36">
        <f>5000-4999.37</f>
        <v>0.63000000000010914</v>
      </c>
      <c r="H15" s="25"/>
      <c r="I15" s="33"/>
    </row>
    <row r="16" spans="1:10" x14ac:dyDescent="0.2">
      <c r="F16" s="16">
        <f>SUM(F13:F15)</f>
        <v>378524.8400000002</v>
      </c>
      <c r="G16" s="32">
        <v>378524.84</v>
      </c>
      <c r="H16" s="25">
        <v>44712</v>
      </c>
      <c r="I16" s="33">
        <f>+G16-F16</f>
        <v>0</v>
      </c>
    </row>
    <row r="17" spans="2:11" x14ac:dyDescent="0.2">
      <c r="B17" s="11">
        <v>44740</v>
      </c>
      <c r="C17" s="2" t="s">
        <v>12</v>
      </c>
      <c r="E17" s="40"/>
      <c r="F17" s="14">
        <v>0.65</v>
      </c>
      <c r="H17" s="25"/>
      <c r="I17" s="33"/>
    </row>
    <row r="18" spans="2:11" x14ac:dyDescent="0.2">
      <c r="E18" s="40"/>
      <c r="F18" s="16">
        <f>SUM(F16:F17)</f>
        <v>378525.49000000022</v>
      </c>
      <c r="G18" s="32">
        <v>378525.49</v>
      </c>
      <c r="H18" s="25">
        <v>44742</v>
      </c>
      <c r="I18" s="33">
        <f>+G18-F18</f>
        <v>0</v>
      </c>
    </row>
    <row r="19" spans="2:11" x14ac:dyDescent="0.2">
      <c r="B19" s="11">
        <v>44770</v>
      </c>
      <c r="C19" s="2" t="s">
        <v>12</v>
      </c>
      <c r="E19" s="40"/>
      <c r="F19" s="14">
        <v>0.62</v>
      </c>
      <c r="H19" s="25"/>
      <c r="I19" s="33"/>
    </row>
    <row r="20" spans="2:11" x14ac:dyDescent="0.2">
      <c r="F20" s="16">
        <f>SUM(F18:F19)</f>
        <v>378526.11000000022</v>
      </c>
      <c r="G20" s="32">
        <v>378526.11</v>
      </c>
      <c r="H20" s="25">
        <v>44772</v>
      </c>
      <c r="I20" s="33">
        <f>+G20-F20</f>
        <v>0</v>
      </c>
    </row>
    <row r="21" spans="2:11" x14ac:dyDescent="0.2">
      <c r="B21" s="12">
        <v>44797</v>
      </c>
      <c r="C21" s="2" t="s">
        <v>20</v>
      </c>
      <c r="E21" s="40">
        <v>1000</v>
      </c>
      <c r="F21" s="5"/>
      <c r="G21" s="32"/>
      <c r="H21" s="25"/>
      <c r="I21" s="33"/>
    </row>
    <row r="22" spans="2:11" x14ac:dyDescent="0.2">
      <c r="B22" s="11">
        <v>44800</v>
      </c>
      <c r="C22" s="2" t="s">
        <v>12</v>
      </c>
      <c r="E22" s="40"/>
      <c r="F22" s="14">
        <v>0.62</v>
      </c>
      <c r="G22" s="32"/>
      <c r="H22" s="25"/>
      <c r="I22" s="33"/>
    </row>
    <row r="23" spans="2:11" x14ac:dyDescent="0.2">
      <c r="B23" s="12">
        <v>44803</v>
      </c>
      <c r="C23" s="2" t="s">
        <v>16</v>
      </c>
      <c r="E23" s="40">
        <v>0.15</v>
      </c>
      <c r="F23" s="5"/>
      <c r="G23" s="32"/>
      <c r="H23" s="25"/>
      <c r="I23" s="33"/>
    </row>
    <row r="24" spans="2:11" x14ac:dyDescent="0.2">
      <c r="B24" s="12">
        <v>44803</v>
      </c>
      <c r="C24" s="2" t="s">
        <v>17</v>
      </c>
      <c r="E24" s="40">
        <v>-38.590000000000003</v>
      </c>
      <c r="F24" s="5"/>
      <c r="G24" s="32"/>
      <c r="H24" s="25"/>
      <c r="I24" s="33"/>
    </row>
    <row r="25" spans="2:11" x14ac:dyDescent="0.2">
      <c r="E25" s="16">
        <f>SUM(E20:E24)</f>
        <v>961.56</v>
      </c>
      <c r="F25" s="16">
        <f>SUM(F20:F24)</f>
        <v>378526.73000000021</v>
      </c>
      <c r="G25" s="32">
        <v>386072.38</v>
      </c>
      <c r="H25" s="25">
        <v>44804</v>
      </c>
      <c r="I25" s="33">
        <f>+F25+ROUND(E25*J25,2)-G25</f>
        <v>0</v>
      </c>
      <c r="J25" s="2">
        <v>7.8472999999999997</v>
      </c>
    </row>
    <row r="26" spans="2:11" x14ac:dyDescent="0.2">
      <c r="B26" s="11">
        <v>44832</v>
      </c>
      <c r="C26" s="2" t="s">
        <v>12</v>
      </c>
      <c r="E26" s="40"/>
      <c r="F26" s="14">
        <v>7.09</v>
      </c>
      <c r="G26" s="32"/>
      <c r="H26" s="25"/>
      <c r="I26" s="33"/>
    </row>
    <row r="27" spans="2:11" x14ac:dyDescent="0.2">
      <c r="E27" s="16">
        <f>SUM(E25:E26)</f>
        <v>961.56</v>
      </c>
      <c r="F27" s="16">
        <f>SUM(F25:F26)</f>
        <v>378533.82000000024</v>
      </c>
      <c r="G27" s="32">
        <v>386081.92</v>
      </c>
      <c r="H27" s="25">
        <v>44834</v>
      </c>
      <c r="I27" s="33">
        <f t="shared" ref="I27:I29" si="1">+F27+ROUND(E27*J27,2)-G27</f>
        <v>0</v>
      </c>
      <c r="J27" s="2">
        <v>7.84985</v>
      </c>
    </row>
    <row r="28" spans="2:11" x14ac:dyDescent="0.2">
      <c r="B28" s="11">
        <v>44862</v>
      </c>
      <c r="C28" s="2" t="s">
        <v>12</v>
      </c>
      <c r="E28" s="40"/>
      <c r="F28" s="14">
        <v>39.21</v>
      </c>
      <c r="G28" s="32"/>
      <c r="H28" s="25"/>
      <c r="I28" s="33"/>
    </row>
    <row r="29" spans="2:11" x14ac:dyDescent="0.2">
      <c r="E29" s="16">
        <f>SUM(E27:E28)</f>
        <v>961.56</v>
      </c>
      <c r="F29" s="16">
        <f>SUM(F27:F28)</f>
        <v>378573.03000000026</v>
      </c>
      <c r="G29" s="32">
        <v>386120.84</v>
      </c>
      <c r="H29" s="25">
        <v>44865</v>
      </c>
      <c r="I29" s="33">
        <f t="shared" si="1"/>
        <v>0</v>
      </c>
      <c r="J29" s="2">
        <v>7.8495499999999998</v>
      </c>
    </row>
    <row r="30" spans="2:11" x14ac:dyDescent="0.2">
      <c r="B30" s="11">
        <v>44893</v>
      </c>
      <c r="C30" s="2" t="s">
        <v>12</v>
      </c>
      <c r="E30" s="40"/>
      <c r="F30" s="14">
        <v>102.75</v>
      </c>
      <c r="G30" s="32"/>
      <c r="H30" s="25"/>
      <c r="I30" s="33"/>
    </row>
    <row r="31" spans="2:11" x14ac:dyDescent="0.2">
      <c r="E31" s="16">
        <f>SUM(E29:E30)</f>
        <v>961.56</v>
      </c>
      <c r="F31" s="16">
        <f>SUM(F29:F30)</f>
        <v>378675.78000000026</v>
      </c>
      <c r="G31" s="32">
        <v>386179.75</v>
      </c>
      <c r="H31" s="25">
        <v>44895</v>
      </c>
      <c r="I31" s="33">
        <f t="shared" ref="I31" si="2">+F31+ROUND(E31*J31,2)-G31</f>
        <v>0</v>
      </c>
      <c r="J31" s="2">
        <v>7.8039500000000004</v>
      </c>
      <c r="K31" s="2">
        <f>+ROUND(E31*J31,2)</f>
        <v>7503.97</v>
      </c>
    </row>
    <row r="32" spans="2:11" x14ac:dyDescent="0.2">
      <c r="B32" s="12">
        <v>44914</v>
      </c>
      <c r="C32" s="2" t="s">
        <v>13</v>
      </c>
      <c r="E32" s="5"/>
      <c r="F32" s="5">
        <v>-17489</v>
      </c>
      <c r="G32" s="32"/>
      <c r="H32" s="25"/>
      <c r="I32" s="33"/>
    </row>
    <row r="33" spans="2:11" x14ac:dyDescent="0.2">
      <c r="B33" s="12">
        <v>44915</v>
      </c>
      <c r="C33" s="2" t="s">
        <v>13</v>
      </c>
      <c r="E33" s="5"/>
      <c r="F33" s="5">
        <v>-1154</v>
      </c>
      <c r="G33" s="32"/>
      <c r="H33" s="25"/>
      <c r="I33" s="33"/>
    </row>
    <row r="34" spans="2:11" x14ac:dyDescent="0.2">
      <c r="B34" s="11">
        <v>44923</v>
      </c>
      <c r="C34" s="2" t="s">
        <v>12</v>
      </c>
      <c r="E34" s="40">
        <v>0.04</v>
      </c>
      <c r="F34" s="14">
        <v>145.32</v>
      </c>
      <c r="G34" s="32"/>
      <c r="H34" s="25"/>
      <c r="I34" s="33"/>
    </row>
    <row r="35" spans="2:11" x14ac:dyDescent="0.2">
      <c r="E35" s="16">
        <f>SUM(E31:E34)</f>
        <v>961.59999999999991</v>
      </c>
      <c r="F35" s="16">
        <f>SUM(F31:F34)</f>
        <v>360178.10000000027</v>
      </c>
      <c r="G35" s="32">
        <v>367676.03</v>
      </c>
      <c r="H35" s="25">
        <v>44926</v>
      </c>
      <c r="I35" s="33">
        <f>+F35+ROUND(E35*J35,2)-G35</f>
        <v>0</v>
      </c>
      <c r="J35" s="2">
        <v>7.7973499999999998</v>
      </c>
      <c r="K35" s="2">
        <f>+ROUND(E35*J35,2)</f>
        <v>7497.93</v>
      </c>
    </row>
    <row r="36" spans="2:11" x14ac:dyDescent="0.2">
      <c r="J36" s="41"/>
    </row>
    <row r="37" spans="2:11" x14ac:dyDescent="0.2">
      <c r="E37" s="16">
        <f>SUM(E35:E36)</f>
        <v>961.59999999999991</v>
      </c>
      <c r="F37" s="16">
        <f>SUM(F35:F36)</f>
        <v>360178.10000000027</v>
      </c>
      <c r="G37" s="32">
        <v>367906.72</v>
      </c>
      <c r="H37" s="25">
        <v>44957</v>
      </c>
      <c r="I37" s="33">
        <f>+F37+ROUND(E37*J37,2)-G37</f>
        <v>-191.54999999969732</v>
      </c>
      <c r="J37" s="2">
        <v>7.83805</v>
      </c>
      <c r="K37" s="2">
        <f>+ROUND(E37*J37,2)</f>
        <v>7537.07</v>
      </c>
    </row>
  </sheetData>
  <mergeCells count="2">
    <mergeCell ref="E2:F2"/>
    <mergeCell ref="E3:F3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defaultColWidth="9.140625" defaultRowHeight="12.75" x14ac:dyDescent="0.2"/>
  <cols>
    <col min="1" max="1" width="8.140625" style="12" customWidth="1"/>
    <col min="2" max="2" width="8" style="12" customWidth="1"/>
    <col min="3" max="3" width="55.85546875" style="2" bestFit="1" customWidth="1"/>
    <col min="4" max="4" width="7.42578125" style="1" customWidth="1"/>
    <col min="5" max="5" width="13.5703125" style="14" bestFit="1" customWidth="1"/>
    <col min="6" max="6" width="9.85546875" style="29" bestFit="1" customWidth="1"/>
    <col min="7" max="7" width="7.140625" style="26" bestFit="1" customWidth="1"/>
    <col min="8" max="8" width="5.140625" style="2" bestFit="1" customWidth="1"/>
    <col min="9" max="16384" width="9.140625" style="2"/>
  </cols>
  <sheetData>
    <row r="1" spans="1:7" ht="15.75" x14ac:dyDescent="0.25">
      <c r="A1" s="8" t="s">
        <v>11</v>
      </c>
      <c r="B1" s="9"/>
      <c r="C1" s="3"/>
      <c r="D1" s="4"/>
      <c r="E1" s="29"/>
      <c r="G1" s="24"/>
    </row>
    <row r="2" spans="1:7" ht="15.75" x14ac:dyDescent="0.25">
      <c r="A2" s="8"/>
      <c r="B2" s="9"/>
      <c r="C2" s="3"/>
      <c r="D2" s="4"/>
      <c r="E2" s="20" t="s">
        <v>9</v>
      </c>
      <c r="G2" s="24"/>
    </row>
    <row r="3" spans="1:7" x14ac:dyDescent="0.2">
      <c r="A3" s="9"/>
      <c r="B3" s="9"/>
      <c r="C3" s="3"/>
      <c r="D3" s="4"/>
      <c r="E3" s="21" t="s">
        <v>7</v>
      </c>
      <c r="G3" s="24"/>
    </row>
    <row r="4" spans="1:7" s="7" customFormat="1" ht="15" x14ac:dyDescent="0.35">
      <c r="A4" s="10" t="s">
        <v>0</v>
      </c>
      <c r="B4" s="10" t="s">
        <v>1</v>
      </c>
      <c r="C4" s="6" t="s">
        <v>2</v>
      </c>
      <c r="D4" s="6" t="s">
        <v>5</v>
      </c>
      <c r="E4" s="22" t="s">
        <v>3</v>
      </c>
      <c r="F4" s="30"/>
      <c r="G4" s="24"/>
    </row>
    <row r="5" spans="1:7" s="13" customFormat="1" x14ac:dyDescent="0.2">
      <c r="A5" s="12">
        <v>44196</v>
      </c>
      <c r="B5" s="11">
        <v>44197</v>
      </c>
      <c r="C5" s="2" t="s">
        <v>4</v>
      </c>
      <c r="D5" s="1"/>
      <c r="E5" s="5">
        <f>+'20'!E24</f>
        <v>451606.80000000005</v>
      </c>
      <c r="F5" s="29"/>
      <c r="G5" s="25"/>
    </row>
    <row r="6" spans="1:7" s="13" customFormat="1" x14ac:dyDescent="0.2">
      <c r="A6" s="12"/>
      <c r="B6" s="11">
        <v>44204</v>
      </c>
      <c r="C6" s="2" t="s">
        <v>10</v>
      </c>
      <c r="D6" s="1"/>
      <c r="E6" s="14">
        <v>-2100</v>
      </c>
      <c r="F6" s="29"/>
      <c r="G6" s="25"/>
    </row>
    <row r="7" spans="1:7" s="13" customFormat="1" x14ac:dyDescent="0.2">
      <c r="A7" s="12"/>
      <c r="B7" s="11"/>
      <c r="C7" s="2" t="s">
        <v>10</v>
      </c>
      <c r="D7" s="1"/>
      <c r="E7" s="14">
        <v>-220</v>
      </c>
      <c r="F7" s="29"/>
      <c r="G7" s="25"/>
    </row>
    <row r="8" spans="1:7" s="13" customFormat="1" x14ac:dyDescent="0.2">
      <c r="A8" s="12"/>
      <c r="B8" s="11">
        <v>44207</v>
      </c>
      <c r="C8" s="2" t="s">
        <v>10</v>
      </c>
      <c r="D8" s="1"/>
      <c r="E8" s="14">
        <v>-850</v>
      </c>
      <c r="F8" s="29"/>
      <c r="G8" s="25"/>
    </row>
    <row r="9" spans="1:7" s="13" customFormat="1" x14ac:dyDescent="0.2">
      <c r="A9" s="12"/>
      <c r="B9" s="11">
        <v>44208</v>
      </c>
      <c r="C9" s="2" t="s">
        <v>10</v>
      </c>
      <c r="D9" s="1"/>
      <c r="E9" s="14">
        <v>-152</v>
      </c>
      <c r="F9" s="29"/>
      <c r="G9" s="25"/>
    </row>
    <row r="10" spans="1:7" x14ac:dyDescent="0.2">
      <c r="C10" s="2" t="s">
        <v>10</v>
      </c>
      <c r="E10" s="14">
        <v>-850</v>
      </c>
    </row>
    <row r="11" spans="1:7" x14ac:dyDescent="0.2">
      <c r="B11" s="12">
        <v>44214</v>
      </c>
      <c r="C11" s="2" t="s">
        <v>10</v>
      </c>
      <c r="E11" s="14">
        <v>-574</v>
      </c>
    </row>
    <row r="12" spans="1:7" x14ac:dyDescent="0.2">
      <c r="B12" s="11">
        <v>44216</v>
      </c>
      <c r="C12" s="2" t="s">
        <v>10</v>
      </c>
      <c r="D12" s="15"/>
      <c r="E12" s="14">
        <v>-32</v>
      </c>
      <c r="G12" s="25"/>
    </row>
    <row r="13" spans="1:7" x14ac:dyDescent="0.2">
      <c r="B13" s="11"/>
      <c r="C13" s="2" t="s">
        <v>10</v>
      </c>
      <c r="E13" s="14">
        <v>-60</v>
      </c>
      <c r="G13" s="25"/>
    </row>
    <row r="14" spans="1:7" x14ac:dyDescent="0.2">
      <c r="B14" s="11"/>
      <c r="C14" s="2" t="s">
        <v>10</v>
      </c>
      <c r="E14" s="14">
        <v>-10</v>
      </c>
      <c r="G14" s="25"/>
    </row>
    <row r="15" spans="1:7" x14ac:dyDescent="0.2">
      <c r="B15" s="11">
        <v>44224</v>
      </c>
      <c r="C15" s="2" t="s">
        <v>12</v>
      </c>
      <c r="E15" s="14">
        <v>0.76</v>
      </c>
      <c r="G15" s="25"/>
    </row>
    <row r="16" spans="1:7" s="13" customFormat="1" x14ac:dyDescent="0.2">
      <c r="A16" s="12"/>
      <c r="B16" s="11"/>
      <c r="C16" s="2" t="s">
        <v>10</v>
      </c>
      <c r="D16" s="1"/>
      <c r="E16" s="16">
        <f>SUM(E5:E15)</f>
        <v>446759.56000000006</v>
      </c>
      <c r="F16" s="29"/>
      <c r="G16" s="25"/>
    </row>
    <row r="17" spans="1:7" x14ac:dyDescent="0.2">
      <c r="B17" s="11">
        <v>44228</v>
      </c>
      <c r="C17" s="2" t="s">
        <v>10</v>
      </c>
      <c r="E17" s="14">
        <v>-500</v>
      </c>
      <c r="G17" s="25"/>
    </row>
    <row r="18" spans="1:7" x14ac:dyDescent="0.2">
      <c r="B18" s="11">
        <v>44232</v>
      </c>
      <c r="C18" s="2" t="s">
        <v>10</v>
      </c>
      <c r="E18" s="14">
        <v>-2650</v>
      </c>
      <c r="G18" s="25"/>
    </row>
    <row r="19" spans="1:7" x14ac:dyDescent="0.2">
      <c r="B19" s="11">
        <v>44235</v>
      </c>
      <c r="C19" s="2" t="s">
        <v>10</v>
      </c>
      <c r="E19" s="14">
        <v>-6995</v>
      </c>
      <c r="G19" s="25"/>
    </row>
    <row r="20" spans="1:7" x14ac:dyDescent="0.2">
      <c r="B20" s="11">
        <v>44237</v>
      </c>
      <c r="C20" s="2" t="s">
        <v>10</v>
      </c>
      <c r="E20" s="14">
        <v>-1000</v>
      </c>
      <c r="G20" s="25"/>
    </row>
    <row r="21" spans="1:7" x14ac:dyDescent="0.2">
      <c r="B21" s="11"/>
      <c r="C21" s="2" t="s">
        <v>10</v>
      </c>
      <c r="E21" s="14">
        <v>-500</v>
      </c>
      <c r="G21" s="25"/>
    </row>
    <row r="22" spans="1:7" x14ac:dyDescent="0.2">
      <c r="B22" s="11">
        <v>44243</v>
      </c>
      <c r="C22" s="2" t="s">
        <v>10</v>
      </c>
      <c r="E22" s="14">
        <v>-19960</v>
      </c>
      <c r="G22" s="25"/>
    </row>
    <row r="23" spans="1:7" x14ac:dyDescent="0.2">
      <c r="B23" s="11"/>
      <c r="C23" s="2" t="s">
        <v>10</v>
      </c>
      <c r="E23" s="14">
        <v>-1704</v>
      </c>
      <c r="G23" s="25"/>
    </row>
    <row r="24" spans="1:7" s="13" customFormat="1" x14ac:dyDescent="0.2">
      <c r="A24" s="12"/>
      <c r="B24" s="11">
        <v>44244</v>
      </c>
      <c r="C24" s="2" t="s">
        <v>10</v>
      </c>
      <c r="D24" s="1"/>
      <c r="E24" s="14">
        <v>-15000</v>
      </c>
      <c r="F24" s="31"/>
      <c r="G24" s="25"/>
    </row>
    <row r="25" spans="1:7" s="13" customFormat="1" x14ac:dyDescent="0.2">
      <c r="A25" s="12"/>
      <c r="B25" s="11">
        <v>44247</v>
      </c>
      <c r="C25" s="2" t="s">
        <v>10</v>
      </c>
      <c r="D25" s="1"/>
      <c r="E25" s="14">
        <v>-1209</v>
      </c>
      <c r="F25" s="31"/>
      <c r="G25" s="25"/>
    </row>
    <row r="26" spans="1:7" s="13" customFormat="1" x14ac:dyDescent="0.2">
      <c r="A26" s="12"/>
      <c r="B26" s="11">
        <v>44254</v>
      </c>
      <c r="C26" s="2" t="s">
        <v>12</v>
      </c>
      <c r="D26" s="1"/>
      <c r="E26" s="14">
        <v>0.7</v>
      </c>
      <c r="F26" s="31"/>
      <c r="G26" s="25"/>
    </row>
    <row r="27" spans="1:7" s="13" customFormat="1" x14ac:dyDescent="0.2">
      <c r="A27" s="12"/>
      <c r="B27" s="11"/>
      <c r="C27" s="2"/>
      <c r="D27" s="1"/>
      <c r="E27" s="16">
        <f>SUM(E16:E26)</f>
        <v>397242.26000000007</v>
      </c>
      <c r="F27" s="29"/>
      <c r="G27" s="25"/>
    </row>
    <row r="28" spans="1:7" s="13" customFormat="1" x14ac:dyDescent="0.2">
      <c r="A28" s="12"/>
      <c r="B28" s="11">
        <v>44256</v>
      </c>
      <c r="C28" s="2" t="s">
        <v>10</v>
      </c>
      <c r="D28" s="1"/>
      <c r="E28" s="14">
        <v>-570</v>
      </c>
      <c r="F28" s="31"/>
      <c r="G28" s="25"/>
    </row>
    <row r="29" spans="1:7" s="13" customFormat="1" x14ac:dyDescent="0.2">
      <c r="A29" s="12"/>
      <c r="B29" s="11">
        <v>44264</v>
      </c>
      <c r="C29" s="2" t="s">
        <v>10</v>
      </c>
      <c r="D29" s="1"/>
      <c r="E29" s="14">
        <v>-380</v>
      </c>
      <c r="F29" s="31"/>
      <c r="G29" s="25"/>
    </row>
    <row r="30" spans="1:7" s="13" customFormat="1" x14ac:dyDescent="0.2">
      <c r="A30" s="12"/>
      <c r="B30" s="11">
        <v>44264</v>
      </c>
      <c r="C30" s="2" t="s">
        <v>10</v>
      </c>
      <c r="D30" s="1"/>
      <c r="E30" s="14">
        <v>-168</v>
      </c>
      <c r="F30" s="31"/>
      <c r="G30" s="25"/>
    </row>
    <row r="31" spans="1:7" s="13" customFormat="1" x14ac:dyDescent="0.2">
      <c r="A31" s="12"/>
      <c r="B31" s="11">
        <v>44267</v>
      </c>
      <c r="C31" s="2" t="s">
        <v>10</v>
      </c>
      <c r="D31" s="1"/>
      <c r="E31" s="14">
        <v>-2516</v>
      </c>
      <c r="F31" s="31"/>
      <c r="G31" s="25"/>
    </row>
    <row r="32" spans="1:7" s="13" customFormat="1" x14ac:dyDescent="0.2">
      <c r="A32" s="12"/>
      <c r="B32" s="11">
        <v>44282</v>
      </c>
      <c r="C32" s="2" t="s">
        <v>12</v>
      </c>
      <c r="D32" s="1"/>
      <c r="E32" s="14">
        <v>0.61</v>
      </c>
      <c r="F32" s="31"/>
      <c r="G32" s="25"/>
    </row>
    <row r="33" spans="1:8" s="13" customFormat="1" x14ac:dyDescent="0.2">
      <c r="A33" s="12"/>
      <c r="B33" s="11"/>
      <c r="C33" s="2" t="s">
        <v>10</v>
      </c>
      <c r="D33" s="1"/>
      <c r="E33" s="14">
        <v>-4062</v>
      </c>
      <c r="F33" s="31"/>
      <c r="G33" s="25"/>
    </row>
    <row r="34" spans="1:8" s="13" customFormat="1" x14ac:dyDescent="0.2">
      <c r="A34" s="12"/>
      <c r="B34" s="11">
        <v>44286</v>
      </c>
      <c r="C34" s="2" t="s">
        <v>10</v>
      </c>
      <c r="D34" s="1"/>
      <c r="E34" s="14">
        <v>-950</v>
      </c>
      <c r="F34" s="31"/>
      <c r="G34" s="25"/>
    </row>
    <row r="35" spans="1:8" s="13" customFormat="1" x14ac:dyDescent="0.2">
      <c r="A35" s="12"/>
      <c r="B35" s="11"/>
      <c r="C35" s="2"/>
      <c r="D35" s="1"/>
      <c r="E35" s="23">
        <f>SUM(E27:E34)</f>
        <v>388596.87000000005</v>
      </c>
      <c r="F35" s="32">
        <v>388596.87</v>
      </c>
      <c r="G35" s="25">
        <v>44286</v>
      </c>
      <c r="H35" s="28">
        <f>+F35-E35</f>
        <v>0</v>
      </c>
    </row>
    <row r="36" spans="1:8" s="13" customFormat="1" x14ac:dyDescent="0.2">
      <c r="A36" s="12"/>
      <c r="B36" s="11">
        <v>44293</v>
      </c>
      <c r="C36" s="2" t="s">
        <v>10</v>
      </c>
      <c r="D36" s="1"/>
      <c r="E36" s="14">
        <v>-4861</v>
      </c>
      <c r="F36" s="31"/>
      <c r="G36" s="25"/>
      <c r="H36" s="28"/>
    </row>
    <row r="37" spans="1:8" s="13" customFormat="1" x14ac:dyDescent="0.2">
      <c r="A37" s="12"/>
      <c r="B37" s="11">
        <f>B36</f>
        <v>44293</v>
      </c>
      <c r="C37" s="2" t="s">
        <v>10</v>
      </c>
      <c r="D37" s="1"/>
      <c r="E37" s="14">
        <v>-220</v>
      </c>
      <c r="F37" s="31"/>
      <c r="G37" s="25"/>
      <c r="H37" s="28"/>
    </row>
    <row r="38" spans="1:8" s="13" customFormat="1" x14ac:dyDescent="0.2">
      <c r="A38" s="12"/>
      <c r="B38" s="11">
        <v>44314</v>
      </c>
      <c r="C38" s="2" t="s">
        <v>12</v>
      </c>
      <c r="D38" s="1"/>
      <c r="E38" s="14">
        <v>0.68</v>
      </c>
      <c r="F38" s="31"/>
      <c r="G38" s="25"/>
      <c r="H38" s="28"/>
    </row>
    <row r="39" spans="1:8" s="13" customFormat="1" x14ac:dyDescent="0.2">
      <c r="A39" s="12"/>
      <c r="B39" s="11"/>
      <c r="C39" s="2"/>
      <c r="D39" s="1"/>
      <c r="E39" s="23">
        <f>SUM(E35:E38)</f>
        <v>383516.55000000005</v>
      </c>
      <c r="F39" s="32">
        <v>383516.55</v>
      </c>
      <c r="G39" s="27">
        <v>44316</v>
      </c>
      <c r="H39" s="28">
        <f t="shared" ref="H39:H43" si="0">+F39-E39</f>
        <v>0</v>
      </c>
    </row>
    <row r="40" spans="1:8" s="13" customFormat="1" x14ac:dyDescent="0.2">
      <c r="A40" s="12"/>
      <c r="B40" s="11">
        <v>44344</v>
      </c>
      <c r="C40" s="2" t="s">
        <v>12</v>
      </c>
      <c r="D40" s="1"/>
      <c r="E40" s="14">
        <v>0.63</v>
      </c>
      <c r="F40" s="29"/>
      <c r="G40" s="25"/>
      <c r="H40" s="28"/>
    </row>
    <row r="41" spans="1:8" s="13" customFormat="1" x14ac:dyDescent="0.2">
      <c r="A41" s="12"/>
      <c r="B41" s="11"/>
      <c r="C41" s="2"/>
      <c r="D41" s="1"/>
      <c r="E41" s="23">
        <f>SUM(E39:E40)</f>
        <v>383517.18000000005</v>
      </c>
      <c r="F41" s="32">
        <v>383517.18</v>
      </c>
      <c r="G41" s="25">
        <v>44347</v>
      </c>
      <c r="H41" s="28">
        <f t="shared" si="0"/>
        <v>0</v>
      </c>
    </row>
    <row r="42" spans="1:8" x14ac:dyDescent="0.2">
      <c r="B42" s="11">
        <v>44375</v>
      </c>
      <c r="C42" s="2" t="s">
        <v>12</v>
      </c>
      <c r="E42" s="14">
        <v>0.65</v>
      </c>
      <c r="G42" s="25"/>
      <c r="H42" s="28"/>
    </row>
    <row r="43" spans="1:8" s="13" customFormat="1" x14ac:dyDescent="0.2">
      <c r="A43" s="12"/>
      <c r="B43" s="11"/>
      <c r="C43" s="2"/>
      <c r="D43" s="1"/>
      <c r="E43" s="16">
        <f>SUM(E41:E42)</f>
        <v>383517.83000000007</v>
      </c>
      <c r="F43" s="32">
        <v>383517.83</v>
      </c>
      <c r="G43" s="25">
        <v>44377</v>
      </c>
      <c r="H43" s="28">
        <f t="shared" si="0"/>
        <v>0</v>
      </c>
    </row>
    <row r="44" spans="1:8" s="5" customFormat="1" x14ac:dyDescent="0.2">
      <c r="A44" s="12"/>
      <c r="B44" s="11">
        <v>44405</v>
      </c>
      <c r="C44" s="2" t="s">
        <v>12</v>
      </c>
      <c r="D44" s="1"/>
      <c r="E44" s="14">
        <v>0.63</v>
      </c>
      <c r="F44" s="29"/>
      <c r="G44" s="25"/>
      <c r="H44" s="28"/>
    </row>
    <row r="45" spans="1:8" s="5" customFormat="1" x14ac:dyDescent="0.2">
      <c r="A45" s="12"/>
      <c r="B45" s="11"/>
      <c r="C45" s="2"/>
      <c r="D45" s="1"/>
      <c r="E45" s="16">
        <f>SUM(E43:E44)</f>
        <v>383518.46000000008</v>
      </c>
      <c r="F45" s="32">
        <v>383518.46</v>
      </c>
      <c r="G45" s="25">
        <v>44408</v>
      </c>
      <c r="H45" s="28">
        <f t="shared" ref="H45" si="1">+F45-E45</f>
        <v>0</v>
      </c>
    </row>
    <row r="46" spans="1:8" s="5" customFormat="1" x14ac:dyDescent="0.2">
      <c r="A46" s="12"/>
      <c r="B46" s="11">
        <v>44436</v>
      </c>
      <c r="C46" s="2" t="s">
        <v>12</v>
      </c>
      <c r="D46" s="1"/>
      <c r="E46" s="14">
        <v>0.65</v>
      </c>
      <c r="F46" s="29"/>
      <c r="G46" s="25"/>
      <c r="H46" s="28"/>
    </row>
    <row r="47" spans="1:8" s="5" customFormat="1" x14ac:dyDescent="0.2">
      <c r="A47" s="12"/>
      <c r="B47" s="11"/>
      <c r="C47" s="2"/>
      <c r="D47" s="1"/>
      <c r="E47" s="16">
        <f>SUM(E45:E46)</f>
        <v>383519.1100000001</v>
      </c>
      <c r="F47" s="32">
        <v>383519.11</v>
      </c>
      <c r="G47" s="25">
        <v>44439</v>
      </c>
      <c r="H47" s="28">
        <f t="shared" ref="H47" si="2">+F47-E47</f>
        <v>0</v>
      </c>
    </row>
    <row r="48" spans="1:8" x14ac:dyDescent="0.2">
      <c r="B48" s="11">
        <v>44467</v>
      </c>
      <c r="C48" s="2" t="s">
        <v>12</v>
      </c>
      <c r="E48" s="14">
        <v>0.65</v>
      </c>
      <c r="G48" s="25"/>
    </row>
    <row r="49" spans="2:7" x14ac:dyDescent="0.2">
      <c r="B49" s="11"/>
      <c r="E49" s="16">
        <f>SUM(E47:E48)</f>
        <v>383519.76000000013</v>
      </c>
      <c r="F49" s="32">
        <v>383519.76</v>
      </c>
      <c r="G49" s="25">
        <v>44469</v>
      </c>
    </row>
    <row r="50" spans="2:7" x14ac:dyDescent="0.2">
      <c r="B50" s="11">
        <v>44497</v>
      </c>
      <c r="C50" s="2" t="s">
        <v>12</v>
      </c>
      <c r="E50" s="14">
        <v>0.63</v>
      </c>
      <c r="G50" s="25"/>
    </row>
    <row r="51" spans="2:7" x14ac:dyDescent="0.2">
      <c r="B51" s="11"/>
      <c r="E51" s="16">
        <f>SUM(E49:E50)</f>
        <v>383520.39000000013</v>
      </c>
      <c r="F51" s="32"/>
      <c r="G51" s="25">
        <v>44500</v>
      </c>
    </row>
    <row r="52" spans="2:7" x14ac:dyDescent="0.2">
      <c r="B52" s="11">
        <v>44527</v>
      </c>
      <c r="C52" s="2" t="s">
        <v>12</v>
      </c>
      <c r="E52" s="14">
        <v>0.63</v>
      </c>
      <c r="G52" s="25"/>
    </row>
    <row r="53" spans="2:7" x14ac:dyDescent="0.2">
      <c r="B53" s="11"/>
      <c r="E53" s="16">
        <f>SUM(E51:E52)</f>
        <v>383521.02000000014</v>
      </c>
      <c r="F53" s="32"/>
      <c r="G53" s="25">
        <v>44895</v>
      </c>
    </row>
    <row r="54" spans="2:7" x14ac:dyDescent="0.2">
      <c r="B54" s="11">
        <v>44558</v>
      </c>
      <c r="C54" s="2" t="s">
        <v>12</v>
      </c>
      <c r="E54" s="14">
        <v>0.65</v>
      </c>
      <c r="G54" s="25"/>
    </row>
    <row r="55" spans="2:7" x14ac:dyDescent="0.2">
      <c r="B55" s="11"/>
      <c r="E55" s="16">
        <f>SUM(E53:E54)</f>
        <v>383521.67000000016</v>
      </c>
      <c r="F55" s="32">
        <v>383521.67</v>
      </c>
      <c r="G55" s="25">
        <v>44926</v>
      </c>
    </row>
  </sheetData>
  <printOptions horizontalCentered="1"/>
  <pageMargins left="0.39370078740157483" right="0.39370078740157483" top="0.39370078740157483" bottom="0.39370078740157483" header="0.31496062992125984" footer="0.31496062992125984"/>
  <pageSetup paperSize="9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defaultColWidth="9.140625" defaultRowHeight="12.75" x14ac:dyDescent="0.2"/>
  <cols>
    <col min="1" max="1" width="8.140625" style="12" customWidth="1"/>
    <col min="2" max="2" width="8" style="12" customWidth="1"/>
    <col min="3" max="3" width="31.85546875" style="2" bestFit="1" customWidth="1"/>
    <col min="4" max="4" width="7.42578125" style="1" customWidth="1"/>
    <col min="5" max="5" width="13.5703125" style="14" bestFit="1" customWidth="1"/>
    <col min="6" max="6" width="9.5703125" style="2" bestFit="1" customWidth="1"/>
    <col min="7" max="16384" width="9.140625" style="2"/>
  </cols>
  <sheetData>
    <row r="1" spans="1:5" ht="15.75" x14ac:dyDescent="0.25">
      <c r="A1" s="8" t="s">
        <v>11</v>
      </c>
      <c r="B1" s="9"/>
      <c r="C1" s="3"/>
      <c r="D1" s="4"/>
      <c r="E1" s="20" t="s">
        <v>9</v>
      </c>
    </row>
    <row r="2" spans="1:5" x14ac:dyDescent="0.2">
      <c r="A2" s="9"/>
      <c r="B2" s="9"/>
      <c r="C2" s="3"/>
      <c r="D2" s="4"/>
      <c r="E2" s="21" t="s">
        <v>7</v>
      </c>
    </row>
    <row r="3" spans="1:5" s="7" customFormat="1" ht="15" x14ac:dyDescent="0.35">
      <c r="A3" s="10" t="s">
        <v>0</v>
      </c>
      <c r="B3" s="10" t="s">
        <v>1</v>
      </c>
      <c r="C3" s="6" t="s">
        <v>2</v>
      </c>
      <c r="D3" s="6" t="s">
        <v>5</v>
      </c>
      <c r="E3" s="22" t="s">
        <v>3</v>
      </c>
    </row>
    <row r="4" spans="1:5" s="13" customFormat="1" x14ac:dyDescent="0.2">
      <c r="A4" s="12"/>
      <c r="B4" s="11">
        <v>44125</v>
      </c>
      <c r="C4" s="2" t="s">
        <v>8</v>
      </c>
      <c r="D4" s="1"/>
      <c r="E4" s="14">
        <v>500000</v>
      </c>
    </row>
    <row r="5" spans="1:5" x14ac:dyDescent="0.2">
      <c r="B5" s="12">
        <v>44132</v>
      </c>
      <c r="C5" s="2" t="s">
        <v>6</v>
      </c>
      <c r="E5" s="14">
        <v>0.19</v>
      </c>
    </row>
    <row r="6" spans="1:5" s="13" customFormat="1" x14ac:dyDescent="0.2">
      <c r="A6" s="12"/>
      <c r="B6" s="11"/>
      <c r="C6" s="2"/>
      <c r="D6" s="1"/>
      <c r="E6" s="23">
        <f>SUM(E4:E5)</f>
        <v>500000.19</v>
      </c>
    </row>
    <row r="7" spans="1:5" s="13" customFormat="1" x14ac:dyDescent="0.2">
      <c r="A7" s="12"/>
      <c r="B7" s="11">
        <v>44141</v>
      </c>
      <c r="C7" s="2" t="s">
        <v>10</v>
      </c>
      <c r="D7" s="1"/>
      <c r="E7" s="14">
        <v>-1380</v>
      </c>
    </row>
    <row r="8" spans="1:5" s="13" customFormat="1" x14ac:dyDescent="0.2">
      <c r="A8" s="12"/>
      <c r="B8" s="11">
        <v>44141</v>
      </c>
      <c r="C8" s="2" t="s">
        <v>10</v>
      </c>
      <c r="D8" s="1"/>
      <c r="E8" s="14">
        <v>-5500</v>
      </c>
    </row>
    <row r="9" spans="1:5" s="13" customFormat="1" x14ac:dyDescent="0.2">
      <c r="A9" s="12"/>
      <c r="B9" s="11">
        <v>44155</v>
      </c>
      <c r="C9" s="2" t="s">
        <v>10</v>
      </c>
      <c r="D9" s="1"/>
      <c r="E9" s="14">
        <v>-9860</v>
      </c>
    </row>
    <row r="10" spans="1:5" s="13" customFormat="1" x14ac:dyDescent="0.2">
      <c r="A10" s="12"/>
      <c r="B10" s="11">
        <v>44161</v>
      </c>
      <c r="C10" s="2" t="s">
        <v>10</v>
      </c>
      <c r="D10" s="1"/>
      <c r="E10" s="14">
        <v>-435</v>
      </c>
    </row>
    <row r="11" spans="1:5" x14ac:dyDescent="0.2">
      <c r="B11" s="12">
        <v>44163</v>
      </c>
      <c r="C11" s="2" t="s">
        <v>6</v>
      </c>
      <c r="E11" s="14">
        <v>0.83</v>
      </c>
    </row>
    <row r="12" spans="1:5" s="13" customFormat="1" x14ac:dyDescent="0.2">
      <c r="A12" s="12"/>
      <c r="B12" s="11"/>
      <c r="C12" s="2"/>
      <c r="D12" s="1"/>
      <c r="E12" s="16">
        <f>SUM(E6:E11)</f>
        <v>482826.02</v>
      </c>
    </row>
    <row r="13" spans="1:5" s="13" customFormat="1" x14ac:dyDescent="0.2">
      <c r="A13" s="12"/>
      <c r="B13" s="11">
        <v>44174</v>
      </c>
      <c r="C13" s="2" t="s">
        <v>10</v>
      </c>
      <c r="D13" s="1"/>
      <c r="E13" s="14">
        <v>-1488</v>
      </c>
    </row>
    <row r="14" spans="1:5" s="13" customFormat="1" x14ac:dyDescent="0.2">
      <c r="A14" s="12"/>
      <c r="B14" s="11">
        <v>44175</v>
      </c>
      <c r="C14" s="2" t="s">
        <v>10</v>
      </c>
      <c r="D14" s="1"/>
      <c r="E14" s="14">
        <v>-670</v>
      </c>
    </row>
    <row r="15" spans="1:5" s="13" customFormat="1" x14ac:dyDescent="0.2">
      <c r="A15" s="12"/>
      <c r="B15" s="11">
        <v>44181</v>
      </c>
      <c r="C15" s="2" t="s">
        <v>10</v>
      </c>
      <c r="D15" s="1"/>
      <c r="E15" s="14">
        <v>-5858</v>
      </c>
    </row>
    <row r="16" spans="1:5" s="13" customFormat="1" x14ac:dyDescent="0.2">
      <c r="A16" s="12"/>
      <c r="B16" s="11">
        <v>44181</v>
      </c>
      <c r="C16" s="2" t="s">
        <v>10</v>
      </c>
      <c r="D16" s="1"/>
      <c r="E16" s="14">
        <v>-428</v>
      </c>
    </row>
    <row r="17" spans="1:6" s="13" customFormat="1" x14ac:dyDescent="0.2">
      <c r="A17" s="12"/>
      <c r="B17" s="11">
        <v>44182</v>
      </c>
      <c r="C17" s="2" t="s">
        <v>10</v>
      </c>
      <c r="D17" s="1"/>
      <c r="E17" s="14">
        <v>-1022</v>
      </c>
    </row>
    <row r="18" spans="1:6" s="13" customFormat="1" x14ac:dyDescent="0.2">
      <c r="A18" s="12"/>
      <c r="B18" s="11">
        <v>44182</v>
      </c>
      <c r="C18" s="2" t="s">
        <v>10</v>
      </c>
      <c r="D18" s="1"/>
      <c r="E18" s="14">
        <v>-2250</v>
      </c>
    </row>
    <row r="19" spans="1:6" s="13" customFormat="1" x14ac:dyDescent="0.2">
      <c r="A19" s="12"/>
      <c r="B19" s="11">
        <v>44183</v>
      </c>
      <c r="C19" s="2" t="s">
        <v>10</v>
      </c>
      <c r="D19" s="1"/>
      <c r="E19" s="14">
        <v>-1758</v>
      </c>
    </row>
    <row r="20" spans="1:6" x14ac:dyDescent="0.2">
      <c r="B20" s="12">
        <v>44193</v>
      </c>
      <c r="C20" s="2" t="s">
        <v>6</v>
      </c>
      <c r="E20" s="14">
        <v>0.78</v>
      </c>
    </row>
    <row r="21" spans="1:6" s="13" customFormat="1" x14ac:dyDescent="0.2">
      <c r="A21" s="12"/>
      <c r="B21" s="11">
        <v>44193</v>
      </c>
      <c r="C21" s="2" t="s">
        <v>10</v>
      </c>
      <c r="D21" s="1"/>
      <c r="E21" s="14">
        <v>-12361</v>
      </c>
    </row>
    <row r="22" spans="1:6" s="13" customFormat="1" x14ac:dyDescent="0.2">
      <c r="A22" s="12"/>
      <c r="B22" s="11">
        <v>44195</v>
      </c>
      <c r="C22" s="2" t="s">
        <v>10</v>
      </c>
      <c r="D22" s="1"/>
      <c r="E22" s="14">
        <v>-4800</v>
      </c>
    </row>
    <row r="23" spans="1:6" s="13" customFormat="1" x14ac:dyDescent="0.2">
      <c r="A23" s="12"/>
      <c r="B23" s="11">
        <v>44195</v>
      </c>
      <c r="C23" s="2" t="s">
        <v>10</v>
      </c>
      <c r="D23" s="1"/>
      <c r="E23" s="14">
        <v>-585</v>
      </c>
      <c r="F23" s="19"/>
    </row>
    <row r="24" spans="1:6" s="13" customFormat="1" x14ac:dyDescent="0.2">
      <c r="A24" s="12"/>
      <c r="B24" s="12"/>
      <c r="C24" s="2"/>
      <c r="D24" s="1"/>
      <c r="E24" s="16">
        <f>SUM(E12:E23)</f>
        <v>451606.80000000005</v>
      </c>
    </row>
    <row r="25" spans="1:6" s="13" customFormat="1" x14ac:dyDescent="0.2">
      <c r="A25" s="12"/>
      <c r="B25" s="12"/>
      <c r="C25" s="2"/>
      <c r="D25" s="1"/>
      <c r="E25" s="14"/>
    </row>
    <row r="26" spans="1:6" x14ac:dyDescent="0.2">
      <c r="D26" s="17"/>
    </row>
  </sheetData>
  <printOptions horizontalCentered="1"/>
  <pageMargins left="0.39370078740157483" right="0.39370078740157483" top="0.39370078740157483" bottom="0.39370078740157483" header="0.31496062992125984" footer="0.31496062992125984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26</vt:lpstr>
      <vt:lpstr>25</vt:lpstr>
      <vt:lpstr>24</vt:lpstr>
      <vt:lpstr>23</vt:lpstr>
      <vt:lpstr>22</vt:lpstr>
      <vt:lpstr>21</vt:lpstr>
      <vt:lpstr>20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</dc:creator>
  <cp:lastModifiedBy>Carmen Wong</cp:lastModifiedBy>
  <cp:lastPrinted>2025-06-13T02:39:27Z</cp:lastPrinted>
  <dcterms:created xsi:type="dcterms:W3CDTF">2011-01-03T08:52:14Z</dcterms:created>
  <dcterms:modified xsi:type="dcterms:W3CDTF">2026-04-16T09:47:07Z</dcterms:modified>
</cp:coreProperties>
</file>